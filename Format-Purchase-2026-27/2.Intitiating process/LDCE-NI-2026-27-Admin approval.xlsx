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cog-my.sharepoint.com/personal/vijay_daslaniya_gujgov_edu_in/Documents/VBD/2026-27/Admin approval/"/>
    </mc:Choice>
  </mc:AlternateContent>
  <xr:revisionPtr revIDLastSave="12" documentId="13_ncr:1_{89BD9D58-8350-41FC-A99E-02A238485874}" xr6:coauthVersionLast="47" xr6:coauthVersionMax="47" xr10:uidLastSave="{7772E679-741A-40B1-BB54-3B044DA1AA70}"/>
  <bookViews>
    <workbookView xWindow="-120" yWindow="-120" windowWidth="29040" windowHeight="15720" xr2:uid="{0309DA01-9E0E-41BD-AB5D-5B9132E331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6" i="1" l="1"/>
  <c r="S5" i="1"/>
  <c r="M5" i="1"/>
  <c r="J5" i="1"/>
  <c r="G5" i="1"/>
  <c r="D5" i="1"/>
  <c r="Q4" i="1"/>
  <c r="W4" i="1" s="1"/>
  <c r="P4" i="1"/>
  <c r="P5" i="1" l="1"/>
  <c r="V4" i="1"/>
  <c r="V5" i="1" s="1"/>
</calcChain>
</file>

<file path=xl/sharedStrings.xml><?xml version="1.0" encoding="utf-8"?>
<sst xmlns="http://schemas.openxmlformats.org/spreadsheetml/2006/main" count="26" uniqueCount="14">
  <si>
    <t>Rs. In Lakh</t>
  </si>
  <si>
    <t>NI-Equipment</t>
  </si>
  <si>
    <t>NI-Furniture</t>
  </si>
  <si>
    <t>NI-Books</t>
  </si>
  <si>
    <t>NI-Maintenance</t>
  </si>
  <si>
    <t>IT-HW &amp; SW</t>
  </si>
  <si>
    <t>Grand total</t>
  </si>
  <si>
    <t>Budget Head---------&gt;</t>
  </si>
  <si>
    <t>TED-5</t>
  </si>
  <si>
    <t>TED-11</t>
  </si>
  <si>
    <t>Administrative approval Rs. In Lakh</t>
  </si>
  <si>
    <t>Total (TED-5+TED-11)</t>
  </si>
  <si>
    <t>Total (Non IT)</t>
  </si>
  <si>
    <t xml:space="preserve"> F.Y-2026-27-L.D COLLEGE OF ENGINEERING, AHMEDABAD , NEW ITEMS ADMIN. APPROVAL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</si>
</sst>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5"/>
      <color theme="1"/>
      <name val="Verdana"/>
      <family val="2"/>
    </font>
    <font>
      <b/>
      <sz val="15"/>
      <color theme="1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0">
    <xf numFmtId="0" fontId="0" fillId="0" borderId="0" xfId="0"/>
    <xf numFmtId="0" fontId="2" fillId="2" borderId="0" xfId="1" applyFont="1" applyFill="1" applyAlignment="1">
      <alignment horizontal="center" vertical="center"/>
    </xf>
    <xf numFmtId="0" fontId="1" fillId="3" borderId="0" xfId="1" applyFill="1" applyAlignment="1">
      <alignment wrapText="1"/>
    </xf>
    <xf numFmtId="0" fontId="2" fillId="3" borderId="0" xfId="1" applyFont="1" applyFill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2" fontId="3" fillId="0" borderId="4" xfId="1" applyNumberFormat="1" applyFont="1" applyBorder="1" applyAlignment="1">
      <alignment horizontal="right" vertical="center"/>
    </xf>
    <xf numFmtId="0" fontId="3" fillId="3" borderId="0" xfId="1" applyFont="1" applyFill="1" applyAlignment="1">
      <alignment horizontal="right" vertical="center"/>
    </xf>
    <xf numFmtId="2" fontId="3" fillId="0" borderId="3" xfId="1" applyNumberFormat="1" applyFont="1" applyBorder="1" applyAlignment="1">
      <alignment horizontal="right" vertical="center"/>
    </xf>
    <xf numFmtId="2" fontId="3" fillId="3" borderId="0" xfId="1" applyNumberFormat="1" applyFont="1" applyFill="1" applyAlignment="1">
      <alignment horizontal="right" vertical="center"/>
    </xf>
    <xf numFmtId="2" fontId="3" fillId="0" borderId="2" xfId="1" applyNumberFormat="1" applyFont="1" applyBorder="1" applyAlignment="1">
      <alignment horizontal="right" vertical="center"/>
    </xf>
    <xf numFmtId="2" fontId="2" fillId="2" borderId="0" xfId="1" applyNumberFormat="1" applyFont="1" applyFill="1" applyAlignment="1">
      <alignment horizontal="center" vertical="center"/>
    </xf>
    <xf numFmtId="0" fontId="2" fillId="2" borderId="9" xfId="1" applyFont="1" applyFill="1" applyBorder="1" applyAlignment="1">
      <alignment horizontal="center" vertical="center"/>
    </xf>
    <xf numFmtId="2" fontId="2" fillId="2" borderId="9" xfId="1" applyNumberFormat="1" applyFont="1" applyFill="1" applyBorder="1" applyAlignment="1">
      <alignment horizontal="center" vertical="center"/>
    </xf>
    <xf numFmtId="0" fontId="3" fillId="0" borderId="8" xfId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14" fontId="3" fillId="0" borderId="3" xfId="1" applyNumberFormat="1" applyFont="1" applyBorder="1" applyAlignment="1">
      <alignment horizontal="right" vertical="center" wrapText="1"/>
    </xf>
    <xf numFmtId="14" fontId="3" fillId="0" borderId="8" xfId="1" applyNumberFormat="1" applyFont="1" applyBorder="1" applyAlignment="1">
      <alignment horizontal="right" vertical="center" wrapText="1"/>
    </xf>
    <xf numFmtId="0" fontId="2" fillId="0" borderId="1" xfId="1" applyFont="1" applyBorder="1" applyAlignment="1">
      <alignment horizontal="center" vertical="center" wrapText="1"/>
    </xf>
    <xf numFmtId="0" fontId="2" fillId="0" borderId="0" xfId="1" applyFont="1" applyAlignment="1">
      <alignment horizontal="center" vertical="center" wrapText="1"/>
    </xf>
    <xf numFmtId="0" fontId="2" fillId="0" borderId="2" xfId="1" applyFont="1" applyBorder="1" applyAlignment="1">
      <alignment horizontal="right" vertical="center" wrapText="1"/>
    </xf>
    <xf numFmtId="0" fontId="1" fillId="0" borderId="3" xfId="1" applyBorder="1" applyAlignment="1">
      <alignment horizontal="right"/>
    </xf>
    <xf numFmtId="0" fontId="2" fillId="0" borderId="4" xfId="1" applyFont="1" applyBorder="1" applyAlignment="1">
      <alignment horizontal="center" vertical="center"/>
    </xf>
    <xf numFmtId="0" fontId="1" fillId="0" borderId="3" xfId="1" applyBorder="1"/>
    <xf numFmtId="0" fontId="2" fillId="0" borderId="4" xfId="1" applyFont="1" applyBorder="1" applyAlignment="1">
      <alignment horizontal="center" vertical="center" wrapText="1"/>
    </xf>
    <xf numFmtId="0" fontId="1" fillId="0" borderId="3" xfId="1" applyBorder="1" applyAlignment="1">
      <alignment horizontal="center" wrapText="1"/>
    </xf>
    <xf numFmtId="0" fontId="2" fillId="0" borderId="5" xfId="1" applyFont="1" applyBorder="1" applyAlignment="1">
      <alignment horizontal="center" vertical="center"/>
    </xf>
    <xf numFmtId="0" fontId="2" fillId="0" borderId="6" xfId="1" applyFont="1" applyBorder="1" applyAlignment="1">
      <alignment horizontal="center" vertical="center"/>
    </xf>
    <xf numFmtId="0" fontId="2" fillId="0" borderId="7" xfId="1" applyFont="1" applyBorder="1" applyAlignment="1">
      <alignment horizontal="center" vertical="center"/>
    </xf>
    <xf numFmtId="0" fontId="2" fillId="0" borderId="4" xfId="1" applyFont="1" applyBorder="1" applyAlignment="1">
      <alignment vertical="center"/>
    </xf>
    <xf numFmtId="0" fontId="2" fillId="0" borderId="3" xfId="1" applyFont="1" applyBorder="1" applyAlignment="1">
      <alignment vertical="center"/>
    </xf>
    <xf numFmtId="2" fontId="2" fillId="0" borderId="3" xfId="1" applyNumberFormat="1" applyFont="1" applyBorder="1" applyAlignment="1">
      <alignment horizontal="right" vertical="center"/>
    </xf>
    <xf numFmtId="2" fontId="2" fillId="0" borderId="4" xfId="1" applyNumberFormat="1" applyFont="1" applyBorder="1" applyAlignment="1">
      <alignment horizontal="right" vertical="center"/>
    </xf>
    <xf numFmtId="0" fontId="2" fillId="0" borderId="3" xfId="1" applyFont="1" applyBorder="1" applyAlignment="1">
      <alignment horizontal="right" vertical="center"/>
    </xf>
    <xf numFmtId="0" fontId="2" fillId="0" borderId="4" xfId="1" applyFont="1" applyBorder="1" applyAlignment="1">
      <alignment horizontal="right" vertical="center"/>
    </xf>
    <xf numFmtId="14" fontId="2" fillId="0" borderId="3" xfId="1" applyNumberFormat="1" applyFont="1" applyBorder="1" applyAlignment="1">
      <alignment horizontal="right" vertical="center" wrapText="1"/>
    </xf>
    <xf numFmtId="14" fontId="2" fillId="0" borderId="8" xfId="1" applyNumberFormat="1" applyFont="1" applyBorder="1" applyAlignment="1">
      <alignment horizontal="right" vertical="center" wrapText="1"/>
    </xf>
  </cellXfs>
  <cellStyles count="2">
    <cellStyle name="Normal" xfId="0" builtinId="0"/>
    <cellStyle name="Normal 7" xfId="1" xr:uid="{2838AC2B-FCF0-4A0D-A8E6-7625E182517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041E9-9D32-48DE-ACEA-E3C0A9ADA4C3}">
  <dimension ref="A1:W16"/>
  <sheetViews>
    <sheetView tabSelected="1" workbookViewId="0">
      <selection activeCell="X14" sqref="X14"/>
    </sheetView>
  </sheetViews>
  <sheetFormatPr defaultRowHeight="15" x14ac:dyDescent="0.25"/>
  <cols>
    <col min="2" max="2" width="35.7109375" customWidth="1"/>
    <col min="3" max="3" width="2.28515625" customWidth="1"/>
    <col min="4" max="4" width="13.7109375" bestFit="1" customWidth="1"/>
    <col min="5" max="5" width="12.28515625" bestFit="1" customWidth="1"/>
    <col min="6" max="6" width="2.85546875" customWidth="1"/>
    <col min="7" max="7" width="13.7109375" bestFit="1" customWidth="1"/>
    <col min="8" max="8" width="12.28515625" bestFit="1" customWidth="1"/>
    <col min="9" max="9" width="3.5703125" customWidth="1"/>
    <col min="10" max="10" width="10.5703125" bestFit="1" customWidth="1"/>
    <col min="11" max="11" width="12.28515625" bestFit="1" customWidth="1"/>
    <col min="12" max="12" width="3.42578125" customWidth="1"/>
    <col min="13" max="13" width="10.5703125" bestFit="1" customWidth="1"/>
    <col min="14" max="14" width="13.7109375" customWidth="1"/>
    <col min="15" max="15" width="3" customWidth="1"/>
    <col min="16" max="16" width="13.7109375" bestFit="1" customWidth="1"/>
    <col min="17" max="17" width="12.28515625" bestFit="1" customWidth="1"/>
    <col min="18" max="18" width="3.28515625" customWidth="1"/>
    <col min="19" max="19" width="12.5703125" hidden="1" customWidth="1"/>
    <col min="20" max="20" width="12.28515625" hidden="1" customWidth="1"/>
    <col min="21" max="21" width="2.5703125" hidden="1" customWidth="1"/>
    <col min="22" max="22" width="12.5703125" hidden="1" customWidth="1"/>
    <col min="23" max="23" width="12.28515625" hidden="1" customWidth="1"/>
  </cols>
  <sheetData>
    <row r="1" spans="1:23" ht="39" customHeight="1" x14ac:dyDescent="0.25">
      <c r="A1" s="21" t="s">
        <v>13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</row>
    <row r="2" spans="1:23" ht="20.25" x14ac:dyDescent="0.25">
      <c r="A2" s="23" t="s">
        <v>0</v>
      </c>
      <c r="B2" s="24"/>
      <c r="C2" s="1"/>
      <c r="D2" s="25" t="s">
        <v>1</v>
      </c>
      <c r="E2" s="26"/>
      <c r="F2" s="1"/>
      <c r="G2" s="25" t="s">
        <v>2</v>
      </c>
      <c r="H2" s="26"/>
      <c r="I2" s="1"/>
      <c r="J2" s="25" t="s">
        <v>3</v>
      </c>
      <c r="K2" s="26"/>
      <c r="L2" s="1"/>
      <c r="M2" s="25" t="s">
        <v>4</v>
      </c>
      <c r="N2" s="26"/>
      <c r="O2" s="1"/>
      <c r="P2" s="27" t="s">
        <v>12</v>
      </c>
      <c r="Q2" s="28"/>
      <c r="R2" s="2"/>
      <c r="S2" s="29" t="s">
        <v>5</v>
      </c>
      <c r="T2" s="30"/>
      <c r="U2" s="3"/>
      <c r="V2" s="31" t="s">
        <v>6</v>
      </c>
      <c r="W2" s="29"/>
    </row>
    <row r="3" spans="1:23" ht="38.25" customHeight="1" x14ac:dyDescent="0.25">
      <c r="A3" s="17" t="s">
        <v>7</v>
      </c>
      <c r="B3" s="18"/>
      <c r="C3" s="1"/>
      <c r="D3" s="4" t="s">
        <v>8</v>
      </c>
      <c r="E3" s="5" t="s">
        <v>9</v>
      </c>
      <c r="F3" s="1"/>
      <c r="G3" s="4" t="s">
        <v>8</v>
      </c>
      <c r="H3" s="5" t="s">
        <v>9</v>
      </c>
      <c r="I3" s="1"/>
      <c r="J3" s="4" t="s">
        <v>8</v>
      </c>
      <c r="K3" s="5" t="s">
        <v>9</v>
      </c>
      <c r="L3" s="1"/>
      <c r="M3" s="4" t="s">
        <v>8</v>
      </c>
      <c r="N3" s="5" t="s">
        <v>9</v>
      </c>
      <c r="O3" s="1"/>
      <c r="P3" s="4" t="s">
        <v>8</v>
      </c>
      <c r="Q3" s="5" t="s">
        <v>9</v>
      </c>
      <c r="R3" s="3"/>
      <c r="S3" s="4" t="s">
        <v>8</v>
      </c>
      <c r="T3" s="5" t="s">
        <v>9</v>
      </c>
      <c r="U3" s="3"/>
      <c r="V3" s="4" t="s">
        <v>8</v>
      </c>
      <c r="W3" s="6" t="s">
        <v>9</v>
      </c>
    </row>
    <row r="4" spans="1:23" ht="39" customHeight="1" x14ac:dyDescent="0.25">
      <c r="A4" s="38" t="s">
        <v>10</v>
      </c>
      <c r="B4" s="39"/>
      <c r="C4" s="1"/>
      <c r="D4" s="32">
        <v>118.21</v>
      </c>
      <c r="E4" s="33">
        <v>47.11</v>
      </c>
      <c r="F4" s="1"/>
      <c r="G4" s="32">
        <v>56.54</v>
      </c>
      <c r="H4" s="34">
        <v>0</v>
      </c>
      <c r="I4" s="1"/>
      <c r="J4" s="35">
        <v>12.6</v>
      </c>
      <c r="K4" s="36">
        <v>2.06</v>
      </c>
      <c r="L4" s="1"/>
      <c r="M4" s="35">
        <v>18.190000000000001</v>
      </c>
      <c r="N4" s="34">
        <v>0</v>
      </c>
      <c r="O4" s="1"/>
      <c r="P4" s="37">
        <f>D4+G4+J4+M4</f>
        <v>205.54</v>
      </c>
      <c r="Q4" s="36">
        <f>E4+H4+K4+N4</f>
        <v>49.17</v>
      </c>
      <c r="R4" s="8"/>
      <c r="S4" s="7">
        <v>0</v>
      </c>
      <c r="T4" s="9">
        <v>0</v>
      </c>
      <c r="U4" s="10"/>
      <c r="V4" s="7">
        <f>P4+S4</f>
        <v>205.54</v>
      </c>
      <c r="W4" s="11">
        <f>Q4+T4</f>
        <v>49.17</v>
      </c>
    </row>
    <row r="5" spans="1:23" ht="36.75" customHeight="1" x14ac:dyDescent="0.25">
      <c r="A5" s="19" t="s">
        <v>11</v>
      </c>
      <c r="B5" s="20"/>
      <c r="C5" s="13"/>
      <c r="D5" s="15">
        <f>D4+E4</f>
        <v>165.32</v>
      </c>
      <c r="E5" s="15"/>
      <c r="F5" s="14"/>
      <c r="G5" s="15">
        <f>G4+H4</f>
        <v>56.54</v>
      </c>
      <c r="H5" s="15"/>
      <c r="I5" s="14"/>
      <c r="J5" s="15">
        <f>J4+K4</f>
        <v>14.66</v>
      </c>
      <c r="K5" s="15"/>
      <c r="L5" s="14"/>
      <c r="M5" s="15">
        <f>M4+N4</f>
        <v>18.190000000000001</v>
      </c>
      <c r="N5" s="15"/>
      <c r="O5" s="14"/>
      <c r="P5" s="15">
        <f>P4+Q4</f>
        <v>254.70999999999998</v>
      </c>
      <c r="Q5" s="15"/>
      <c r="R5" s="12"/>
      <c r="S5" s="15">
        <f>S4+T4</f>
        <v>0</v>
      </c>
      <c r="T5" s="15"/>
      <c r="U5" s="12"/>
      <c r="V5" s="16">
        <f>V4+W4</f>
        <v>254.70999999999998</v>
      </c>
      <c r="W5" s="16"/>
    </row>
    <row r="16" spans="1:23" x14ac:dyDescent="0.25">
      <c r="H16" t="str">
        <f>LOWER(A1)</f>
        <v xml:space="preserve"> f.y-2026-27-l.d college of engineering, ahmedabad , new items admin. approval</v>
      </c>
    </row>
  </sheetData>
  <mergeCells count="19">
    <mergeCell ref="A1:W1"/>
    <mergeCell ref="A2:B2"/>
    <mergeCell ref="D2:E2"/>
    <mergeCell ref="G2:H2"/>
    <mergeCell ref="J2:K2"/>
    <mergeCell ref="M2:N2"/>
    <mergeCell ref="P2:Q2"/>
    <mergeCell ref="S2:T2"/>
    <mergeCell ref="V2:W2"/>
    <mergeCell ref="M5:N5"/>
    <mergeCell ref="P5:Q5"/>
    <mergeCell ref="S5:T5"/>
    <mergeCell ref="V5:W5"/>
    <mergeCell ref="A3:B3"/>
    <mergeCell ref="A4:B4"/>
    <mergeCell ref="A5:B5"/>
    <mergeCell ref="D5:E5"/>
    <mergeCell ref="G5:H5"/>
    <mergeCell ref="J5:K5"/>
  </mergeCells>
  <pageMargins left="1.05" right="0.25" top="0.74803149606299213" bottom="0.74803149606299213" header="0.31496062992125984" footer="0.31496062992125984"/>
  <pageSetup paperSize="9" scale="7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DASLANIYA</dc:creator>
  <cp:lastModifiedBy>VIJAY DASLANIYA</cp:lastModifiedBy>
  <cp:lastPrinted>2026-05-29T04:50:06Z</cp:lastPrinted>
  <dcterms:created xsi:type="dcterms:W3CDTF">2026-05-22T09:02:52Z</dcterms:created>
  <dcterms:modified xsi:type="dcterms:W3CDTF">2026-06-29T07:41:58Z</dcterms:modified>
</cp:coreProperties>
</file>