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cog-my.sharepoint.com/personal/vijay_daslaniya_gujgov_edu_in/Documents/VBD/2025-26/EMD SCAN/"/>
    </mc:Choice>
  </mc:AlternateContent>
  <xr:revisionPtr revIDLastSave="219" documentId="8_{B3D6A59B-83A1-4227-A0CB-9D250B1560DB}" xr6:coauthVersionLast="47" xr6:coauthVersionMax="47" xr10:uidLastSave="{0ADA1BA2-B1CC-421F-8114-A296629F13AD}"/>
  <bookViews>
    <workbookView xWindow="-120" yWindow="-120" windowWidth="29040" windowHeight="15720" xr2:uid="{7C9950E5-E9B5-4F92-B5D6-D66FD4C0A20F}"/>
  </bookViews>
  <sheets>
    <sheet name="Sheet1" sheetId="1" r:id="rId1"/>
  </sheets>
  <definedNames>
    <definedName name="_xlnm._FilterDatabase" localSheetId="0" hidden="1">Sheet1!$A$1:$AA$207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02" i="1" l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S80" i="1"/>
  <c r="S138" i="1"/>
  <c r="S16" i="1"/>
  <c r="S27" i="1"/>
  <c r="S9" i="1"/>
  <c r="S179" i="1"/>
  <c r="S62" i="1"/>
  <c r="S176" i="1"/>
  <c r="S123" i="1"/>
  <c r="S35" i="1"/>
  <c r="S42" i="1"/>
  <c r="S197" i="1"/>
  <c r="S14" i="1"/>
  <c r="S108" i="1"/>
  <c r="S100" i="1"/>
  <c r="S204" i="1"/>
  <c r="S190" i="1"/>
  <c r="S172" i="1"/>
  <c r="S168" i="1"/>
  <c r="S7" i="1"/>
  <c r="S68" i="1"/>
  <c r="S67" i="1"/>
  <c r="S193" i="1"/>
  <c r="S152" i="1"/>
  <c r="S134" i="1"/>
  <c r="S187" i="1"/>
  <c r="S141" i="1"/>
  <c r="S84" i="1"/>
  <c r="S120" i="1"/>
  <c r="S144" i="1"/>
  <c r="S75" i="1"/>
  <c r="S11" i="1"/>
  <c r="S17" i="1"/>
  <c r="S127" i="1"/>
  <c r="S148" i="1"/>
  <c r="S199" i="1"/>
  <c r="S46" i="1"/>
  <c r="S77" i="1"/>
  <c r="S10" i="1"/>
  <c r="S4" i="1"/>
  <c r="S28" i="1"/>
  <c r="S174" i="1"/>
  <c r="S70" i="1"/>
  <c r="S5" i="1"/>
  <c r="S146" i="1"/>
  <c r="S97" i="1"/>
  <c r="S99" i="1"/>
  <c r="S150" i="1"/>
  <c r="S185" i="1"/>
  <c r="S161" i="1"/>
  <c r="S167" i="1"/>
  <c r="S142" i="1"/>
  <c r="S110" i="1"/>
  <c r="S74" i="1"/>
  <c r="S45" i="1"/>
  <c r="S188" i="1"/>
  <c r="S58" i="1"/>
  <c r="S21" i="1"/>
  <c r="S116" i="1"/>
  <c r="S135" i="1"/>
  <c r="S189" i="1"/>
  <c r="S164" i="1"/>
  <c r="S158" i="1"/>
  <c r="S114" i="1"/>
  <c r="S13" i="1"/>
  <c r="S94" i="1"/>
  <c r="S121" i="1"/>
  <c r="S60" i="1"/>
  <c r="S25" i="1"/>
  <c r="S51" i="1"/>
  <c r="S32" i="1"/>
  <c r="S162" i="1"/>
  <c r="S72" i="1"/>
  <c r="S165" i="1"/>
  <c r="S155" i="1"/>
  <c r="S88" i="1"/>
  <c r="S59" i="1"/>
  <c r="S91" i="1"/>
  <c r="S103" i="1"/>
  <c r="S57" i="1"/>
  <c r="S177" i="1"/>
  <c r="S130" i="1"/>
  <c r="S53" i="1"/>
  <c r="S111" i="1"/>
  <c r="S24" i="1"/>
  <c r="S200" i="1"/>
  <c r="S126" i="1"/>
  <c r="S183" i="1"/>
  <c r="S30" i="1"/>
  <c r="S64" i="1"/>
  <c r="S202" i="1"/>
  <c r="S128" i="1"/>
  <c r="S78" i="1"/>
  <c r="S196" i="1"/>
  <c r="S81" i="1"/>
  <c r="S139" i="1"/>
  <c r="S175" i="1"/>
  <c r="S198" i="1"/>
  <c r="S89" i="1"/>
  <c r="S65" i="1"/>
  <c r="S140" i="1"/>
  <c r="S85" i="1"/>
  <c r="S163" i="1"/>
  <c r="S48" i="1"/>
  <c r="S147" i="1"/>
  <c r="S173" i="1"/>
  <c r="S61" i="1"/>
  <c r="S109" i="1"/>
  <c r="S132" i="1"/>
  <c r="S205" i="1"/>
  <c r="S36" i="1"/>
  <c r="S106" i="1"/>
  <c r="S69" i="1"/>
  <c r="S129" i="1"/>
  <c r="S95" i="1"/>
  <c r="S92" i="1"/>
  <c r="S192" i="1"/>
  <c r="S131" i="1"/>
  <c r="S98" i="1"/>
  <c r="S54" i="1"/>
  <c r="S143" i="1"/>
  <c r="S66" i="1"/>
  <c r="S159" i="1"/>
  <c r="S83" i="1"/>
  <c r="S20" i="1"/>
  <c r="S18" i="1"/>
  <c r="S101" i="1"/>
  <c r="S2" i="1"/>
  <c r="S178" i="1"/>
  <c r="S201" i="1"/>
  <c r="S56" i="1"/>
  <c r="S33" i="1"/>
  <c r="S90" i="1"/>
  <c r="S22" i="1"/>
  <c r="S171" i="1"/>
  <c r="S160" i="1"/>
  <c r="S39" i="1"/>
  <c r="S153" i="1"/>
  <c r="S182" i="1"/>
  <c r="S76" i="1"/>
  <c r="S37" i="1"/>
  <c r="S112" i="1"/>
  <c r="S3" i="1"/>
  <c r="S15" i="1"/>
  <c r="S107" i="1"/>
  <c r="S156" i="1"/>
  <c r="S55" i="1"/>
  <c r="S8" i="1"/>
  <c r="S115" i="1"/>
  <c r="S203" i="1"/>
  <c r="S113" i="1"/>
  <c r="S86" i="1"/>
  <c r="S43" i="1"/>
  <c r="S96" i="1"/>
  <c r="S119" i="1"/>
  <c r="S49" i="1"/>
  <c r="S118" i="1"/>
  <c r="S87" i="1"/>
  <c r="S191" i="1"/>
  <c r="S38" i="1"/>
  <c r="S125" i="1"/>
  <c r="S105" i="1"/>
  <c r="S29" i="1"/>
  <c r="S137" i="1"/>
  <c r="S34" i="1"/>
  <c r="S136" i="1"/>
  <c r="S181" i="1"/>
  <c r="S26" i="1"/>
  <c r="S169" i="1"/>
  <c r="S186" i="1"/>
  <c r="S52" i="1"/>
  <c r="S102" i="1"/>
  <c r="S149" i="1"/>
  <c r="S104" i="1"/>
  <c r="S170" i="1"/>
  <c r="S79" i="1"/>
  <c r="S117" i="1"/>
  <c r="S180" i="1"/>
  <c r="S82" i="1"/>
  <c r="S194" i="1"/>
  <c r="S166" i="1"/>
  <c r="S122" i="1"/>
  <c r="S40" i="1"/>
  <c r="S151" i="1"/>
  <c r="S93" i="1"/>
  <c r="S71" i="1"/>
  <c r="S157" i="1"/>
  <c r="S73" i="1"/>
  <c r="S145" i="1"/>
  <c r="S63" i="1"/>
  <c r="S124" i="1"/>
  <c r="S31" i="1"/>
  <c r="S154" i="1"/>
  <c r="S44" i="1"/>
  <c r="S195" i="1"/>
  <c r="S19" i="1"/>
  <c r="S50" i="1"/>
  <c r="S23" i="1"/>
  <c r="S12" i="1"/>
  <c r="S133" i="1"/>
  <c r="S184" i="1"/>
</calcChain>
</file>

<file path=xl/sharedStrings.xml><?xml version="1.0" encoding="utf-8"?>
<sst xmlns="http://schemas.openxmlformats.org/spreadsheetml/2006/main" count="2058" uniqueCount="585">
  <si>
    <t>7/31/2025 14:47:25</t>
  </si>
  <si>
    <t>bhavin.bme@ldce.ac.in</t>
  </si>
  <si>
    <t>Biomedical engg.</t>
  </si>
  <si>
    <t>ESP32 IoT Development Trainer Kit</t>
  </si>
  <si>
    <t>GEM/2025/B/6417109</t>
  </si>
  <si>
    <t>22/07/2025</t>
  </si>
  <si>
    <t>HDFC</t>
  </si>
  <si>
    <t>Wintronix, Ghatlodiya, Ahmedabad</t>
  </si>
  <si>
    <t>EMD</t>
  </si>
  <si>
    <t>7/31/2025 15:14:57</t>
  </si>
  <si>
    <t>Biomedical Sensor Interface Trainer Kit</t>
  </si>
  <si>
    <t>GEM/2025/B/6415919</t>
  </si>
  <si>
    <t>Wintronix, Ghatlodia, Ahmedabad</t>
  </si>
  <si>
    <t>7/31/2025 15:17:35</t>
  </si>
  <si>
    <t>GEM/2025/b/6415919</t>
  </si>
  <si>
    <t>24/07/2025</t>
  </si>
  <si>
    <t>Prajakta Enterprise, Naranpura, Ahmedabad</t>
  </si>
  <si>
    <t>7/31/2025 17:11:19</t>
  </si>
  <si>
    <t>vishalpatel12187@gmail.com</t>
  </si>
  <si>
    <t>IC engg.</t>
  </si>
  <si>
    <t>high performance power supplies (Multi Output DC Power Supply)</t>
  </si>
  <si>
    <t>GEM/2025/B/6318877</t>
  </si>
  <si>
    <t>Wintronix, FF/17, Block 'D' Nirman Complex, Nr. Shayona City, Sola Bhagwat, Ahmedabad</t>
  </si>
  <si>
    <t>7/31/2025 17:17:14</t>
  </si>
  <si>
    <t>Prajakta Enterprise, 403, Anviksha Apt, 15, Shantiniketan park Society, Opp. Meghalaya Flat NaranPura, Ahmedabad-380013</t>
  </si>
  <si>
    <t>7/31/2025 17:19:49</t>
  </si>
  <si>
    <t>AU Bank</t>
  </si>
  <si>
    <t>Astrellar Lab Equipments, 2759/16, Timber Market, Ambala Cantt-133001</t>
  </si>
  <si>
    <t>7/31/2025 17:24:53</t>
  </si>
  <si>
    <t>Digital Trainer Kit (Digital Electronics Kits (With Additional Cards)</t>
  </si>
  <si>
    <t>GEM/2025/B/6325369</t>
  </si>
  <si>
    <t>25/07/2025</t>
  </si>
  <si>
    <t>ALL TECH ELECTRONICS, C-211, Shiddhi Vinayak Tower, Katariya Automobile Road, Makarba, S.G. Highway, Ahmedabad-380051</t>
  </si>
  <si>
    <t>store@ldce.ac.in</t>
  </si>
  <si>
    <t>Central Store</t>
  </si>
  <si>
    <t>Man Power Out Sourcing-R1</t>
  </si>
  <si>
    <t>GEM/2025/B/6428007</t>
  </si>
  <si>
    <t>IDFC FIRST BANK</t>
  </si>
  <si>
    <t>YEYPLE HIRING SERVICES PVT. LTD.,5, RUSHI APARTMENT, OPP. URDU MUNICIPLE SCHOOL, MANINAGAR, AHMEDABAD-380004</t>
  </si>
  <si>
    <t>MANPOWER OUT SOURCING SERVICES</t>
  </si>
  <si>
    <t>GEM/2025B/6428007</t>
  </si>
  <si>
    <t>30/07/2025</t>
  </si>
  <si>
    <t>Bank of Baroda</t>
  </si>
  <si>
    <t>AKHAND BHARAT SENETARY MART SAHKARI MANDALI LTD.,7, GUJARAT HOUSING SOCIETY, NR. HIRABAUGE RAILWAY CROSSING, AMBAADI, AHMEDABAD-380006</t>
  </si>
  <si>
    <t>MANPOWER OUTSOURCING SERVICES</t>
  </si>
  <si>
    <t>29/07/2025</t>
  </si>
  <si>
    <t>Bank of India</t>
  </si>
  <si>
    <t>HARDIK CONSTRUCT CO.,601, SURYA ICON, NEAR SITARAM CHOWK, AEC CROSS ROAD, AHMEDABAD-380013</t>
  </si>
  <si>
    <t>Timestamp</t>
  </si>
  <si>
    <t>Sr.No.</t>
  </si>
  <si>
    <t>Email Address</t>
  </si>
  <si>
    <t>Department</t>
  </si>
  <si>
    <t>Name of Item/ Service</t>
  </si>
  <si>
    <t>Bid Number</t>
  </si>
  <si>
    <t>Bid Start Date</t>
  </si>
  <si>
    <t>Bid End Date</t>
  </si>
  <si>
    <t>Bid Estimated Value</t>
  </si>
  <si>
    <t>EMD / e-PBG number</t>
  </si>
  <si>
    <t>EMD/e-PBG dt</t>
  </si>
  <si>
    <t>Amount of EMD/ e-PBG submitted by the Party</t>
  </si>
  <si>
    <t>Name of Bank</t>
  </si>
  <si>
    <t>If other bank then Specify</t>
  </si>
  <si>
    <t>Details  of Party with Complete Address</t>
  </si>
  <si>
    <t>Nature of document</t>
  </si>
  <si>
    <t>Date of Inward Original Hard Copy ( i.e EMD must be of before end date of Bid &amp; After Start date of Bid &amp; e-PBG must be before contract award date)</t>
  </si>
  <si>
    <t>Remarks</t>
  </si>
  <si>
    <t>Amount in Rupees</t>
  </si>
  <si>
    <t>Manpower Outsourcing services</t>
  </si>
  <si>
    <t>ICICI BANK</t>
  </si>
  <si>
    <t>Biocon Consultancy Pvt. Ltd.,423, 4th floor,Kasturi Pride, Opp. Torrent Power House, Nr. Vishala Supreme, S.P Ring Road, Nikol, Ahmedabad-382350</t>
  </si>
  <si>
    <t>Inward No.1827</t>
  </si>
  <si>
    <t>dheerajchandranitk@gmail.com</t>
  </si>
  <si>
    <t>Mechanical engg.</t>
  </si>
  <si>
    <t>Pelton wheel turbine test rig</t>
  </si>
  <si>
    <t>GEM/2025/B/6417740</t>
  </si>
  <si>
    <t>7/29/2025</t>
  </si>
  <si>
    <t>HDFC BANK</t>
  </si>
  <si>
    <t>Royal Electronics sales and services, 2nd floor,1, Rajlaxmi society, Tandalja, Vadodara-390012</t>
  </si>
  <si>
    <t>high performance power supplies (Multi Output Power Supply)</t>
  </si>
  <si>
    <t>State Bank of India</t>
  </si>
  <si>
    <t>electrocomp, 102-103, Pardeshipura, Electronic Complex, Indore - 452010</t>
  </si>
  <si>
    <t>Digital Trainer Kit (Digital Electronics Kits (With Additional Cards))</t>
  </si>
  <si>
    <t>7/28/2025</t>
  </si>
  <si>
    <t>HDFC Bank</t>
  </si>
  <si>
    <t>Prajakta Enterprise, 403, Anviksha Apt, 15, Shantiniketan park society, Opp. Meghalaya Flat, Naranpura, ahmedabad - 380013</t>
  </si>
  <si>
    <t>Wintronix, FF/17, Block 'D' NirmanComplex, Nr. Shayona City, off S G Highway, SolaBhagwat, Ghatlodiya, Ahmedabad-61</t>
  </si>
  <si>
    <t>8/19/2025 14:48:30</t>
  </si>
  <si>
    <t>shivendrajha.nit@gmail.com</t>
  </si>
  <si>
    <t>SOUND LEVEL METER</t>
  </si>
  <si>
    <t>GEM/2025/B/6324196</t>
  </si>
  <si>
    <t>7/24/2025</t>
  </si>
  <si>
    <t>8/14/2025</t>
  </si>
  <si>
    <t>AXIS BANK</t>
  </si>
  <si>
    <t>SUPERTECH ANALYTICAL HANUMAN COLONY ROORKEE HARIDWAR UTTARAKHAND</t>
  </si>
  <si>
    <t>8/19/2025 14:50:56</t>
  </si>
  <si>
    <t>BIOME LIFE SCIENCE ADAJAN ROAD SURAT</t>
  </si>
  <si>
    <t>8/18/2025</t>
  </si>
  <si>
    <t>8/19/2025 14:53:40</t>
  </si>
  <si>
    <t>CENTRAL BANK OF INDIA</t>
  </si>
  <si>
    <t>AMSH PRODUCT LINE PVT LTD SANJEEV TOWER JANAKPURI NEW DELHI</t>
  </si>
  <si>
    <t>8/19/2025 14:57:23</t>
  </si>
  <si>
    <t>TECNOVISION ANALYTICAL THANE MUMBAI</t>
  </si>
  <si>
    <t>8/29/2025 16:50:15</t>
  </si>
  <si>
    <t>hirenjaiswal@ldce.ac.in</t>
  </si>
  <si>
    <t>Textile engg.</t>
  </si>
  <si>
    <t>Tensile Tester</t>
  </si>
  <si>
    <t>GEM/2025/B/6304745</t>
  </si>
  <si>
    <t>7/25/2025</t>
  </si>
  <si>
    <t>7/22/2025</t>
  </si>
  <si>
    <t>Union Bank</t>
  </si>
  <si>
    <t>SWAMI ENTERPRISES</t>
  </si>
  <si>
    <t>8/29/2025 16:52:51</t>
  </si>
  <si>
    <t>GEM/2025/B/6304746</t>
  </si>
  <si>
    <t xml:space="preserve">THE MANSHAHA
</t>
  </si>
  <si>
    <t>8/30/2025 13:45:16</t>
  </si>
  <si>
    <t>kinnar@ldce.ac.in</t>
  </si>
  <si>
    <t>Electronics engg.</t>
  </si>
  <si>
    <t>Electronics Workbench</t>
  </si>
  <si>
    <t>GEM/2025/B/6450692</t>
  </si>
  <si>
    <t>8/27/2025</t>
  </si>
  <si>
    <t>8/26/2025</t>
  </si>
  <si>
    <t>IDBI Bank</t>
  </si>
  <si>
    <t>Premier Enterprises, Memnagar, Ahmedabad 380052 9998808007 premierenterprisesahd@gmail.com</t>
  </si>
  <si>
    <t>8/28/2025</t>
  </si>
  <si>
    <t>8/30/2025 13:48:55</t>
  </si>
  <si>
    <t>ElectronicsWorkbench</t>
  </si>
  <si>
    <t>8/21/2025</t>
  </si>
  <si>
    <t>Yes Bank</t>
  </si>
  <si>
    <t>Royal Electronics Sales and Services, Tandalja, Vadodara 390012, royal.electronics.ss@gmail.com</t>
  </si>
  <si>
    <t>8/30/2025 14:09:59</t>
  </si>
  <si>
    <t>pondakhushbu07@ldce.ac.in</t>
  </si>
  <si>
    <t>Pilling Tester - Box Type (Textile)</t>
  </si>
  <si>
    <t>GEM/2025/B/6309378</t>
  </si>
  <si>
    <t>8/30/2025 14:13:49</t>
  </si>
  <si>
    <t>GEM/2025/B/6309379</t>
  </si>
  <si>
    <t>THE MANSHAHA</t>
  </si>
  <si>
    <t>8/30/2025 14:17:18</t>
  </si>
  <si>
    <t>Rotor Spinning machine</t>
  </si>
  <si>
    <t>GEM/2025/B/6242329</t>
  </si>
  <si>
    <t>5/31/2025</t>
  </si>
  <si>
    <t>7/18/2025</t>
  </si>
  <si>
    <t>Federal Bank</t>
  </si>
  <si>
    <t>MAG SOLVICS PRIVATE LIMITED</t>
  </si>
  <si>
    <t>8/30/2025 14:20:06</t>
  </si>
  <si>
    <t>T4 TEXULTANTS PRIVATE LIMITED</t>
  </si>
  <si>
    <t>8/30/2025 14:25:20</t>
  </si>
  <si>
    <t>DEVI TEXTILE AGENCY </t>
  </si>
  <si>
    <t>8/30/2025 14:29:44</t>
  </si>
  <si>
    <t>Miniature Ring Frame Machine</t>
  </si>
  <si>
    <t>GEM/2025/B/6242263</t>
  </si>
  <si>
    <t>8/30/2025 14:32:53</t>
  </si>
  <si>
    <t>8/30/2025 14:35:31</t>
  </si>
  <si>
    <t>mjp@ldce.ac.in</t>
  </si>
  <si>
    <t>Electrical engg.</t>
  </si>
  <si>
    <t>Annual Maintenance Service- Air Conditioner</t>
  </si>
  <si>
    <t>GEM/2025/B/6514487</t>
  </si>
  <si>
    <t>8/19/2025</t>
  </si>
  <si>
    <t>NA</t>
  </si>
  <si>
    <t>8/20/2025</t>
  </si>
  <si>
    <t>Nil</t>
  </si>
  <si>
    <t>Kotak Mahendra bank</t>
  </si>
  <si>
    <t>ICICI Bank</t>
  </si>
  <si>
    <t>Axis Bank LTD</t>
  </si>
  <si>
    <t>8/13/2025</t>
  </si>
  <si>
    <t>7/29/2025 16:31:54</t>
  </si>
  <si>
    <t>PIC Development Board Trainer Kit</t>
  </si>
  <si>
    <t>GEM/2025/B/6425148</t>
  </si>
  <si>
    <t>7/31/2025</t>
  </si>
  <si>
    <t>ROYAL ELECTRONICS SALES AND SERVICES, 2ND FLOOR, ROYAL HOUSE, VADODARA - 390012</t>
  </si>
  <si>
    <t>7/31/2025 14:37:14</t>
  </si>
  <si>
    <t>PIC Development Trainer Kit</t>
  </si>
  <si>
    <t>Prajakta Enterprise. Naranpura, Ahmedabad</t>
  </si>
  <si>
    <t>7/30/2025</t>
  </si>
  <si>
    <t>L1</t>
  </si>
  <si>
    <t>7/31/2025 14:39:15</t>
  </si>
  <si>
    <t>Pic Development Trainer Kit</t>
  </si>
  <si>
    <t>L1 Bidder</t>
  </si>
  <si>
    <r>
      <rPr>
        <b/>
        <sz val="10"/>
        <rFont val="Roboto"/>
      </rPr>
      <t>Chhavi Refrigeration</t>
    </r>
    <r>
      <rPr>
        <b/>
        <sz val="10"/>
        <color rgb="FF434343"/>
        <rFont val="Roboto"/>
      </rPr>
      <t>,</t>
    </r>
    <r>
      <rPr>
        <sz val="10"/>
        <color rgb="FF434343"/>
        <rFont val="Roboto"/>
      </rPr>
      <t xml:space="preserve">    547, Chaminda bhuvan, Patni sheri, Swaminarayan Mandir road, Kalupur, Ahmedabad</t>
    </r>
  </si>
  <si>
    <r>
      <rPr>
        <b/>
        <sz val="10"/>
        <color rgb="FFFF0000"/>
        <rFont val="Roboto"/>
      </rPr>
      <t>Cool King Air Condition</t>
    </r>
    <r>
      <rPr>
        <sz val="10"/>
        <color rgb="FF434343"/>
        <rFont val="Roboto"/>
      </rPr>
      <t>,  B-35, Riddhi-siddhi Apartment,Opp. Ajanta Elora Apartment, Nr. Tulip Bangalow, Drive-In road, Thaltej, Ahmedabad-380054</t>
    </r>
  </si>
  <si>
    <r>
      <rPr>
        <b/>
        <sz val="10"/>
        <color rgb="FFFF0000"/>
        <rFont val="Roboto"/>
      </rPr>
      <t xml:space="preserve">Krisha Engineering, </t>
    </r>
    <r>
      <rPr>
        <sz val="10"/>
        <rFont val="Roboto"/>
      </rPr>
      <t xml:space="preserve">  209, Ashram Avenue, B/h </t>
    </r>
    <r>
      <rPr>
        <sz val="10"/>
        <color rgb="FFFF0000"/>
        <rFont val="Roboto"/>
      </rPr>
      <t>Kochrab Ashram</t>
    </r>
    <r>
      <rPr>
        <sz val="10"/>
        <rFont val="Roboto"/>
      </rPr>
      <t>, Kochrab GAM, Span Trade centre, Paldi, Ahmedabad-380007</t>
    </r>
  </si>
  <si>
    <t>006596</t>
  </si>
  <si>
    <r>
      <rPr>
        <b/>
        <sz val="10"/>
        <color rgb="FFFF0000"/>
        <rFont val="Roboto"/>
      </rPr>
      <t xml:space="preserve">Krishna Refrigeration, </t>
    </r>
    <r>
      <rPr>
        <sz val="10"/>
        <color rgb="FF434343"/>
        <rFont val="Roboto"/>
      </rPr>
      <t xml:space="preserve">    8, Ram sagar Apartment, Opp. Vastrapur railway crossing, Vejalpur, Ahmedabad</t>
    </r>
    <r>
      <rPr>
        <sz val="10"/>
        <color rgb="FFFF0000"/>
        <rFont val="Roboto"/>
      </rPr>
      <t>-380051</t>
    </r>
  </si>
  <si>
    <r>
      <rPr>
        <b/>
        <sz val="10"/>
        <rFont val="Roboto"/>
      </rPr>
      <t xml:space="preserve">Niket Engg. Works, </t>
    </r>
    <r>
      <rPr>
        <sz val="10"/>
        <color rgb="FF434343"/>
        <rFont val="Roboto"/>
      </rPr>
      <t xml:space="preserve">               319- South Bopal trade centre, Near Aryan Gloria, Gala Gymkhana Road, South Bopal, Ahmedabad-380058 </t>
    </r>
    <r>
      <rPr>
        <b/>
        <sz val="10"/>
        <rFont val="Roboto"/>
      </rPr>
      <t>(L1 Bidder)</t>
    </r>
  </si>
  <si>
    <t xml:space="preserve">Ro, WC AMC Bid (ANNUAL MAINTENANCE SERVICES FOR WATER PURIFICATION AND CONDITIONING SYSTEM) </t>
  </si>
  <si>
    <t>GEM/2025/B/6505923</t>
  </si>
  <si>
    <t>001671</t>
  </si>
  <si>
    <r>
      <rPr>
        <b/>
        <sz val="10"/>
        <rFont val="Roboto"/>
      </rPr>
      <t>JYOTI ENTERPRISE</t>
    </r>
    <r>
      <rPr>
        <sz val="10"/>
        <color rgb="FF434343"/>
        <rFont val="Roboto"/>
      </rPr>
      <t xml:space="preserve">
F 104, PUSHTTAM NAGAR, OPP PINK CITY, RANIP, AHMEDABAD, GUJARAT-382480
</t>
    </r>
  </si>
  <si>
    <t>000059</t>
  </si>
  <si>
    <t>8/25/2025</t>
  </si>
  <si>
    <r>
      <rPr>
        <b/>
        <sz val="10"/>
        <rFont val="Roboto"/>
      </rPr>
      <t>Hi-Tech Aqua Engineering</t>
    </r>
    <r>
      <rPr>
        <sz val="10"/>
        <color rgb="FF434343"/>
        <rFont val="Roboto"/>
      </rPr>
      <t xml:space="preserve">
D-8, Madhav Pride, Opp. Parasmani Flats, Ranna Park, Karmchari Nagar Road, Naranpura, Ahmedabad
Gujarat – 380061
</t>
    </r>
  </si>
  <si>
    <t xml:space="preserve">RO, WC AMC (ANNUAL MAINTENANCE SERVICES FOR WATER PURIFICATION AND CONDITIONING SYSTEM) </t>
  </si>
  <si>
    <r>
      <rPr>
        <b/>
        <sz val="10"/>
        <rFont val="Roboto"/>
      </rPr>
      <t>Chhavi Refrigeration</t>
    </r>
    <r>
      <rPr>
        <sz val="10"/>
        <color rgb="FF434343"/>
        <rFont val="Roboto"/>
      </rPr>
      <t xml:space="preserve">
M/S Chhavi Refrigeration,
547, Chamunda Bhuvan, Patni Sheri, Swaminarayan Mandir Road,
Kalupur, Ahmedabad-380001.
</t>
    </r>
  </si>
  <si>
    <t>026593</t>
  </si>
  <si>
    <r>
      <rPr>
        <b/>
        <sz val="10"/>
        <rFont val="Roboto"/>
      </rPr>
      <t>PUREWELL</t>
    </r>
    <r>
      <rPr>
        <sz val="10"/>
        <color rgb="FF434343"/>
        <rFont val="Roboto"/>
      </rPr>
      <t xml:space="preserve">
14, 15 Sakti Tower, Samarth Park, Near Bhulka Bhavan Main Road, Adajan Surat, Gujarat-395009
</t>
    </r>
  </si>
  <si>
    <r>
      <rPr>
        <b/>
        <sz val="10"/>
        <rFont val="Roboto"/>
      </rPr>
      <t>Devam Enterprise</t>
    </r>
    <r>
      <rPr>
        <sz val="10"/>
        <color rgb="FF434343"/>
        <rFont val="Roboto"/>
      </rPr>
      <t xml:space="preserve">
Nr. V.M.C Bank,                    Post Office Road,                   Bh. Kanyashala school, Manavadar,
Junagadh,                       GUJARAT-362630
</t>
    </r>
  </si>
  <si>
    <t>GEM/2025/B/6505924</t>
  </si>
  <si>
    <t>006604</t>
  </si>
  <si>
    <r>
      <t xml:space="preserve">Krihna Refrigeration                 </t>
    </r>
    <r>
      <rPr>
        <sz val="10"/>
        <rFont val="Roboto"/>
      </rPr>
      <t xml:space="preserve">8, Ram Sagar Apartments, Opp. Vastrapur Railway crossing, Vejalpur, Ahmedabad – 380051 </t>
    </r>
  </si>
  <si>
    <t>7/31/2025 14:43:34</t>
  </si>
  <si>
    <t>20A</t>
  </si>
  <si>
    <t>himani.bhavsar@ldce.ac.in</t>
  </si>
  <si>
    <t>Infrared Thewrmal Imager Camera</t>
  </si>
  <si>
    <t>GEM/2025/B/6331576</t>
  </si>
  <si>
    <t>8/22/2025</t>
  </si>
  <si>
    <t>Infinity Measurement Solutions Pvt Ltd, 10th 1022 Maple Trade Centre, Surdhara Circle, Thaltej, Ahedabad - 380052</t>
  </si>
  <si>
    <t>Infrared Thermal IMagner camera</t>
  </si>
  <si>
    <t>Testo India Private Limited Plot No.23, Sind Society, Baner Road, Aundh Pune- 411007</t>
  </si>
  <si>
    <t>maheshpatel190772@gmail.com</t>
  </si>
  <si>
    <t>RO, WC AMC (ANNUAL MAINTENANCE SERVICES FOR WATER PURIFICATION AND CONDITIONING SYSTEM)</t>
  </si>
  <si>
    <t>Axis Bank Ltd.</t>
  </si>
  <si>
    <t xml:space="preserve">Krishna Refrigeration, BASEMENT-15 TOWER-B, B, MANGAL TIRTH COMPLEX, AYOJAN NAGAR, VASNA, Village/Town: - OPP. DHARNIDHAR DERASAR,
City: - AHMEDABAD,
AHMADABAD, GUJARAT-382460, India
</t>
  </si>
  <si>
    <t>Laser and Fiber Optics Trainer Kit</t>
  </si>
  <si>
    <t>GEM/2025/B/6513824</t>
  </si>
  <si>
    <t>8/29/2025</t>
  </si>
  <si>
    <t>IndusInd Bank</t>
  </si>
  <si>
    <t>MechMatics Engineering Pvt. Ltd.</t>
  </si>
  <si>
    <t>8/30/2025</t>
  </si>
  <si>
    <t>Royal electronics sales and services</t>
  </si>
  <si>
    <t>Monarch Sales</t>
  </si>
  <si>
    <t>Diagnostic Instrumentation Educational Kit</t>
  </si>
  <si>
    <t>GEM/2025/B/6510581</t>
  </si>
  <si>
    <t>Royal Electronics sales and services</t>
  </si>
  <si>
    <t>3D Printer</t>
  </si>
  <si>
    <t>GEM/2025/B/6523096</t>
  </si>
  <si>
    <t>Kotak</t>
  </si>
  <si>
    <t>Aryan Innovations, Vadodara</t>
  </si>
  <si>
    <t>9/17/2025 15:48:51</t>
  </si>
  <si>
    <t>amrutak@ldce.ac.in</t>
  </si>
  <si>
    <t>Environment engg.</t>
  </si>
  <si>
    <t>Turbidity meter</t>
  </si>
  <si>
    <t>GEM/2025/B/6510516</t>
  </si>
  <si>
    <t>386093 / 380012114 /16</t>
  </si>
  <si>
    <t>Holy Scientific , C-2(6), Plot No. 67/3, GIDC Estate, Ph-1, Opp. Pressure Jet Pump, Road L-9, Vatva Ahmedabad 382445</t>
  </si>
  <si>
    <t>9/17/2025 15:52:41</t>
  </si>
  <si>
    <t>High Quality Water purification system</t>
  </si>
  <si>
    <t>GEM/2025/B/6522093</t>
  </si>
  <si>
    <t>386094 / 380012114 /16</t>
  </si>
  <si>
    <t>Holy Scientific, C-2(6), Plot No. 67/3, GIDC Estate, Ph-1, Opp. Pressure Jet Pump, Poad L-9, Vatva, Ahmedabad-382445</t>
  </si>
  <si>
    <t>9/17/2025 15:57:26</t>
  </si>
  <si>
    <t>Flame Photo Meter</t>
  </si>
  <si>
    <t>GEM/2025/B/6527949</t>
  </si>
  <si>
    <t>709257 / 208024019 /16</t>
  </si>
  <si>
    <t>Punjab National Bank</t>
  </si>
  <si>
    <t>Marks (India) Traders, 11/29, Souter Ganj (Near Essel Kids School), Kanpur -208001</t>
  </si>
  <si>
    <t>9/15/2025</t>
  </si>
  <si>
    <t>9/26/2025 16:11:44</t>
  </si>
  <si>
    <t>Flame Photometer</t>
  </si>
  <si>
    <t>Indian Bank</t>
  </si>
  <si>
    <t>Labtronik, 10/11 Harikrupa Shopping Center, B/H City gold Cinema Ashram road, Ahmedabad 380009</t>
  </si>
  <si>
    <t>9/26/2025 16:15:17</t>
  </si>
  <si>
    <t>Laminar Air Flow</t>
  </si>
  <si>
    <t>GEM/2025/B/6547449</t>
  </si>
  <si>
    <t>Labtronik, 10/11 Harikrupa Shoping Center, B/H City gold ashram road, Ahmedabad- 380009</t>
  </si>
  <si>
    <t>Fume exhaust system</t>
  </si>
  <si>
    <t>GEM/2025/B/6567834</t>
  </si>
  <si>
    <t>9/23/2025</t>
  </si>
  <si>
    <t>9/22/2025</t>
  </si>
  <si>
    <t>IndusInd bank</t>
  </si>
  <si>
    <t>Panshul House, Bungalow No 3 , Bansidhar Society, Narayan Nagar, Vasna, Ahmedabad-380007</t>
  </si>
  <si>
    <t>9/25/2025</t>
  </si>
  <si>
    <t>9/24/2025</t>
  </si>
  <si>
    <t>Prajakta Enterprise</t>
  </si>
  <si>
    <t>e-PBG</t>
  </si>
  <si>
    <t>9/29/2025</t>
  </si>
  <si>
    <t>Prajakta Enterprise, Ahmedabad</t>
  </si>
  <si>
    <t>0554825IPG000054</t>
  </si>
  <si>
    <t>9/19/2025</t>
  </si>
  <si>
    <t>10/13/2025 12:08:32</t>
  </si>
  <si>
    <t>Magnetic stirrer</t>
  </si>
  <si>
    <t>GEM/2025/B/6552131</t>
  </si>
  <si>
    <t>Mercury Lab Planners, 5B/2 Tilak Nagar, New Delhi 110018, India</t>
  </si>
  <si>
    <t>10/13/2025 12:17:45</t>
  </si>
  <si>
    <t>Reliable lab Equipment, 1192, Cross road-2, Bengali Mohalla, Ambala Cantt. Haryana 133001</t>
  </si>
  <si>
    <t>10/13/2025 12:22:15</t>
  </si>
  <si>
    <t>Laboratory Incubator</t>
  </si>
  <si>
    <t>GEM/2025/B/6546863</t>
  </si>
  <si>
    <t>10/13/2025 12:24:20</t>
  </si>
  <si>
    <t>Flame photometer</t>
  </si>
  <si>
    <t>10/13/2025 12:28:08</t>
  </si>
  <si>
    <t>Water Bath</t>
  </si>
  <si>
    <t>GEM/2025/B/6487827</t>
  </si>
  <si>
    <t>Man Power Out Sourcing-R3</t>
  </si>
  <si>
    <t>11/20/2025 11:20:08</t>
  </si>
  <si>
    <t>11/25/2025 11:57:04</t>
  </si>
  <si>
    <t>piyush.patel@ldce.ac.in</t>
  </si>
  <si>
    <t>Chemical engg</t>
  </si>
  <si>
    <t>High Precision Weighing Balance</t>
  </si>
  <si>
    <t>GEM/2025/B/6433956</t>
  </si>
  <si>
    <t>Mercury Lab Planners, New Delhi</t>
  </si>
  <si>
    <t>EMD is after end date of bid.</t>
  </si>
  <si>
    <t>11/25/2025 12:01:24</t>
  </si>
  <si>
    <t>Apple Weighinfra Limited</t>
  </si>
  <si>
    <t>Emd received after Bid end date</t>
  </si>
  <si>
    <t>11/25/2025 12:04:44</t>
  </si>
  <si>
    <t>Kotak Mahindra Bank</t>
  </si>
  <si>
    <t>MxRady Lab Solutions Pvt. Ltd., Delhi</t>
  </si>
  <si>
    <t>Emd Received after bid end date</t>
  </si>
  <si>
    <t>7/29/2025 16:28:28</t>
  </si>
  <si>
    <t>Biomedical Sensor Interface Trainer kit</t>
  </si>
  <si>
    <t>Royal Electronics sales and services, 2nd Floor , Royal House, Vadodara - 390012</t>
  </si>
  <si>
    <t>GEM/2025/B/6653032</t>
  </si>
  <si>
    <t>9/27/2025</t>
  </si>
  <si>
    <t>BARODA - UP BANK</t>
  </si>
  <si>
    <t>HINDUSTAN WEAVING LOOMS, AZAMGARH , UP</t>
  </si>
  <si>
    <t>11/28/2025</t>
  </si>
  <si>
    <t>Miniature Handloom Machine</t>
  </si>
  <si>
    <t>BARODA UP BANK</t>
  </si>
  <si>
    <t>VISHWAKARMA TIMBER TRADERS, AZAMGAH, UP</t>
  </si>
  <si>
    <t>11/19/2025 13:59:43</t>
  </si>
  <si>
    <t>11/19/2025 14:02:28</t>
  </si>
  <si>
    <t>To be returned</t>
  </si>
  <si>
    <t>DPLC-3/L1</t>
  </si>
  <si>
    <t>Remarks-2</t>
  </si>
  <si>
    <t>11/19/2025 12:29:45</t>
  </si>
  <si>
    <t>head_rubber@ldce.ac.in</t>
  </si>
  <si>
    <t>Rubber technology</t>
  </si>
  <si>
    <t>UV-Visible Spectrophotometer</t>
  </si>
  <si>
    <t>GEM/2025/B/6537650</t>
  </si>
  <si>
    <t>XAG 709251</t>
  </si>
  <si>
    <t>Marks India Traders, 11/29 Civil Lines Road, Souter Ganj, Kanpur city, Uttar Pradesh-208001</t>
  </si>
  <si>
    <t>Under sign</t>
  </si>
  <si>
    <t>12/30/2025 11:45:29</t>
  </si>
  <si>
    <t>Shifting work</t>
  </si>
  <si>
    <t>GEM/2025/B/6930023</t>
  </si>
  <si>
    <t>11/25/2025</t>
  </si>
  <si>
    <t>Central Bank of India</t>
  </si>
  <si>
    <t>VSHAKTI VENTURES PVT. LTD., lAL DARWAJA, aHMEDABAD</t>
  </si>
  <si>
    <t>12/30/2025 11:49:52</t>
  </si>
  <si>
    <t>Shifting Work</t>
  </si>
  <si>
    <t>Indus Bank</t>
  </si>
  <si>
    <t>R.K Relocation, Ahmedabad</t>
  </si>
  <si>
    <t>12/17/2025</t>
  </si>
  <si>
    <t>12/30/2025 11:52:59</t>
  </si>
  <si>
    <t>11/26/2025</t>
  </si>
  <si>
    <t>Aswad Engineering Pvt. Ltd., 258/1, Jugaldas Estate, O/s. Prem Gate, Ahmedabad-380016</t>
  </si>
  <si>
    <t>12/30/2025 11:57:11</t>
  </si>
  <si>
    <t>EPABX System for Admin Offices</t>
  </si>
  <si>
    <t>GEM/2025/B/6847186</t>
  </si>
  <si>
    <t>11/17/2025</t>
  </si>
  <si>
    <t>11/19/2025</t>
  </si>
  <si>
    <t>Indian Overseas Bank</t>
  </si>
  <si>
    <t>Deep Communication, G-25, Samaan Complex, Opp. Kameshwar School,Settelilite, Ahmedabad-15</t>
  </si>
  <si>
    <t>11/29/2025</t>
  </si>
  <si>
    <t>12/30/2025 12:02:20</t>
  </si>
  <si>
    <t>11/20/2025</t>
  </si>
  <si>
    <t>YES Bank</t>
  </si>
  <si>
    <t>CAHOOT Technologies Pvt. Ltd., C-815 Siddhi Vinayak Towers, Near Adani School, Off. S.G Highway, Makarba, Ahmedabad-380051</t>
  </si>
  <si>
    <t>12/30/2025 12:06:14</t>
  </si>
  <si>
    <t>Aspire Technologies, 407, Lotus Plaza,30 Mtr, Vuda road, Gotri, Vadodara-390021</t>
  </si>
  <si>
    <t>12/16/2025 11:22:24</t>
  </si>
  <si>
    <t>Probe Sonicator</t>
  </si>
  <si>
    <t>GEM/2025/B/6796888</t>
  </si>
  <si>
    <t>10/28/2025</t>
  </si>
  <si>
    <t>11/18/2025</t>
  </si>
  <si>
    <t>11/15/2025</t>
  </si>
  <si>
    <t>MARKS (INDIA) TRADERS, A House for Laboratory Requisite, 11/29, Souter Ganj (Near Essel Kids School), Kanpur, 208001</t>
  </si>
  <si>
    <t>11/24/2025</t>
  </si>
  <si>
    <t>12/16/2025 11:50:02</t>
  </si>
  <si>
    <t>Ravi Scientific Industries, 14 UA, Opp. Nice Dry Cleaners, Jawahar Nagar, North Delhi, Delhi - 110007</t>
  </si>
  <si>
    <t>Other</t>
  </si>
  <si>
    <t>11/27/2025 15:27:53</t>
  </si>
  <si>
    <t>Electrical Machine Trainer</t>
  </si>
  <si>
    <t>GEM/2025/B/6772934</t>
  </si>
  <si>
    <t>kotak</t>
  </si>
  <si>
    <t>Araby Technologies</t>
  </si>
  <si>
    <t>11/27/2025 15:30:34</t>
  </si>
  <si>
    <t>10/18/2025</t>
  </si>
  <si>
    <t>Wintronix</t>
  </si>
  <si>
    <t>1/20/2026 15:04:44</t>
  </si>
  <si>
    <t>Civil engg.</t>
  </si>
  <si>
    <t>Gardening Services</t>
  </si>
  <si>
    <t>GEM/2025/B/6989533</t>
  </si>
  <si>
    <t>12/24/2025</t>
  </si>
  <si>
    <t>1/14/2026</t>
  </si>
  <si>
    <t>Prashant Securiy Services, 48, Shree Shaligram Villa, B/H Nandigram Society, Sector-4, Nana Chiloda, Ahmedabad-382340</t>
  </si>
  <si>
    <t>vaishali.adhwaryu@ldce.ac.in</t>
  </si>
  <si>
    <t>Science &amp; Hummanities</t>
  </si>
  <si>
    <t>Newton's Ring Experiment Set Up</t>
  </si>
  <si>
    <t>GEM/2025/B/6569564</t>
  </si>
  <si>
    <t>10/15/2025</t>
  </si>
  <si>
    <t>Prajakta Enterprise, 403, Anviksha Apt. 15, Shantiniketan Park Soc, Opp. Meghalaya Flat, Naranpura, Ahmedabad 380013</t>
  </si>
  <si>
    <t>Michelson Interferometer Standard Model</t>
  </si>
  <si>
    <t>kaparmar.19@ldce.ac.in</t>
  </si>
  <si>
    <t>Applied Mechanics</t>
  </si>
  <si>
    <t>Motorized Core Cutting Machine</t>
  </si>
  <si>
    <t>GEM/2025/B/6658092</t>
  </si>
  <si>
    <t>9/16/2025</t>
  </si>
  <si>
    <t>10/21/2025</t>
  </si>
  <si>
    <t>10/13/2025</t>
  </si>
  <si>
    <t>Valam Associates, No.283, 3rd floor, 5th cross, R.R. Layout, Vijinapura, Doorvaninagar-Post, Banglore-560016</t>
  </si>
  <si>
    <t>10/29/2025</t>
  </si>
  <si>
    <t>Kundt's Tube Apparatus</t>
  </si>
  <si>
    <t>Torsional Pendulum</t>
  </si>
  <si>
    <t>Wintronix, FF/17, Block 'D' Nirman Complex, Nr. Shayona City, Off S G Highway, Sola Bhagwat, Ghatlodiys, Ahmedabad-61.</t>
  </si>
  <si>
    <t>Young's Modulus for Uniform and Non-uniform bending</t>
  </si>
  <si>
    <t>Diode LASER assembly</t>
  </si>
  <si>
    <t>Uniform and Non Uniform Bending of a beam</t>
  </si>
  <si>
    <t>Superconductivity Experiment Kit</t>
  </si>
  <si>
    <t>9/26/2025</t>
  </si>
  <si>
    <t>Determination of Energy Bandgap in Semiconducting diode</t>
  </si>
  <si>
    <t>Determination of energy Band gap</t>
  </si>
  <si>
    <t>Machmatics Engineering Pvt. Ltd. 43, 1st floor, Harisiddh Chambers, Income Tax Circle, Ashram Road, Ahmedabad 380014</t>
  </si>
  <si>
    <t>Apparatus for Hook's law</t>
  </si>
  <si>
    <t xml:space="preserve">Wintronix, FF/17, Block 'D' Nirman Complex, Nr. Shayona City, Off S G Highway, Sola Bhagwat, Ghatlodiys, Ahmedabad-61.
</t>
  </si>
  <si>
    <t>Cantilever Depression</t>
  </si>
  <si>
    <t>Mechmatics Engineering Pvt. Ltd. 43, 1st floor, Harisiddh Chambers, Income Tax Circle, Ashram Road, Ahmedabad 380014</t>
  </si>
  <si>
    <t>Measurement of wavelength of LASER</t>
  </si>
  <si>
    <t>Spectro-Goniometer</t>
  </si>
  <si>
    <t>Uniform and Non-Uniform bending of a beam</t>
  </si>
  <si>
    <t>Uniform and non uniform bending of a beam</t>
  </si>
  <si>
    <t>Young Modulus for bending</t>
  </si>
  <si>
    <t>Young Modulus for Bending</t>
  </si>
  <si>
    <t>Kundt's Tube</t>
  </si>
  <si>
    <t>Newton's Ring Experimentset up</t>
  </si>
  <si>
    <t>Newton's Ring Experiment set up</t>
  </si>
  <si>
    <t>2/23/2026 16:20:39</t>
  </si>
  <si>
    <t>Compact weather station</t>
  </si>
  <si>
    <t>GEM/2025/B/6878905</t>
  </si>
  <si>
    <t>Raj instruments, 2 Union estate, Nr. Small Scale estate, B/H Gujarat bottling, Rakhial, Ahmedabad 380023</t>
  </si>
  <si>
    <t>12/15/2025</t>
  </si>
  <si>
    <t>Bis is canceled</t>
  </si>
  <si>
    <t>2/24/2026 17:28:20</t>
  </si>
  <si>
    <t>Three Hinged Arch Apparatus</t>
  </si>
  <si>
    <t>GEM/2025/B/6873307</t>
  </si>
  <si>
    <t xml:space="preserve">KMV Agrotech and Engineering Works 
352 - 353,Purvi Deen Dayal, Old Railway Road, Roorkee,
Haridwar, UTTARAKHAND-247667
</t>
  </si>
  <si>
    <t>2/24/2026 17:38:06</t>
  </si>
  <si>
    <t>Two Hinged Arch Apparatus</t>
  </si>
  <si>
    <t>GEM/2025/B/6873002</t>
  </si>
  <si>
    <t>Motorised concrete core cutting machine</t>
  </si>
  <si>
    <t>2/16/2026</t>
  </si>
  <si>
    <t>ICICI bank</t>
  </si>
  <si>
    <t>M/s. Intellitest Solutions Pvt. Ltd., 
12A08, Business Hub, Sector -81, Faridabad – 121007</t>
  </si>
  <si>
    <t>Four Probe method for Energy Band Gap</t>
  </si>
  <si>
    <t>BID NO: GEM/2025/B/6569564</t>
  </si>
  <si>
    <t>2/13/2026</t>
  </si>
  <si>
    <t>Axis</t>
  </si>
  <si>
    <t>Nvis Technologies Pvt. Ltd- Indore (M.P.), 141-A, Electronic Complex, Pardesipura, Indore-452 010. India</t>
  </si>
  <si>
    <t>2/20/2026</t>
  </si>
  <si>
    <t>10/15/2026</t>
  </si>
  <si>
    <t>Axis Bank</t>
  </si>
  <si>
    <t>NVIS Technologies Pvt. LTD. 141-A, Electronic Complex, Pardesipura, Indore-452010 India</t>
  </si>
  <si>
    <t>Diode LASER Assembly</t>
  </si>
  <si>
    <t>2/23/2026</t>
  </si>
  <si>
    <t>2/24/2026</t>
  </si>
  <si>
    <t>Wintronix, FF/17, Block 'D' Nirman Complex, Nr. Shayona City, Off S. G. Highway, Sola Bhagvat, Ghatlodiya, Ahmedabad 61</t>
  </si>
  <si>
    <t>3/23/2026 12:26:35</t>
  </si>
  <si>
    <t>Portable concrete core cutter</t>
  </si>
  <si>
    <t>M/s. Intellitest Solutions Pvt. Ltd., 12A08, Business
Hub, Sector -81, Faridabad – 121007</t>
  </si>
  <si>
    <t>3/18/2026 13:59:40</t>
  </si>
  <si>
    <t>Canteen services</t>
  </si>
  <si>
    <t>1/29/2026</t>
  </si>
  <si>
    <t>Forward auction no-032936</t>
  </si>
  <si>
    <t>1/19/2026</t>
  </si>
  <si>
    <t>IA caterers, A-916, 1208, EWS-II, Sargasan, Gandhinagar, Gujarat-382421</t>
  </si>
  <si>
    <t>3/18/2026 14:04:26</t>
  </si>
  <si>
    <t>Canteen Services</t>
  </si>
  <si>
    <t>Forward auction No- 28306</t>
  </si>
  <si>
    <t>1/17/2026</t>
  </si>
  <si>
    <t>Bharat Bank</t>
  </si>
  <si>
    <t>Jyoti Hospitality Services, S/3, Shikhar Apartment, Nr. Management Enclave, Vastrapur, Ahmedabad, Gujarat-380015</t>
  </si>
  <si>
    <t>3/18/2026 11:13:07</t>
  </si>
  <si>
    <t>head_plastic@ldce.ac.in</t>
  </si>
  <si>
    <t>Platic technology</t>
  </si>
  <si>
    <t>Electro Pneumatic Trainer</t>
  </si>
  <si>
    <t>GEM/2025/B/6740610</t>
  </si>
  <si>
    <t>12/29/2025</t>
  </si>
  <si>
    <t>LEARNING LAB SOLUTIONS, SHED-15-SHRINATH IND.ESTATE,PLOT NO.#5402-G.I.D.C VATVA,AHMEDABAD-382445</t>
  </si>
  <si>
    <t>3/17/2026 12:42:42</t>
  </si>
  <si>
    <t>riturajchoube@ldce.ac.in</t>
  </si>
  <si>
    <t>Automobile engg.</t>
  </si>
  <si>
    <t>Gas Analyzer</t>
  </si>
  <si>
    <t>GEM/2025/B/6805867</t>
  </si>
  <si>
    <t>NEXTEK EQUIPMENT , ADD- 245-246/1 PHASE-1, GATE NO. 5 ,G I D C , NARODA AHMEDABAD 382330</t>
  </si>
  <si>
    <t>3/13/2026 14:36:36</t>
  </si>
  <si>
    <t>dhavalpatel@ldce.ac.in</t>
  </si>
  <si>
    <t>Augmented Welding Simulator</t>
  </si>
  <si>
    <t>GEM/2025/B/6965648</t>
  </si>
  <si>
    <t>IMPART TECH SOLUTIONS, C3-1704, L&amp;T SOUTH CITY,AREKERE MICO LAYOUT, BANNERGHATTA ROAD, BENGALURU-560076</t>
  </si>
  <si>
    <t>005229</t>
  </si>
  <si>
    <t>Schedule - 3 Process Instrumentation Trainer</t>
  </si>
  <si>
    <t>GEM/2025/B/6854720</t>
  </si>
  <si>
    <t>11/13/2025</t>
  </si>
  <si>
    <t>12/31/2025</t>
  </si>
  <si>
    <t>PROCOM ENTERPRISES, 5/302/16, 25B/32B, Adinath Co. Operative Society, Sangli Road, ICHALKARANJI - 416115</t>
  </si>
  <si>
    <t>Canara Bank</t>
  </si>
  <si>
    <t>CUBIX AUTOMATION PRIVATE LIMITED,26/6, HINGNE,VITTHALWADI,SINHGAD ROAD,Village/Town:- HINGNE KHURD, City:- PUNE, PUNE, MAHARASHTRA-411051, India</t>
  </si>
  <si>
    <t>Schedule - 4 Microprocessor and Microcontroller Trainer Kits</t>
  </si>
  <si>
    <t>Schedule - 7 Transducer and Measurement Trainer Kits</t>
  </si>
  <si>
    <t xml:space="preserve">CUBIX AUTOMATION PRIVATE LIMITED,26/6, HINGNE,VITTHALWADI,SINHGAD ROAD,Village/Town:- HINGNE KHURD, City:- PUNE, PUNE, MAHARASHTRA-411051, India
</t>
  </si>
  <si>
    <t>Schedule - 11 Electric Circuit Analysis Experiment Kit</t>
  </si>
  <si>
    <t>Schedule - 9 DC Motor Kit</t>
  </si>
  <si>
    <t>3/18/2026</t>
  </si>
  <si>
    <t>Schedule - 10 Advanced hardware-software kit for Machine Learning</t>
  </si>
  <si>
    <t>Schedule - 6 Advance Microcontroller Trainer Kits</t>
  </si>
  <si>
    <t>0554826IPG000083</t>
  </si>
  <si>
    <t>INDIAN Bank</t>
  </si>
  <si>
    <t>Royal Electronics Sales &amp; Services, Royal House, 2nd Floor, 1 Raj Laxmi Society, Nr HCG Cancer Center, Atladara, Tandalja, Vadodara, Gujarat 390012</t>
  </si>
  <si>
    <t>Bank Guarantee</t>
  </si>
  <si>
    <t>Schedule - 8 4 AXIS Articulated Robot ARM Work-Cell with Conveyor, Pick &amp; Place (MATLAB compatible)</t>
  </si>
  <si>
    <t>Monarch Sales, 20, DAKSHINAMURTI RESIDENCY SUN PHARMA ROAD, NEAR PRATHAM ENCLAVE ATLADARA AKOTA VADODARA - 390012</t>
  </si>
  <si>
    <t>12/13/2025</t>
  </si>
  <si>
    <t>Schedule - 5 Basic Electronics and Measurement Kits</t>
  </si>
  <si>
    <t>"Schedule - 9 DC Motor Kit &amp; Schedule - 10 Advanced hardware-software kit for Machine Learning "</t>
  </si>
  <si>
    <t>GEM/2025/B/6792839</t>
  </si>
  <si>
    <t>PROCOM ENTERPRISES, 5/302/16, 25B/32B, Adinath Co. Operative Society, Near Sahakar Nagar, ICHALKARANJI - 416115</t>
  </si>
  <si>
    <t>Schedule - 1 Process Control Trainer - Flow, Level with Pneumatic Control Valve</t>
  </si>
  <si>
    <t>Schedule - 2 Process Control Trainer-Pressure, Temperature, Flow.</t>
  </si>
  <si>
    <t>12/25/2025</t>
  </si>
  <si>
    <t>CUBIX AUTOMATION PRIVATE LIMITED, 26/6, Vithalwadi, Hingane Khurd, Sinhgad Road, Pune-411051 Maharastra</t>
  </si>
  <si>
    <t>12/26/2025</t>
  </si>
  <si>
    <t>001524</t>
  </si>
  <si>
    <t>001525</t>
  </si>
  <si>
    <t>001526</t>
  </si>
  <si>
    <t>2/23/2026 16:14:07</t>
  </si>
  <si>
    <t>Muffle furnamce</t>
  </si>
  <si>
    <t>GEM/2025/B/6872975</t>
  </si>
  <si>
    <t>Mercury Lab Planners, 5B/2 Tilak nagar , Nwe Delhi 110018</t>
  </si>
  <si>
    <t>Bidder disqualified</t>
  </si>
  <si>
    <t>2/23/2026 16:03:12</t>
  </si>
  <si>
    <t>Kishan Engineering works, 8-A NATIONAL HIGHWAY, NR. GK HOTEL, MORBI-363642 (GUJ.) INDIA</t>
  </si>
  <si>
    <t>Bidder is disqualified</t>
  </si>
  <si>
    <t>Micro/SemiMicro Analitical Balance</t>
  </si>
  <si>
    <t>GEM/2025/B/6909899</t>
  </si>
  <si>
    <t>patelbhakti137@gmail.com</t>
  </si>
  <si>
    <t>UV light Accelerated Weathering Tester- digital</t>
  </si>
  <si>
    <t>GEM/2025/B/6961746</t>
  </si>
  <si>
    <t>12/16/2025</t>
  </si>
  <si>
    <t>STECH Engineers,building no. 6, Meghdoot Industrial estate, Virar, Maharashtra</t>
  </si>
  <si>
    <t>2.Flammability Tester UL-94</t>
  </si>
  <si>
    <t>STECH Engineers, Building 6, Meghdoot Insustrial estate, Virar, Maharashtra</t>
  </si>
  <si>
    <t>12/16/2026</t>
  </si>
  <si>
    <t>Moving Die Rheometer (MDR)</t>
  </si>
  <si>
    <t>STECH Engineers, building 6, Meghdoot Industrial Estate, VIrar, Maharashtra</t>
  </si>
  <si>
    <t>4.Brookfield Viscometer</t>
  </si>
  <si>
    <t>GEM/2025/B/6518892</t>
  </si>
  <si>
    <t>Amkette Analytics, Ambekar marg,Mumbai</t>
  </si>
  <si>
    <t>2/26/2026 17:54:21</t>
  </si>
  <si>
    <t>Horizontal Autoclave</t>
  </si>
  <si>
    <t>GEM/2025/B/6865821</t>
  </si>
  <si>
    <t>MARK ENTERPRISES, SHED NO1, PLOT NO 93/2, MIDC, STREET NO17, SATPUR, NASIK, MAHARASHTRA - 422007</t>
  </si>
  <si>
    <t>Copier Machine</t>
  </si>
  <si>
    <t>GEM/2025/B/7035697</t>
  </si>
  <si>
    <t>YES BANK</t>
  </si>
  <si>
    <t>IRIS CONAIDS PVT. LTD.,R D Colony, Opposite Nutan Mills, Anil Road, Saraspur, Ahmedabad-380018, Gujarat</t>
  </si>
  <si>
    <t>1/27/2026</t>
  </si>
  <si>
    <t>YES MARKETING, 3RD FLOOR, MISTRY CHAMBERS,B/S CAMA HOTEL,KHANPUR,AHMEDABAD-380001</t>
  </si>
  <si>
    <t>2/18/2026</t>
  </si>
  <si>
    <t>VISHAL TECH SOLUTIONS,D-434,4TH FLOORSAFAL SUMEL-8,AJIT MILL CROSS ROAD,RAKHIAL, AHMEDABAD-380023</t>
  </si>
  <si>
    <t>2/21/2026</t>
  </si>
  <si>
    <t>SHIV TELECOM,403,404 &amp; 406, DECORA PLAZA, DECORA ROAD, NEAR ISKCON TEMLE, KALAWAD ROAD, RAJKOT-360005</t>
  </si>
  <si>
    <t>1/20/2026</t>
  </si>
  <si>
    <t>GREENERY EQUIPMENTS OPC PVT.LTD., NO.12-D,12TH FLOOR,SEMMOZHI SALAI,PERUMBAKKAM,CHENNAI-600100,TAMILNADU,INDIA</t>
  </si>
  <si>
    <t>2/19/2026</t>
  </si>
  <si>
    <t>AXIS Bank</t>
  </si>
  <si>
    <t>KRUPA ENTERPRISE,B-303, SATYMEV ROYAL,SARGASAN,GANDHINAGAR-382421</t>
  </si>
  <si>
    <t>Multimedia Projector</t>
  </si>
  <si>
    <t>GEM/2025/B/6839275</t>
  </si>
  <si>
    <t>PACE COMPUTER CONSULTANTS PVT. LTD.,201 AKASHNATH COMPLEX,B/H GLS HIGH SCHOOL,ELLISBRIDGE,AHMEDABAD-380006</t>
  </si>
  <si>
    <t>Bid by GIL</t>
  </si>
  <si>
    <t>ACCUTECH TECHNOLOGIES PVT. LTD., BASEMENT-1/A,HIMALAYA MALL ,DRIVE IN ROAD, MEMNAGAR, AHMEDABAD-380052</t>
  </si>
  <si>
    <t>2/24/2026 17:32:13</t>
  </si>
  <si>
    <t xml:space="preserve">M/S ENGINEERING MODELS &amp; EQUIPMENT 
Adarsh Nagar,
Roorkee, Haridwar, UTTARAKHAND-247667
</t>
  </si>
  <si>
    <t>2/24/2026 17:40:24</t>
  </si>
  <si>
    <t>4/13/2026 13:06:51</t>
  </si>
  <si>
    <t>librarian@ldce.ac.in</t>
  </si>
  <si>
    <t>Library</t>
  </si>
  <si>
    <t>THR BOOK SHOP</t>
  </si>
  <si>
    <t>GEM/2025/B/6939427</t>
  </si>
  <si>
    <t>1, Mahavir complex, Nr icic, 
Kalwad Road, 
Rajkot - 1. 
Mobile No - .9825148130</t>
  </si>
  <si>
    <t>4/13/2026 13:18:17</t>
  </si>
  <si>
    <t>simandhar corporation</t>
  </si>
  <si>
    <t>Balakdas Krupa, Gautam nagar - 5 
gandigram, behind Maruti Hall,
Rajkot_360001, 
ph No . 2588130</t>
  </si>
  <si>
    <t>12/20/2025</t>
  </si>
  <si>
    <t>4/13/2026 13:50:29</t>
  </si>
  <si>
    <t>Vardhman Agency</t>
  </si>
  <si>
    <t>12/27/2025</t>
  </si>
  <si>
    <t>A-1 Gurukrupa appartment, 
22/23 new jagnath plot rajkot
Pn No . - 02812588130</t>
  </si>
  <si>
    <t>GEM/2025/B/6767556</t>
  </si>
  <si>
    <t>Mechanical</t>
  </si>
  <si>
    <t>068906</t>
  </si>
  <si>
    <t>Standard Chartered</t>
  </si>
  <si>
    <t>Fifty Four Thousand</t>
  </si>
  <si>
    <t>Laser Cutting Machine</t>
  </si>
  <si>
    <t>Aaradhabna Technology Systems, Khasrano.214,Kharbaso Ki Dhani,Jaisinghpura Road, Bhankrota, ?Jaipur-302026…Ph.9599061979</t>
  </si>
  <si>
    <t>Mehta Hitech Industries Limited,Plot No.3, Road No.1, Kathvada GIDC,Ahmedabad-382430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</si>
</sst>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15" x14ac:knownFonts="1">
    <font>
      <sz val="11"/>
      <color theme="1"/>
      <name val="Aptos Narrow"/>
      <family val="2"/>
      <scheme val="minor"/>
    </font>
    <font>
      <sz val="10"/>
      <color rgb="FF434343"/>
      <name val="Roboto"/>
    </font>
    <font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theme="1"/>
      <name val="Arial"/>
      <family val="2"/>
    </font>
    <font>
      <b/>
      <sz val="10"/>
      <name val="Roboto"/>
    </font>
    <font>
      <b/>
      <sz val="10"/>
      <color rgb="FF434343"/>
      <name val="Roboto"/>
    </font>
    <font>
      <b/>
      <sz val="10"/>
      <color rgb="FFFF0000"/>
      <name val="Roboto"/>
    </font>
    <font>
      <sz val="10"/>
      <name val="Roboto"/>
    </font>
    <font>
      <sz val="10"/>
      <color rgb="FFFF0000"/>
      <name val="Roboto"/>
    </font>
    <font>
      <b/>
      <sz val="14"/>
      <color rgb="FF434343"/>
      <name val="Roboto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72">
    <xf numFmtId="0" fontId="0" fillId="0" borderId="0" xfId="0"/>
    <xf numFmtId="0" fontId="4" fillId="0" borderId="1" xfId="0" applyFont="1" applyBorder="1" applyAlignment="1">
      <alignment wrapText="1"/>
    </xf>
    <xf numFmtId="0" fontId="0" fillId="0" borderId="1" xfId="0" applyBorder="1"/>
    <xf numFmtId="0" fontId="4" fillId="2" borderId="1" xfId="0" applyFont="1" applyFill="1" applyBorder="1"/>
    <xf numFmtId="0" fontId="0" fillId="0" borderId="1" xfId="0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0" fontId="4" fillId="3" borderId="1" xfId="0" applyFont="1" applyFill="1" applyBorder="1" applyAlignment="1">
      <alignment wrapText="1"/>
    </xf>
    <xf numFmtId="0" fontId="0" fillId="3" borderId="1" xfId="0" applyFill="1" applyBorder="1"/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164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/>
    <xf numFmtId="0" fontId="0" fillId="0" borderId="1" xfId="0" applyFill="1" applyBorder="1" applyAlignment="1">
      <alignment horizontal="left" vertical="center"/>
    </xf>
    <xf numFmtId="1" fontId="2" fillId="0" borderId="1" xfId="0" applyNumberFormat="1" applyFont="1" applyFill="1" applyBorder="1" applyAlignment="1">
      <alignment horizontal="center" vertical="center"/>
    </xf>
    <xf numFmtId="1" fontId="3" fillId="0" borderId="1" xfId="0" applyNumberFormat="1" applyFont="1" applyFill="1" applyBorder="1" applyAlignment="1">
      <alignment vertical="center"/>
    </xf>
    <xf numFmtId="0" fontId="1" fillId="0" borderId="1" xfId="0" applyFont="1" applyFill="1" applyBorder="1" applyAlignment="1">
      <alignment vertical="center" wrapText="1"/>
    </xf>
    <xf numFmtId="49" fontId="1" fillId="0" borderId="1" xfId="0" applyNumberFormat="1" applyFont="1" applyFill="1" applyBorder="1" applyAlignment="1">
      <alignment vertical="center" wrapText="1"/>
    </xf>
    <xf numFmtId="14" fontId="1" fillId="0" borderId="1" xfId="0" applyNumberFormat="1" applyFont="1" applyFill="1" applyBorder="1" applyAlignment="1">
      <alignment horizontal="right" vertical="center" wrapText="1"/>
    </xf>
    <xf numFmtId="14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4" fontId="0" fillId="0" borderId="1" xfId="0" applyNumberFormat="1" applyFill="1" applyBorder="1" applyAlignment="1">
      <alignment horizontal="center" vertical="center"/>
    </xf>
    <xf numFmtId="1" fontId="1" fillId="0" borderId="1" xfId="0" applyNumberFormat="1" applyFont="1" applyFill="1" applyBorder="1" applyAlignment="1">
      <alignment horizontal="right" vertical="center" wrapText="1"/>
    </xf>
    <xf numFmtId="0" fontId="1" fillId="0" borderId="1" xfId="0" applyFont="1" applyFill="1" applyBorder="1" applyAlignment="1">
      <alignment horizontal="center" vertical="center" wrapText="1"/>
    </xf>
    <xf numFmtId="14" fontId="1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wrapText="1"/>
    </xf>
    <xf numFmtId="0" fontId="4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right" vertical="center" wrapText="1"/>
    </xf>
    <xf numFmtId="0" fontId="9" fillId="0" borderId="1" xfId="0" applyFont="1" applyFill="1" applyBorder="1" applyAlignment="1">
      <alignment vertical="center" wrapText="1"/>
    </xf>
    <xf numFmtId="49" fontId="1" fillId="0" borderId="1" xfId="0" quotePrefix="1" applyNumberFormat="1" applyFont="1" applyFill="1" applyBorder="1" applyAlignment="1">
      <alignment horizontal="right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" fillId="0" borderId="1" xfId="0" quotePrefix="1" applyFont="1" applyFill="1" applyBorder="1" applyAlignment="1">
      <alignment horizontal="right" vertical="center" wrapText="1"/>
    </xf>
    <xf numFmtId="0" fontId="12" fillId="0" borderId="1" xfId="0" applyFont="1" applyFill="1" applyBorder="1"/>
    <xf numFmtId="14" fontId="9" fillId="0" borderId="1" xfId="0" applyNumberFormat="1" applyFont="1" applyFill="1" applyBorder="1" applyAlignment="1">
      <alignment horizontal="right" vertical="center" wrapText="1"/>
    </xf>
    <xf numFmtId="14" fontId="9" fillId="0" borderId="1" xfId="0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right" vertical="center" wrapText="1"/>
    </xf>
    <xf numFmtId="0" fontId="12" fillId="0" borderId="1" xfId="0" applyFont="1" applyFill="1" applyBorder="1" applyAlignment="1">
      <alignment horizontal="right" vertical="center"/>
    </xf>
    <xf numFmtId="0" fontId="6" fillId="0" borderId="1" xfId="0" applyFont="1" applyFill="1" applyBorder="1" applyAlignment="1">
      <alignment vertical="top" wrapText="1"/>
    </xf>
    <xf numFmtId="0" fontId="12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wrapText="1"/>
    </xf>
    <xf numFmtId="0" fontId="5" fillId="0" borderId="1" xfId="0" applyFont="1" applyBorder="1" applyAlignment="1">
      <alignment wrapText="1"/>
    </xf>
    <xf numFmtId="1" fontId="3" fillId="0" borderId="1" xfId="0" applyNumberFormat="1" applyFont="1" applyFill="1" applyBorder="1" applyAlignment="1">
      <alignment horizontal="center" vertical="center"/>
    </xf>
    <xf numFmtId="0" fontId="0" fillId="4" borderId="1" xfId="0" applyFill="1" applyBorder="1"/>
    <xf numFmtId="14" fontId="5" fillId="0" borderId="1" xfId="0" applyNumberFormat="1" applyFont="1" applyFill="1" applyBorder="1" applyAlignment="1">
      <alignment horizontal="right" wrapText="1"/>
    </xf>
    <xf numFmtId="0" fontId="5" fillId="0" borderId="1" xfId="0" applyFont="1" applyFill="1" applyBorder="1" applyAlignment="1">
      <alignment horizontal="right" wrapText="1"/>
    </xf>
    <xf numFmtId="14" fontId="5" fillId="0" borderId="1" xfId="0" applyNumberFormat="1" applyFont="1" applyFill="1" applyBorder="1" applyAlignment="1">
      <alignment wrapText="1"/>
    </xf>
    <xf numFmtId="0" fontId="0" fillId="0" borderId="1" xfId="0" applyFill="1" applyBorder="1" applyAlignment="1">
      <alignment vertical="center"/>
    </xf>
    <xf numFmtId="0" fontId="5" fillId="3" borderId="1" xfId="0" applyFont="1" applyFill="1" applyBorder="1" applyAlignment="1">
      <alignment wrapText="1"/>
    </xf>
    <xf numFmtId="0" fontId="5" fillId="0" borderId="1" xfId="0" applyFont="1" applyFill="1" applyBorder="1" applyAlignment="1">
      <alignment horizontal="center" vertical="center" wrapText="1"/>
    </xf>
    <xf numFmtId="0" fontId="1" fillId="0" borderId="1" xfId="0" quotePrefix="1" applyFont="1" applyFill="1" applyBorder="1" applyAlignment="1">
      <alignment vertical="center" wrapText="1"/>
    </xf>
    <xf numFmtId="14" fontId="0" fillId="0" borderId="1" xfId="0" applyNumberFormat="1" applyFill="1" applyBorder="1" applyAlignment="1">
      <alignment horizontal="center"/>
    </xf>
    <xf numFmtId="0" fontId="14" fillId="0" borderId="1" xfId="1" applyFill="1" applyBorder="1" applyAlignment="1">
      <alignment vertical="center" wrapText="1"/>
    </xf>
    <xf numFmtId="14" fontId="0" fillId="0" borderId="1" xfId="0" applyNumberFormat="1" applyFill="1" applyBorder="1"/>
    <xf numFmtId="0" fontId="0" fillId="0" borderId="1" xfId="0" quotePrefix="1" applyFill="1" applyBorder="1" applyAlignment="1">
      <alignment horizontal="right"/>
    </xf>
    <xf numFmtId="14" fontId="0" fillId="0" borderId="1" xfId="0" applyNumberFormat="1" applyFill="1" applyBorder="1" applyAlignment="1">
      <alignment vertical="center"/>
    </xf>
    <xf numFmtId="0" fontId="0" fillId="0" borderId="1" xfId="0" applyFill="1" applyBorder="1" applyAlignment="1">
      <alignment horizontal="right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right"/>
    </xf>
    <xf numFmtId="0" fontId="0" fillId="4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5" fillId="0" borderId="1" xfId="0" applyFont="1" applyFill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22" fontId="1" fillId="0" borderId="1" xfId="0" applyNumberFormat="1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tore@ldce.ac.in" TargetMode="External"/><Relationship Id="rId1" Type="http://schemas.openxmlformats.org/officeDocument/2006/relationships/hyperlink" Target="mailto:store@ldce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AEE03-254C-4981-9A1F-D9BFC04B64E8}">
  <dimension ref="A1:AA207"/>
  <sheetViews>
    <sheetView tabSelected="1" zoomScale="85" zoomScaleNormal="85" workbookViewId="0">
      <pane ySplit="1" topLeftCell="A2" activePane="bottomLeft" state="frozen"/>
      <selection pane="bottomLeft" sqref="A1:A1048576"/>
    </sheetView>
  </sheetViews>
  <sheetFormatPr defaultRowHeight="15" x14ac:dyDescent="0.25"/>
  <cols>
    <col min="1" max="1" width="21.5703125" style="69" customWidth="1"/>
    <col min="2" max="2" width="9.140625" style="4"/>
    <col min="3" max="3" width="23.7109375" style="2" bestFit="1" customWidth="1"/>
    <col min="4" max="4" width="16.140625" style="2" customWidth="1"/>
    <col min="5" max="5" width="33" style="2" customWidth="1"/>
    <col min="6" max="6" width="20.28515625" style="2" customWidth="1"/>
    <col min="7" max="7" width="15" style="49" customWidth="1"/>
    <col min="8" max="8" width="17.7109375" style="63" customWidth="1"/>
    <col min="9" max="9" width="15.85546875" style="2" customWidth="1"/>
    <col min="10" max="10" width="9.140625" style="64"/>
    <col min="11" max="11" width="14.5703125" style="65" customWidth="1"/>
    <col min="12" max="12" width="11.85546875" style="2" customWidth="1"/>
    <col min="13" max="13" width="14.7109375" style="2" customWidth="1"/>
    <col min="14" max="14" width="9.140625" style="2"/>
    <col min="15" max="15" width="34.7109375" style="2" customWidth="1"/>
    <col min="16" max="16" width="12.28515625" style="69" customWidth="1"/>
    <col min="17" max="17" width="16.7109375" style="69" customWidth="1"/>
    <col min="18" max="18" width="19.85546875" style="69" customWidth="1"/>
    <col min="19" max="19" width="42.28515625" style="66" bestFit="1" customWidth="1"/>
    <col min="20" max="20" width="15.42578125" style="66" customWidth="1"/>
    <col min="21" max="16384" width="9.140625" style="2"/>
  </cols>
  <sheetData>
    <row r="1" spans="1:27" ht="48.75" customHeight="1" x14ac:dyDescent="0.25">
      <c r="A1" s="10" t="s">
        <v>48</v>
      </c>
      <c r="B1" s="10" t="s">
        <v>49</v>
      </c>
      <c r="C1" s="11" t="s">
        <v>50</v>
      </c>
      <c r="D1" s="9" t="s">
        <v>51</v>
      </c>
      <c r="E1" s="9" t="s">
        <v>52</v>
      </c>
      <c r="F1" s="9" t="s">
        <v>53</v>
      </c>
      <c r="G1" s="9" t="s">
        <v>54</v>
      </c>
      <c r="H1" s="12" t="s">
        <v>55</v>
      </c>
      <c r="I1" s="9" t="s">
        <v>56</v>
      </c>
      <c r="J1" s="13" t="s">
        <v>57</v>
      </c>
      <c r="K1" s="14" t="s">
        <v>58</v>
      </c>
      <c r="L1" s="15" t="s">
        <v>59</v>
      </c>
      <c r="M1" s="9" t="s">
        <v>60</v>
      </c>
      <c r="N1" s="9" t="s">
        <v>61</v>
      </c>
      <c r="O1" s="15" t="s">
        <v>62</v>
      </c>
      <c r="P1" s="13" t="s">
        <v>63</v>
      </c>
      <c r="Q1" s="13" t="s">
        <v>64</v>
      </c>
      <c r="R1" s="10" t="s">
        <v>65</v>
      </c>
      <c r="S1" s="11" t="s">
        <v>66</v>
      </c>
      <c r="T1" s="10" t="s">
        <v>312</v>
      </c>
      <c r="U1" s="3"/>
      <c r="V1" s="3"/>
    </row>
    <row r="2" spans="1:27" ht="48.75" customHeight="1" x14ac:dyDescent="0.25">
      <c r="A2" s="28" t="s">
        <v>164</v>
      </c>
      <c r="B2" s="16">
        <v>17</v>
      </c>
      <c r="C2" s="21" t="s">
        <v>1</v>
      </c>
      <c r="D2" s="21" t="s">
        <v>2</v>
      </c>
      <c r="E2" s="21" t="s">
        <v>165</v>
      </c>
      <c r="F2" s="21" t="s">
        <v>166</v>
      </c>
      <c r="G2" s="23">
        <v>45937</v>
      </c>
      <c r="H2" s="29" t="s">
        <v>167</v>
      </c>
      <c r="I2" s="32">
        <v>60000</v>
      </c>
      <c r="J2" s="21">
        <v>1396</v>
      </c>
      <c r="K2" s="32" t="s">
        <v>107</v>
      </c>
      <c r="L2" s="32">
        <v>1800</v>
      </c>
      <c r="M2" s="21" t="s">
        <v>6</v>
      </c>
      <c r="N2" s="17"/>
      <c r="O2" s="21" t="s">
        <v>168</v>
      </c>
      <c r="P2" s="28" t="s">
        <v>8</v>
      </c>
      <c r="Q2" s="28" t="s">
        <v>75</v>
      </c>
      <c r="R2" s="55"/>
      <c r="S2" s="18" t="e">
        <f ca="1">_xll.AblebitsUDF.AblebitsSpellNumber(L2,"None",1,1,FALSE)</f>
        <v>#NAME?</v>
      </c>
      <c r="T2" s="46"/>
      <c r="U2" s="47"/>
      <c r="V2" s="47"/>
      <c r="W2" s="47"/>
    </row>
    <row r="3" spans="1:27" ht="48.75" customHeight="1" x14ac:dyDescent="0.25">
      <c r="A3" s="28" t="s">
        <v>169</v>
      </c>
      <c r="B3" s="16">
        <v>18</v>
      </c>
      <c r="C3" s="21" t="s">
        <v>1</v>
      </c>
      <c r="D3" s="21" t="s">
        <v>2</v>
      </c>
      <c r="E3" s="21" t="s">
        <v>170</v>
      </c>
      <c r="F3" s="21" t="s">
        <v>166</v>
      </c>
      <c r="G3" s="23">
        <v>45937</v>
      </c>
      <c r="H3" s="29" t="s">
        <v>167</v>
      </c>
      <c r="I3" s="32">
        <v>60000</v>
      </c>
      <c r="J3" s="21">
        <v>4353</v>
      </c>
      <c r="K3" s="32" t="s">
        <v>90</v>
      </c>
      <c r="L3" s="32">
        <v>1800</v>
      </c>
      <c r="M3" s="21" t="s">
        <v>6</v>
      </c>
      <c r="N3" s="17"/>
      <c r="O3" s="21" t="s">
        <v>171</v>
      </c>
      <c r="P3" s="28" t="s">
        <v>8</v>
      </c>
      <c r="Q3" s="28" t="s">
        <v>172</v>
      </c>
      <c r="R3" s="28" t="s">
        <v>173</v>
      </c>
      <c r="S3" s="18" t="e">
        <f ca="1">_xll.AblebitsUDF.AblebitsSpellNumber(L3,"None",1,1,FALSE)</f>
        <v>#NAME?</v>
      </c>
      <c r="T3" s="46"/>
      <c r="U3" s="47"/>
      <c r="V3" s="47"/>
      <c r="W3" s="47"/>
    </row>
    <row r="4" spans="1:27" ht="48.75" customHeight="1" x14ac:dyDescent="0.25">
      <c r="A4" s="28" t="s">
        <v>174</v>
      </c>
      <c r="B4" s="16">
        <v>19</v>
      </c>
      <c r="C4" s="21" t="s">
        <v>1</v>
      </c>
      <c r="D4" s="21" t="s">
        <v>2</v>
      </c>
      <c r="E4" s="21" t="s">
        <v>175</v>
      </c>
      <c r="F4" s="21" t="s">
        <v>166</v>
      </c>
      <c r="G4" s="23">
        <v>45937</v>
      </c>
      <c r="H4" s="29" t="s">
        <v>167</v>
      </c>
      <c r="I4" s="32">
        <v>60000</v>
      </c>
      <c r="J4" s="21">
        <v>4347</v>
      </c>
      <c r="K4" s="32" t="s">
        <v>108</v>
      </c>
      <c r="L4" s="32">
        <v>1800</v>
      </c>
      <c r="M4" s="21" t="s">
        <v>6</v>
      </c>
      <c r="N4" s="17"/>
      <c r="O4" s="21" t="s">
        <v>12</v>
      </c>
      <c r="P4" s="28" t="s">
        <v>8</v>
      </c>
      <c r="Q4" s="28" t="s">
        <v>172</v>
      </c>
      <c r="R4" s="55"/>
      <c r="S4" s="18" t="e">
        <f ca="1">_xll.AblebitsUDF.AblebitsSpellNumber(L4,"None",1,1,FALSE)</f>
        <v>#NAME?</v>
      </c>
      <c r="T4" s="46"/>
      <c r="U4" s="47"/>
      <c r="V4" s="47"/>
      <c r="W4" s="47"/>
    </row>
    <row r="5" spans="1:27" s="8" customFormat="1" x14ac:dyDescent="0.25">
      <c r="A5" s="28" t="s">
        <v>0</v>
      </c>
      <c r="B5" s="19">
        <v>20</v>
      </c>
      <c r="C5" s="20" t="s">
        <v>1</v>
      </c>
      <c r="D5" s="21" t="s">
        <v>2</v>
      </c>
      <c r="E5" s="21" t="s">
        <v>3</v>
      </c>
      <c r="F5" s="22" t="s">
        <v>4</v>
      </c>
      <c r="G5" s="23">
        <v>45848</v>
      </c>
      <c r="H5" s="24">
        <v>45869</v>
      </c>
      <c r="I5" s="25">
        <v>60000</v>
      </c>
      <c r="J5" s="25">
        <v>4346</v>
      </c>
      <c r="K5" s="26" t="s">
        <v>5</v>
      </c>
      <c r="L5" s="27">
        <v>1800</v>
      </c>
      <c r="M5" s="21" t="s">
        <v>6</v>
      </c>
      <c r="N5" s="17"/>
      <c r="O5" s="21" t="s">
        <v>7</v>
      </c>
      <c r="P5" s="28" t="s">
        <v>8</v>
      </c>
      <c r="Q5" s="29">
        <v>45868</v>
      </c>
      <c r="R5" s="13"/>
      <c r="S5" s="18" t="e">
        <f ca="1">_xll.AblebitsUDF.AblebitsSpellNumber(L5,"None",1,1,FALSE)</f>
        <v>#NAME?</v>
      </c>
      <c r="T5" s="30"/>
      <c r="U5" s="7"/>
    </row>
    <row r="6" spans="1:27" s="8" customFormat="1" ht="25.5" x14ac:dyDescent="0.25">
      <c r="A6" s="28" t="s">
        <v>198</v>
      </c>
      <c r="B6" s="16" t="s">
        <v>199</v>
      </c>
      <c r="C6" s="21" t="s">
        <v>1</v>
      </c>
      <c r="D6" s="21" t="s">
        <v>2</v>
      </c>
      <c r="E6" s="21" t="s">
        <v>3</v>
      </c>
      <c r="F6" s="21" t="s">
        <v>4</v>
      </c>
      <c r="G6" s="23">
        <v>45937</v>
      </c>
      <c r="H6" s="29" t="s">
        <v>167</v>
      </c>
      <c r="I6" s="32">
        <v>60000</v>
      </c>
      <c r="J6" s="21">
        <v>4346</v>
      </c>
      <c r="K6" s="32" t="s">
        <v>90</v>
      </c>
      <c r="L6" s="32">
        <v>1800</v>
      </c>
      <c r="M6" s="21" t="s">
        <v>6</v>
      </c>
      <c r="N6" s="17"/>
      <c r="O6" s="21" t="s">
        <v>16</v>
      </c>
      <c r="P6" s="28" t="s">
        <v>8</v>
      </c>
      <c r="Q6" s="28" t="s">
        <v>172</v>
      </c>
      <c r="R6" s="55"/>
      <c r="S6" s="21" t="s">
        <v>173</v>
      </c>
      <c r="T6" s="29"/>
      <c r="U6" s="5"/>
      <c r="V6" s="6"/>
    </row>
    <row r="7" spans="1:27" s="8" customFormat="1" ht="25.5" x14ac:dyDescent="0.25">
      <c r="A7" s="28" t="s">
        <v>9</v>
      </c>
      <c r="B7" s="19">
        <v>21</v>
      </c>
      <c r="C7" s="20" t="s">
        <v>1</v>
      </c>
      <c r="D7" s="21" t="s">
        <v>2</v>
      </c>
      <c r="E7" s="21" t="s">
        <v>10</v>
      </c>
      <c r="F7" s="22" t="s">
        <v>11</v>
      </c>
      <c r="G7" s="23">
        <v>45848</v>
      </c>
      <c r="H7" s="24">
        <v>45869</v>
      </c>
      <c r="I7" s="25">
        <v>60000</v>
      </c>
      <c r="J7" s="25">
        <v>4347</v>
      </c>
      <c r="K7" s="26" t="s">
        <v>5</v>
      </c>
      <c r="L7" s="27">
        <v>1800</v>
      </c>
      <c r="M7" s="21" t="s">
        <v>6</v>
      </c>
      <c r="N7" s="17"/>
      <c r="O7" s="21" t="s">
        <v>12</v>
      </c>
      <c r="P7" s="28" t="s">
        <v>8</v>
      </c>
      <c r="Q7" s="29">
        <v>45868</v>
      </c>
      <c r="R7" s="13"/>
      <c r="S7" s="18" t="e">
        <f ca="1">_xll.AblebitsUDF.AblebitsSpellNumber(L7,"None",1,1,FALSE)</f>
        <v>#NAME?</v>
      </c>
      <c r="T7" s="30"/>
      <c r="U7" s="7"/>
    </row>
    <row r="8" spans="1:27" s="8" customFormat="1" ht="25.5" x14ac:dyDescent="0.25">
      <c r="A8" s="28" t="s">
        <v>13</v>
      </c>
      <c r="B8" s="19">
        <v>22</v>
      </c>
      <c r="C8" s="20" t="s">
        <v>1</v>
      </c>
      <c r="D8" s="21" t="s">
        <v>2</v>
      </c>
      <c r="E8" s="21" t="s">
        <v>10</v>
      </c>
      <c r="F8" s="22" t="s">
        <v>14</v>
      </c>
      <c r="G8" s="23">
        <v>45848</v>
      </c>
      <c r="H8" s="24">
        <v>45869</v>
      </c>
      <c r="I8" s="25">
        <v>60000</v>
      </c>
      <c r="J8" s="25">
        <v>4351</v>
      </c>
      <c r="K8" s="26" t="s">
        <v>15</v>
      </c>
      <c r="L8" s="27">
        <v>1800</v>
      </c>
      <c r="M8" s="21" t="s">
        <v>6</v>
      </c>
      <c r="N8" s="17"/>
      <c r="O8" s="21" t="s">
        <v>16</v>
      </c>
      <c r="P8" s="28" t="s">
        <v>8</v>
      </c>
      <c r="Q8" s="29">
        <v>45868</v>
      </c>
      <c r="R8" s="13"/>
      <c r="S8" s="18" t="e">
        <f ca="1">_xll.AblebitsUDF.AblebitsSpellNumber(L8,"None",1,1,FALSE)</f>
        <v>#NAME?</v>
      </c>
      <c r="T8" s="30"/>
      <c r="U8" s="7"/>
    </row>
    <row r="9" spans="1:27" ht="38.25" x14ac:dyDescent="0.25">
      <c r="A9" s="28" t="s">
        <v>17</v>
      </c>
      <c r="B9" s="19">
        <v>23</v>
      </c>
      <c r="C9" s="20" t="s">
        <v>18</v>
      </c>
      <c r="D9" s="21" t="s">
        <v>19</v>
      </c>
      <c r="E9" s="21" t="s">
        <v>20</v>
      </c>
      <c r="F9" s="22" t="s">
        <v>21</v>
      </c>
      <c r="G9" s="23">
        <v>45846</v>
      </c>
      <c r="H9" s="24">
        <v>45867</v>
      </c>
      <c r="I9" s="25">
        <v>496000</v>
      </c>
      <c r="J9" s="25">
        <v>4344</v>
      </c>
      <c r="K9" s="26" t="s">
        <v>5</v>
      </c>
      <c r="L9" s="27">
        <v>15000</v>
      </c>
      <c r="M9" s="21" t="s">
        <v>6</v>
      </c>
      <c r="N9" s="17"/>
      <c r="O9" s="21" t="s">
        <v>22</v>
      </c>
      <c r="P9" s="28" t="s">
        <v>8</v>
      </c>
      <c r="Q9" s="29">
        <v>45868</v>
      </c>
      <c r="R9" s="13"/>
      <c r="S9" s="18" t="e">
        <f ca="1">_xll.AblebitsUDF.AblebitsSpellNumber(L9,"None",1,1,FALSE)</f>
        <v>#NAME?</v>
      </c>
      <c r="T9" s="30"/>
      <c r="U9" s="1"/>
    </row>
    <row r="10" spans="1:27" ht="51" x14ac:dyDescent="0.25">
      <c r="A10" s="28" t="s">
        <v>23</v>
      </c>
      <c r="B10" s="19">
        <v>24</v>
      </c>
      <c r="C10" s="20" t="s">
        <v>18</v>
      </c>
      <c r="D10" s="21" t="s">
        <v>19</v>
      </c>
      <c r="E10" s="21" t="s">
        <v>20</v>
      </c>
      <c r="F10" s="22" t="s">
        <v>21</v>
      </c>
      <c r="G10" s="23">
        <v>45847</v>
      </c>
      <c r="H10" s="24">
        <v>45867</v>
      </c>
      <c r="I10" s="25">
        <v>496000</v>
      </c>
      <c r="J10" s="25">
        <v>4350</v>
      </c>
      <c r="K10" s="26" t="s">
        <v>15</v>
      </c>
      <c r="L10" s="27">
        <v>14900</v>
      </c>
      <c r="M10" s="21" t="s">
        <v>6</v>
      </c>
      <c r="N10" s="17"/>
      <c r="O10" s="21" t="s">
        <v>24</v>
      </c>
      <c r="P10" s="28" t="s">
        <v>8</v>
      </c>
      <c r="Q10" s="29">
        <v>45868</v>
      </c>
      <c r="R10" s="13"/>
      <c r="S10" s="18" t="e">
        <f ca="1">_xll.AblebitsUDF.AblebitsSpellNumber(L10,"None",1,1,FALSE)</f>
        <v>#NAME?</v>
      </c>
      <c r="T10" s="30"/>
      <c r="U10" s="1"/>
    </row>
    <row r="11" spans="1:27" ht="25.5" x14ac:dyDescent="0.25">
      <c r="A11" s="28" t="s">
        <v>25</v>
      </c>
      <c r="B11" s="19">
        <v>25</v>
      </c>
      <c r="C11" s="20" t="s">
        <v>18</v>
      </c>
      <c r="D11" s="21" t="s">
        <v>19</v>
      </c>
      <c r="E11" s="21" t="s">
        <v>20</v>
      </c>
      <c r="F11" s="22" t="s">
        <v>21</v>
      </c>
      <c r="G11" s="23">
        <v>45848</v>
      </c>
      <c r="H11" s="24">
        <v>45867</v>
      </c>
      <c r="I11" s="25">
        <v>496000</v>
      </c>
      <c r="J11" s="25">
        <v>833</v>
      </c>
      <c r="K11" s="26" t="s">
        <v>15</v>
      </c>
      <c r="L11" s="27">
        <v>14880</v>
      </c>
      <c r="M11" s="21" t="s">
        <v>26</v>
      </c>
      <c r="N11" s="17"/>
      <c r="O11" s="21" t="s">
        <v>27</v>
      </c>
      <c r="P11" s="28" t="s">
        <v>8</v>
      </c>
      <c r="Q11" s="29">
        <v>45866</v>
      </c>
      <c r="R11" s="13"/>
      <c r="S11" s="18" t="e">
        <f ca="1">_xll.AblebitsUDF.AblebitsSpellNumber(L11,"None",1,1,FALSE)</f>
        <v>#NAME?</v>
      </c>
      <c r="T11" s="30"/>
      <c r="U11" s="1"/>
    </row>
    <row r="12" spans="1:27" s="8" customFormat="1" ht="51" x14ac:dyDescent="0.25">
      <c r="A12" s="28" t="s">
        <v>28</v>
      </c>
      <c r="B12" s="19">
        <v>26</v>
      </c>
      <c r="C12" s="20" t="s">
        <v>18</v>
      </c>
      <c r="D12" s="21" t="s">
        <v>19</v>
      </c>
      <c r="E12" s="21" t="s">
        <v>29</v>
      </c>
      <c r="F12" s="22" t="s">
        <v>30</v>
      </c>
      <c r="G12" s="23">
        <v>45848</v>
      </c>
      <c r="H12" s="24">
        <v>45867</v>
      </c>
      <c r="I12" s="25">
        <v>499950</v>
      </c>
      <c r="J12" s="25">
        <v>340979</v>
      </c>
      <c r="K12" s="26" t="s">
        <v>31</v>
      </c>
      <c r="L12" s="27">
        <v>14999</v>
      </c>
      <c r="M12" s="31"/>
      <c r="N12" s="17"/>
      <c r="O12" s="21" t="s">
        <v>32</v>
      </c>
      <c r="P12" s="28" t="s">
        <v>8</v>
      </c>
      <c r="Q12" s="29">
        <v>45868</v>
      </c>
      <c r="R12" s="13"/>
      <c r="S12" s="18" t="e">
        <f ca="1">_xll.AblebitsUDF.AblebitsSpellNumber(L12,"None",1,1,FALSE)</f>
        <v>#NAME?</v>
      </c>
      <c r="T12" s="30"/>
      <c r="U12" s="7"/>
    </row>
    <row r="13" spans="1:27" ht="51" x14ac:dyDescent="0.25">
      <c r="A13" s="70">
        <v>45785.675543981481</v>
      </c>
      <c r="B13" s="19">
        <v>27</v>
      </c>
      <c r="C13" s="20" t="s">
        <v>33</v>
      </c>
      <c r="D13" s="21" t="s">
        <v>34</v>
      </c>
      <c r="E13" s="21" t="s">
        <v>35</v>
      </c>
      <c r="F13" s="22" t="s">
        <v>36</v>
      </c>
      <c r="G13" s="23">
        <v>45853</v>
      </c>
      <c r="H13" s="24">
        <v>45868</v>
      </c>
      <c r="I13" s="25">
        <v>7000000</v>
      </c>
      <c r="J13" s="25">
        <v>869226</v>
      </c>
      <c r="K13" s="26" t="s">
        <v>31</v>
      </c>
      <c r="L13" s="27">
        <v>210000</v>
      </c>
      <c r="M13" s="21" t="s">
        <v>37</v>
      </c>
      <c r="N13" s="17"/>
      <c r="O13" s="21" t="s">
        <v>38</v>
      </c>
      <c r="P13" s="28" t="s">
        <v>8</v>
      </c>
      <c r="Q13" s="29">
        <v>45866</v>
      </c>
      <c r="R13" s="28">
        <v>1172</v>
      </c>
      <c r="S13" s="18" t="e">
        <f ca="1">_xll.AblebitsUDF.AblebitsSpellNumber(L13,"None",1,1,FALSE)</f>
        <v>#NAME?</v>
      </c>
      <c r="T13" s="17"/>
      <c r="W13" s="1"/>
      <c r="X13" s="1"/>
      <c r="Y13" s="1"/>
      <c r="Z13" s="1"/>
      <c r="AA13" s="1"/>
    </row>
    <row r="14" spans="1:27" ht="63.75" x14ac:dyDescent="0.25">
      <c r="A14" s="70">
        <v>45785.67895833333</v>
      </c>
      <c r="B14" s="19">
        <v>28</v>
      </c>
      <c r="C14" s="20" t="s">
        <v>33</v>
      </c>
      <c r="D14" s="21" t="s">
        <v>34</v>
      </c>
      <c r="E14" s="21" t="s">
        <v>39</v>
      </c>
      <c r="F14" s="22" t="s">
        <v>40</v>
      </c>
      <c r="G14" s="23">
        <v>45853</v>
      </c>
      <c r="H14" s="24">
        <v>45868</v>
      </c>
      <c r="I14" s="25">
        <v>7000000</v>
      </c>
      <c r="J14" s="25">
        <v>190736</v>
      </c>
      <c r="K14" s="26" t="s">
        <v>41</v>
      </c>
      <c r="L14" s="27">
        <v>210000</v>
      </c>
      <c r="M14" s="31"/>
      <c r="N14" s="17"/>
      <c r="O14" s="21" t="s">
        <v>43</v>
      </c>
      <c r="P14" s="28" t="s">
        <v>8</v>
      </c>
      <c r="Q14" s="29">
        <v>45868</v>
      </c>
      <c r="R14" s="28">
        <v>1797</v>
      </c>
      <c r="S14" s="18" t="e">
        <f ca="1">_xll.AblebitsUDF.AblebitsSpellNumber(L14,"None",1,1,FALSE)</f>
        <v>#NAME?</v>
      </c>
      <c r="T14" s="17"/>
      <c r="W14" s="1"/>
      <c r="X14" s="1"/>
      <c r="Y14" s="1"/>
      <c r="Z14" s="1"/>
      <c r="AA14" s="1"/>
    </row>
    <row r="15" spans="1:27" ht="38.25" x14ac:dyDescent="0.25">
      <c r="A15" s="70">
        <v>45785.684837962966</v>
      </c>
      <c r="B15" s="19">
        <v>29</v>
      </c>
      <c r="C15" s="20" t="s">
        <v>33</v>
      </c>
      <c r="D15" s="21" t="s">
        <v>34</v>
      </c>
      <c r="E15" s="21" t="s">
        <v>44</v>
      </c>
      <c r="F15" s="22" t="s">
        <v>36</v>
      </c>
      <c r="G15" s="23">
        <v>45853</v>
      </c>
      <c r="H15" s="24">
        <v>45868</v>
      </c>
      <c r="I15" s="25">
        <v>7000000</v>
      </c>
      <c r="J15" s="25">
        <v>23265</v>
      </c>
      <c r="K15" s="26" t="s">
        <v>45</v>
      </c>
      <c r="L15" s="27">
        <v>210000</v>
      </c>
      <c r="M15" s="31"/>
      <c r="N15" s="17"/>
      <c r="O15" s="21" t="s">
        <v>47</v>
      </c>
      <c r="P15" s="28" t="s">
        <v>8</v>
      </c>
      <c r="Q15" s="29">
        <v>45868</v>
      </c>
      <c r="R15" s="28">
        <v>1806</v>
      </c>
      <c r="S15" s="18" t="e">
        <f ca="1">_xll.AblebitsUDF.AblebitsSpellNumber(L15,"None",1,1,FALSE)</f>
        <v>#NAME?</v>
      </c>
      <c r="T15" s="17"/>
      <c r="W15" s="1"/>
      <c r="X15" s="1"/>
      <c r="Y15" s="1"/>
      <c r="Z15" s="1"/>
      <c r="AA15" s="1"/>
    </row>
    <row r="16" spans="1:27" ht="51" x14ac:dyDescent="0.25">
      <c r="A16" s="70">
        <v>45846.663668981484</v>
      </c>
      <c r="B16" s="16">
        <v>30</v>
      </c>
      <c r="C16" s="21" t="s">
        <v>33</v>
      </c>
      <c r="D16" s="21" t="s">
        <v>34</v>
      </c>
      <c r="E16" s="21" t="s">
        <v>67</v>
      </c>
      <c r="F16" s="21" t="s">
        <v>36</v>
      </c>
      <c r="G16" s="23">
        <v>45853</v>
      </c>
      <c r="H16" s="29">
        <v>45868</v>
      </c>
      <c r="I16" s="32">
        <v>7000000</v>
      </c>
      <c r="J16" s="32">
        <v>512080</v>
      </c>
      <c r="K16" s="23">
        <v>45866</v>
      </c>
      <c r="L16" s="32">
        <v>210000</v>
      </c>
      <c r="M16" s="21" t="s">
        <v>68</v>
      </c>
      <c r="N16" s="17"/>
      <c r="O16" s="21" t="s">
        <v>69</v>
      </c>
      <c r="P16" s="28" t="s">
        <v>8</v>
      </c>
      <c r="Q16" s="29">
        <v>45870</v>
      </c>
      <c r="R16" s="28" t="s">
        <v>70</v>
      </c>
      <c r="S16" s="18" t="e">
        <f ca="1">_xll.AblebitsUDF.AblebitsSpellNumber(L16,"None",1,1,FALSE)</f>
        <v>#NAME?</v>
      </c>
      <c r="T16" s="31"/>
    </row>
    <row r="17" spans="1:20" ht="38.25" x14ac:dyDescent="0.25">
      <c r="A17" s="70">
        <v>45846.719363425924</v>
      </c>
      <c r="B17" s="48">
        <v>31</v>
      </c>
      <c r="C17" s="21" t="s">
        <v>71</v>
      </c>
      <c r="D17" s="21" t="s">
        <v>72</v>
      </c>
      <c r="E17" s="21" t="s">
        <v>73</v>
      </c>
      <c r="F17" s="21" t="s">
        <v>74</v>
      </c>
      <c r="G17" s="23">
        <v>45968</v>
      </c>
      <c r="H17" s="29">
        <v>45665</v>
      </c>
      <c r="I17" s="32">
        <v>490000</v>
      </c>
      <c r="J17" s="21">
        <v>1403</v>
      </c>
      <c r="K17" s="32" t="s">
        <v>75</v>
      </c>
      <c r="L17" s="32">
        <v>14700</v>
      </c>
      <c r="M17" s="21" t="s">
        <v>76</v>
      </c>
      <c r="N17" s="17"/>
      <c r="O17" s="21" t="s">
        <v>77</v>
      </c>
      <c r="P17" s="28" t="s">
        <v>8</v>
      </c>
      <c r="Q17" s="29">
        <v>45665</v>
      </c>
      <c r="R17" s="55"/>
      <c r="S17" s="18" t="e">
        <f ca="1">_xll.AblebitsUDF.AblebitsSpellNumber(L17,"None",1,1,FALSE)</f>
        <v>#NAME?</v>
      </c>
      <c r="T17" s="17"/>
    </row>
    <row r="18" spans="1:20" ht="25.5" x14ac:dyDescent="0.25">
      <c r="A18" s="70">
        <v>45969.698136574072</v>
      </c>
      <c r="B18" s="48">
        <v>32</v>
      </c>
      <c r="C18" s="21" t="s">
        <v>18</v>
      </c>
      <c r="D18" s="21" t="s">
        <v>19</v>
      </c>
      <c r="E18" s="21" t="s">
        <v>78</v>
      </c>
      <c r="F18" s="21" t="s">
        <v>21</v>
      </c>
      <c r="G18" s="23">
        <v>45876</v>
      </c>
      <c r="H18" s="29" t="s">
        <v>75</v>
      </c>
      <c r="I18" s="32">
        <v>496000</v>
      </c>
      <c r="J18" s="21">
        <v>96501</v>
      </c>
      <c r="K18" s="32" t="s">
        <v>75</v>
      </c>
      <c r="L18" s="32">
        <v>14880</v>
      </c>
      <c r="M18" s="45"/>
      <c r="N18" s="17"/>
      <c r="O18" s="21" t="s">
        <v>80</v>
      </c>
      <c r="P18" s="28" t="s">
        <v>8</v>
      </c>
      <c r="Q18" s="29">
        <v>45785</v>
      </c>
      <c r="R18" s="55"/>
      <c r="S18" s="18" t="e">
        <f ca="1">_xll.AblebitsUDF.AblebitsSpellNumber(L18,"None",1,1,FALSE)</f>
        <v>#NAME?</v>
      </c>
      <c r="T18" s="17"/>
    </row>
    <row r="19" spans="1:20" s="8" customFormat="1" ht="51" x14ac:dyDescent="0.25">
      <c r="A19" s="70">
        <v>45969.70449074074</v>
      </c>
      <c r="B19" s="48">
        <v>33</v>
      </c>
      <c r="C19" s="21" t="s">
        <v>18</v>
      </c>
      <c r="D19" s="21" t="s">
        <v>19</v>
      </c>
      <c r="E19" s="21" t="s">
        <v>81</v>
      </c>
      <c r="F19" s="21" t="s">
        <v>30</v>
      </c>
      <c r="G19" s="23">
        <v>45876</v>
      </c>
      <c r="H19" s="29" t="s">
        <v>75</v>
      </c>
      <c r="I19" s="32">
        <v>499950</v>
      </c>
      <c r="J19" s="21">
        <v>4356</v>
      </c>
      <c r="K19" s="32" t="s">
        <v>82</v>
      </c>
      <c r="L19" s="32">
        <v>15000</v>
      </c>
      <c r="M19" s="21" t="s">
        <v>83</v>
      </c>
      <c r="N19" s="17"/>
      <c r="O19" s="21" t="s">
        <v>84</v>
      </c>
      <c r="P19" s="28" t="s">
        <v>8</v>
      </c>
      <c r="Q19" s="29">
        <v>45696</v>
      </c>
      <c r="R19" s="55"/>
      <c r="S19" s="18" t="e">
        <f ca="1">_xll.AblebitsUDF.AblebitsSpellNumber(L19,"None",1,1,FALSE)</f>
        <v>#NAME?</v>
      </c>
      <c r="T19" s="17"/>
    </row>
    <row r="20" spans="1:20" s="8" customFormat="1" ht="51" x14ac:dyDescent="0.25">
      <c r="A20" s="70">
        <v>45969.707615740743</v>
      </c>
      <c r="B20" s="48">
        <v>34</v>
      </c>
      <c r="C20" s="21" t="s">
        <v>18</v>
      </c>
      <c r="D20" s="21" t="s">
        <v>19</v>
      </c>
      <c r="E20" s="21" t="s">
        <v>81</v>
      </c>
      <c r="F20" s="21" t="s">
        <v>30</v>
      </c>
      <c r="G20" s="23">
        <v>45876</v>
      </c>
      <c r="H20" s="29" t="s">
        <v>75</v>
      </c>
      <c r="I20" s="32">
        <v>499950</v>
      </c>
      <c r="J20" s="21">
        <v>4357</v>
      </c>
      <c r="K20" s="32" t="s">
        <v>82</v>
      </c>
      <c r="L20" s="32">
        <v>15000</v>
      </c>
      <c r="M20" s="21" t="s">
        <v>83</v>
      </c>
      <c r="N20" s="17"/>
      <c r="O20" s="21" t="s">
        <v>85</v>
      </c>
      <c r="P20" s="28" t="s">
        <v>8</v>
      </c>
      <c r="Q20" s="29">
        <v>45696</v>
      </c>
      <c r="R20" s="55"/>
      <c r="S20" s="18" t="e">
        <f ca="1">_xll.AblebitsUDF.AblebitsSpellNumber(L20,"None",1,1,FALSE)</f>
        <v>#NAME?</v>
      </c>
      <c r="T20" s="17"/>
    </row>
    <row r="21" spans="1:20" ht="38.25" x14ac:dyDescent="0.25">
      <c r="A21" s="28" t="s">
        <v>86</v>
      </c>
      <c r="B21" s="48">
        <v>35</v>
      </c>
      <c r="C21" s="21" t="s">
        <v>87</v>
      </c>
      <c r="D21" s="21" t="s">
        <v>19</v>
      </c>
      <c r="E21" s="21" t="s">
        <v>88</v>
      </c>
      <c r="F21" s="21" t="s">
        <v>89</v>
      </c>
      <c r="G21" s="32" t="s">
        <v>90</v>
      </c>
      <c r="H21" s="29" t="s">
        <v>91</v>
      </c>
      <c r="I21" s="32">
        <v>2150000</v>
      </c>
      <c r="J21" s="21">
        <v>60003</v>
      </c>
      <c r="K21" s="23">
        <v>45969</v>
      </c>
      <c r="L21" s="32">
        <v>64200</v>
      </c>
      <c r="M21" s="21" t="s">
        <v>92</v>
      </c>
      <c r="N21" s="17"/>
      <c r="O21" s="21" t="s">
        <v>93</v>
      </c>
      <c r="P21" s="28" t="s">
        <v>8</v>
      </c>
      <c r="Q21" s="29">
        <v>45969</v>
      </c>
      <c r="R21" s="55"/>
      <c r="S21" s="18" t="e">
        <f ca="1">_xll.AblebitsUDF.AblebitsSpellNumber(L21,"None",1,1,FALSE)</f>
        <v>#NAME?</v>
      </c>
      <c r="T21" s="17"/>
    </row>
    <row r="22" spans="1:20" ht="25.5" x14ac:dyDescent="0.25">
      <c r="A22" s="28" t="s">
        <v>94</v>
      </c>
      <c r="B22" s="48">
        <v>36</v>
      </c>
      <c r="C22" s="21" t="s">
        <v>87</v>
      </c>
      <c r="D22" s="21" t="s">
        <v>19</v>
      </c>
      <c r="E22" s="21" t="s">
        <v>88</v>
      </c>
      <c r="F22" s="21" t="s">
        <v>89</v>
      </c>
      <c r="G22" s="32" t="s">
        <v>90</v>
      </c>
      <c r="H22" s="29" t="s">
        <v>91</v>
      </c>
      <c r="I22" s="32">
        <v>2150000</v>
      </c>
      <c r="J22" s="32">
        <v>255424</v>
      </c>
      <c r="K22" s="23">
        <v>45969</v>
      </c>
      <c r="L22" s="32">
        <v>64200</v>
      </c>
      <c r="M22" s="45"/>
      <c r="N22" s="17"/>
      <c r="O22" s="21" t="s">
        <v>95</v>
      </c>
      <c r="P22" s="28" t="s">
        <v>8</v>
      </c>
      <c r="Q22" s="28" t="s">
        <v>96</v>
      </c>
      <c r="R22" s="55"/>
      <c r="S22" s="18" t="e">
        <f ca="1">_xll.AblebitsUDF.AblebitsSpellNumber(L22,"None",1,1,FALSE)</f>
        <v>#NAME?</v>
      </c>
      <c r="T22" s="17"/>
    </row>
    <row r="23" spans="1:20" ht="38.25" x14ac:dyDescent="0.25">
      <c r="A23" s="28" t="s">
        <v>97</v>
      </c>
      <c r="B23" s="48">
        <v>37</v>
      </c>
      <c r="C23" s="21" t="s">
        <v>87</v>
      </c>
      <c r="D23" s="21" t="s">
        <v>19</v>
      </c>
      <c r="E23" s="21" t="s">
        <v>88</v>
      </c>
      <c r="F23" s="21" t="s">
        <v>89</v>
      </c>
      <c r="G23" s="32" t="s">
        <v>90</v>
      </c>
      <c r="H23" s="29" t="s">
        <v>91</v>
      </c>
      <c r="I23" s="32">
        <v>2150000</v>
      </c>
      <c r="J23" s="32">
        <v>418244</v>
      </c>
      <c r="K23" s="23">
        <v>45999</v>
      </c>
      <c r="L23" s="32">
        <v>64200</v>
      </c>
      <c r="M23" s="21" t="s">
        <v>98</v>
      </c>
      <c r="N23" s="17"/>
      <c r="O23" s="21" t="s">
        <v>99</v>
      </c>
      <c r="P23" s="28" t="s">
        <v>8</v>
      </c>
      <c r="Q23" s="29">
        <v>45999</v>
      </c>
      <c r="R23" s="55"/>
      <c r="S23" s="18" t="e">
        <f ca="1">_xll.AblebitsUDF.AblebitsSpellNumber(L23,"None",1,1,FALSE)</f>
        <v>#NAME?</v>
      </c>
      <c r="T23" s="17"/>
    </row>
    <row r="24" spans="1:20" ht="25.5" x14ac:dyDescent="0.25">
      <c r="A24" s="28" t="s">
        <v>100</v>
      </c>
      <c r="B24" s="48">
        <v>38</v>
      </c>
      <c r="C24" s="21" t="s">
        <v>87</v>
      </c>
      <c r="D24" s="21" t="s">
        <v>19</v>
      </c>
      <c r="E24" s="21" t="s">
        <v>88</v>
      </c>
      <c r="F24" s="21" t="s">
        <v>89</v>
      </c>
      <c r="G24" s="32" t="s">
        <v>90</v>
      </c>
      <c r="H24" s="29" t="s">
        <v>91</v>
      </c>
      <c r="I24" s="32">
        <v>2150000</v>
      </c>
      <c r="J24" s="21">
        <v>12028</v>
      </c>
      <c r="K24" s="23">
        <v>45877</v>
      </c>
      <c r="L24" s="32">
        <v>64200</v>
      </c>
      <c r="M24" s="21" t="s">
        <v>92</v>
      </c>
      <c r="N24" s="17"/>
      <c r="O24" s="21" t="s">
        <v>101</v>
      </c>
      <c r="P24" s="28" t="s">
        <v>8</v>
      </c>
      <c r="Q24" s="29">
        <v>45877</v>
      </c>
      <c r="R24" s="55"/>
      <c r="S24" s="18" t="e">
        <f ca="1">_xll.AblebitsUDF.AblebitsSpellNumber(L24,"None",1,1,FALSE)</f>
        <v>#NAME?</v>
      </c>
      <c r="T24" s="17"/>
    </row>
    <row r="25" spans="1:20" x14ac:dyDescent="0.25">
      <c r="A25" s="28" t="s">
        <v>102</v>
      </c>
      <c r="B25" s="48">
        <v>39</v>
      </c>
      <c r="C25" s="21" t="s">
        <v>103</v>
      </c>
      <c r="D25" s="21" t="s">
        <v>104</v>
      </c>
      <c r="E25" s="21" t="s">
        <v>105</v>
      </c>
      <c r="F25" s="21" t="s">
        <v>106</v>
      </c>
      <c r="G25" s="23">
        <v>45814</v>
      </c>
      <c r="H25" s="29" t="s">
        <v>107</v>
      </c>
      <c r="I25" s="32">
        <v>1138000</v>
      </c>
      <c r="J25" s="32">
        <v>944942</v>
      </c>
      <c r="K25" s="32" t="s">
        <v>108</v>
      </c>
      <c r="L25" s="32">
        <v>34140</v>
      </c>
      <c r="M25" s="45"/>
      <c r="N25" s="17"/>
      <c r="O25" s="21" t="s">
        <v>110</v>
      </c>
      <c r="P25" s="28" t="s">
        <v>8</v>
      </c>
      <c r="Q25" s="28" t="s">
        <v>82</v>
      </c>
      <c r="R25" s="55"/>
      <c r="S25" s="18" t="e">
        <f ca="1">_xll.AblebitsUDF.AblebitsSpellNumber(L25,"None",1,1,FALSE)</f>
        <v>#NAME?</v>
      </c>
      <c r="T25" s="17"/>
    </row>
    <row r="26" spans="1:20" ht="25.5" x14ac:dyDescent="0.25">
      <c r="A26" s="28" t="s">
        <v>111</v>
      </c>
      <c r="B26" s="48">
        <v>40</v>
      </c>
      <c r="C26" s="21" t="s">
        <v>103</v>
      </c>
      <c r="D26" s="21" t="s">
        <v>104</v>
      </c>
      <c r="E26" s="21" t="s">
        <v>105</v>
      </c>
      <c r="F26" s="21" t="s">
        <v>112</v>
      </c>
      <c r="G26" s="23">
        <v>45814</v>
      </c>
      <c r="H26" s="29" t="s">
        <v>107</v>
      </c>
      <c r="I26" s="32">
        <v>1138000</v>
      </c>
      <c r="J26" s="32">
        <v>141308</v>
      </c>
      <c r="K26" s="32" t="s">
        <v>108</v>
      </c>
      <c r="L26" s="32">
        <v>34140</v>
      </c>
      <c r="M26" s="45"/>
      <c r="N26" s="17"/>
      <c r="O26" s="21" t="s">
        <v>113</v>
      </c>
      <c r="P26" s="28" t="s">
        <v>8</v>
      </c>
      <c r="Q26" s="28" t="s">
        <v>82</v>
      </c>
      <c r="R26" s="55"/>
      <c r="S26" s="18" t="e">
        <f ca="1">_xll.AblebitsUDF.AblebitsSpellNumber(L26,"None",1,1,FALSE)</f>
        <v>#NAME?</v>
      </c>
      <c r="T26" s="17"/>
    </row>
    <row r="27" spans="1:20" ht="38.25" x14ac:dyDescent="0.25">
      <c r="A27" s="28" t="s">
        <v>114</v>
      </c>
      <c r="B27" s="48">
        <v>41</v>
      </c>
      <c r="C27" s="21" t="s">
        <v>115</v>
      </c>
      <c r="D27" s="21" t="s">
        <v>116</v>
      </c>
      <c r="E27" s="21" t="s">
        <v>117</v>
      </c>
      <c r="F27" s="21" t="s">
        <v>118</v>
      </c>
      <c r="G27" s="23">
        <v>45816</v>
      </c>
      <c r="H27" s="29" t="s">
        <v>119</v>
      </c>
      <c r="I27" s="32">
        <v>8750000</v>
      </c>
      <c r="J27" s="32">
        <v>262500</v>
      </c>
      <c r="K27" s="32" t="s">
        <v>120</v>
      </c>
      <c r="L27" s="32">
        <v>262500</v>
      </c>
      <c r="M27" s="21" t="s">
        <v>121</v>
      </c>
      <c r="N27" s="17"/>
      <c r="O27" s="21" t="s">
        <v>122</v>
      </c>
      <c r="P27" s="28" t="s">
        <v>8</v>
      </c>
      <c r="Q27" s="28" t="s">
        <v>123</v>
      </c>
      <c r="R27" s="55"/>
      <c r="S27" s="18" t="e">
        <f ca="1">_xll.AblebitsUDF.AblebitsSpellNumber(L27,"None",1,1,FALSE)</f>
        <v>#NAME?</v>
      </c>
      <c r="T27" s="17"/>
    </row>
    <row r="28" spans="1:20" ht="38.25" x14ac:dyDescent="0.25">
      <c r="A28" s="28" t="s">
        <v>124</v>
      </c>
      <c r="B28" s="48">
        <v>42</v>
      </c>
      <c r="C28" s="21" t="s">
        <v>115</v>
      </c>
      <c r="D28" s="21" t="s">
        <v>116</v>
      </c>
      <c r="E28" s="21" t="s">
        <v>125</v>
      </c>
      <c r="F28" s="21" t="s">
        <v>118</v>
      </c>
      <c r="G28" s="23">
        <v>45816</v>
      </c>
      <c r="H28" s="29" t="s">
        <v>119</v>
      </c>
      <c r="I28" s="32">
        <v>8750000</v>
      </c>
      <c r="J28" s="32">
        <v>262500</v>
      </c>
      <c r="K28" s="32" t="s">
        <v>126</v>
      </c>
      <c r="L28" s="32">
        <v>262500</v>
      </c>
      <c r="M28" s="21" t="s">
        <v>127</v>
      </c>
      <c r="N28" s="17"/>
      <c r="O28" s="21" t="s">
        <v>128</v>
      </c>
      <c r="P28" s="28" t="s">
        <v>8</v>
      </c>
      <c r="Q28" s="28" t="s">
        <v>120</v>
      </c>
      <c r="R28" s="55"/>
      <c r="S28" s="18" t="e">
        <f ca="1">_xll.AblebitsUDF.AblebitsSpellNumber(L28,"None",1,1,FALSE)</f>
        <v>#NAME?</v>
      </c>
      <c r="T28" s="17"/>
    </row>
    <row r="29" spans="1:20" ht="25.5" x14ac:dyDescent="0.25">
      <c r="A29" s="28" t="s">
        <v>129</v>
      </c>
      <c r="B29" s="48">
        <v>43</v>
      </c>
      <c r="C29" s="21" t="s">
        <v>130</v>
      </c>
      <c r="D29" s="21" t="s">
        <v>104</v>
      </c>
      <c r="E29" s="21" t="s">
        <v>131</v>
      </c>
      <c r="F29" s="21" t="s">
        <v>132</v>
      </c>
      <c r="G29" s="23">
        <v>45936</v>
      </c>
      <c r="H29" s="29" t="s">
        <v>107</v>
      </c>
      <c r="I29" s="32">
        <v>111000</v>
      </c>
      <c r="J29" s="32">
        <v>944941</v>
      </c>
      <c r="K29" s="32" t="s">
        <v>108</v>
      </c>
      <c r="L29" s="32">
        <v>3330</v>
      </c>
      <c r="M29" s="45"/>
      <c r="N29" s="17"/>
      <c r="O29" s="21" t="s">
        <v>110</v>
      </c>
      <c r="P29" s="28" t="s">
        <v>8</v>
      </c>
      <c r="Q29" s="28" t="s">
        <v>82</v>
      </c>
      <c r="R29" s="55"/>
      <c r="S29" s="18" t="e">
        <f ca="1">_xll.AblebitsUDF.AblebitsSpellNumber(L29,"None",1,1,FALSE)</f>
        <v>#NAME?</v>
      </c>
      <c r="T29" s="17"/>
    </row>
    <row r="30" spans="1:20" ht="25.5" x14ac:dyDescent="0.25">
      <c r="A30" s="28" t="s">
        <v>133</v>
      </c>
      <c r="B30" s="48">
        <v>44</v>
      </c>
      <c r="C30" s="21" t="s">
        <v>130</v>
      </c>
      <c r="D30" s="21" t="s">
        <v>104</v>
      </c>
      <c r="E30" s="21" t="s">
        <v>131</v>
      </c>
      <c r="F30" s="21" t="s">
        <v>134</v>
      </c>
      <c r="G30" s="23">
        <v>45936</v>
      </c>
      <c r="H30" s="29" t="s">
        <v>107</v>
      </c>
      <c r="I30" s="32">
        <v>111000</v>
      </c>
      <c r="J30" s="32">
        <v>141307</v>
      </c>
      <c r="K30" s="32" t="s">
        <v>108</v>
      </c>
      <c r="L30" s="32">
        <v>3330</v>
      </c>
      <c r="M30" s="45"/>
      <c r="N30" s="17"/>
      <c r="O30" s="21" t="s">
        <v>135</v>
      </c>
      <c r="P30" s="28" t="s">
        <v>8</v>
      </c>
      <c r="Q30" s="28" t="s">
        <v>82</v>
      </c>
      <c r="R30" s="55"/>
      <c r="S30" s="18" t="e">
        <f ca="1">_xll.AblebitsUDF.AblebitsSpellNumber(L30,"None",1,1,FALSE)</f>
        <v>#NAME?</v>
      </c>
      <c r="T30" s="17"/>
    </row>
    <row r="31" spans="1:20" ht="25.5" x14ac:dyDescent="0.25">
      <c r="A31" s="28" t="s">
        <v>136</v>
      </c>
      <c r="B31" s="48">
        <v>45</v>
      </c>
      <c r="C31" s="21" t="s">
        <v>130</v>
      </c>
      <c r="D31" s="21" t="s">
        <v>104</v>
      </c>
      <c r="E31" s="21" t="s">
        <v>137</v>
      </c>
      <c r="F31" s="21" t="s">
        <v>138</v>
      </c>
      <c r="G31" s="32" t="s">
        <v>139</v>
      </c>
      <c r="H31" s="29" t="s">
        <v>108</v>
      </c>
      <c r="I31" s="32">
        <v>1200000</v>
      </c>
      <c r="J31" s="32">
        <v>55132</v>
      </c>
      <c r="K31" s="32" t="s">
        <v>140</v>
      </c>
      <c r="L31" s="32">
        <v>36000</v>
      </c>
      <c r="M31" s="21" t="s">
        <v>141</v>
      </c>
      <c r="N31" s="17"/>
      <c r="O31" s="21" t="s">
        <v>142</v>
      </c>
      <c r="P31" s="28" t="s">
        <v>8</v>
      </c>
      <c r="Q31" s="28" t="s">
        <v>107</v>
      </c>
      <c r="R31" s="55"/>
      <c r="S31" s="18" t="e">
        <f ca="1">_xll.AblebitsUDF.AblebitsSpellNumber(L31,"None",1,1,FALSE)</f>
        <v>#NAME?</v>
      </c>
      <c r="T31" s="17"/>
    </row>
    <row r="32" spans="1:20" s="49" customFormat="1" ht="25.5" x14ac:dyDescent="0.25">
      <c r="A32" s="28" t="s">
        <v>143</v>
      </c>
      <c r="B32" s="48">
        <v>46</v>
      </c>
      <c r="C32" s="21" t="s">
        <v>130</v>
      </c>
      <c r="D32" s="21" t="s">
        <v>104</v>
      </c>
      <c r="E32" s="21" t="s">
        <v>137</v>
      </c>
      <c r="F32" s="21" t="s">
        <v>138</v>
      </c>
      <c r="G32" s="32" t="s">
        <v>139</v>
      </c>
      <c r="H32" s="29" t="s">
        <v>108</v>
      </c>
      <c r="I32" s="32">
        <v>1200000</v>
      </c>
      <c r="J32" s="32">
        <v>276738</v>
      </c>
      <c r="K32" s="23">
        <v>45968</v>
      </c>
      <c r="L32" s="32">
        <v>36000</v>
      </c>
      <c r="M32" s="45"/>
      <c r="N32" s="17"/>
      <c r="O32" s="21" t="s">
        <v>144</v>
      </c>
      <c r="P32" s="28" t="s">
        <v>8</v>
      </c>
      <c r="Q32" s="28" t="s">
        <v>140</v>
      </c>
      <c r="R32" s="55"/>
      <c r="S32" s="18" t="e">
        <f ca="1">_xll.AblebitsUDF.AblebitsSpellNumber(L32,"None",1,1,FALSE)</f>
        <v>#NAME?</v>
      </c>
      <c r="T32" s="17" t="s">
        <v>173</v>
      </c>
    </row>
    <row r="33" spans="1:20" ht="25.5" x14ac:dyDescent="0.25">
      <c r="A33" s="28" t="s">
        <v>145</v>
      </c>
      <c r="B33" s="48">
        <v>47</v>
      </c>
      <c r="C33" s="21" t="s">
        <v>130</v>
      </c>
      <c r="D33" s="21" t="s">
        <v>104</v>
      </c>
      <c r="E33" s="21" t="s">
        <v>137</v>
      </c>
      <c r="F33" s="21" t="s">
        <v>138</v>
      </c>
      <c r="G33" s="32" t="s">
        <v>139</v>
      </c>
      <c r="H33" s="29" t="s">
        <v>108</v>
      </c>
      <c r="I33" s="32">
        <v>1200000</v>
      </c>
      <c r="J33" s="32">
        <v>8730</v>
      </c>
      <c r="K33" s="23">
        <v>45968</v>
      </c>
      <c r="L33" s="32">
        <v>36000</v>
      </c>
      <c r="M33" s="21" t="s">
        <v>6</v>
      </c>
      <c r="N33" s="17"/>
      <c r="O33" s="21" t="s">
        <v>146</v>
      </c>
      <c r="P33" s="28" t="s">
        <v>8</v>
      </c>
      <c r="Q33" s="28" t="s">
        <v>140</v>
      </c>
      <c r="R33" s="55"/>
      <c r="S33" s="18" t="e">
        <f ca="1">_xll.AblebitsUDF.AblebitsSpellNumber(L33,"None",1,1,FALSE)</f>
        <v>#NAME?</v>
      </c>
      <c r="T33" s="17"/>
    </row>
    <row r="34" spans="1:20" ht="25.5" x14ac:dyDescent="0.25">
      <c r="A34" s="28" t="s">
        <v>147</v>
      </c>
      <c r="B34" s="48">
        <v>48</v>
      </c>
      <c r="C34" s="21" t="s">
        <v>130</v>
      </c>
      <c r="D34" s="21" t="s">
        <v>104</v>
      </c>
      <c r="E34" s="21" t="s">
        <v>148</v>
      </c>
      <c r="F34" s="21" t="s">
        <v>149</v>
      </c>
      <c r="G34" s="32" t="s">
        <v>139</v>
      </c>
      <c r="H34" s="29" t="s">
        <v>108</v>
      </c>
      <c r="I34" s="32">
        <v>1250000</v>
      </c>
      <c r="J34" s="32">
        <v>55133</v>
      </c>
      <c r="K34" s="32" t="s">
        <v>140</v>
      </c>
      <c r="L34" s="32">
        <v>37500</v>
      </c>
      <c r="M34" s="21" t="s">
        <v>141</v>
      </c>
      <c r="N34" s="17"/>
      <c r="O34" s="21" t="s">
        <v>142</v>
      </c>
      <c r="P34" s="28" t="s">
        <v>8</v>
      </c>
      <c r="Q34" s="28" t="s">
        <v>107</v>
      </c>
      <c r="R34" s="55"/>
      <c r="S34" s="18" t="e">
        <f ca="1">_xll.AblebitsUDF.AblebitsSpellNumber(L34,"None",1,1,FALSE)</f>
        <v>#NAME?</v>
      </c>
      <c r="T34" s="17"/>
    </row>
    <row r="35" spans="1:20" s="49" customFormat="1" ht="25.5" x14ac:dyDescent="0.25">
      <c r="A35" s="28" t="s">
        <v>150</v>
      </c>
      <c r="B35" s="48">
        <v>49</v>
      </c>
      <c r="C35" s="21" t="s">
        <v>130</v>
      </c>
      <c r="D35" s="21" t="s">
        <v>104</v>
      </c>
      <c r="E35" s="21" t="s">
        <v>148</v>
      </c>
      <c r="F35" s="21" t="s">
        <v>149</v>
      </c>
      <c r="G35" s="32" t="s">
        <v>139</v>
      </c>
      <c r="H35" s="29" t="s">
        <v>108</v>
      </c>
      <c r="I35" s="32">
        <v>1250000</v>
      </c>
      <c r="J35" s="32">
        <v>276737</v>
      </c>
      <c r="K35" s="23">
        <v>45968</v>
      </c>
      <c r="L35" s="32">
        <v>37500</v>
      </c>
      <c r="M35" s="45"/>
      <c r="N35" s="17"/>
      <c r="O35" s="21" t="s">
        <v>144</v>
      </c>
      <c r="P35" s="28" t="s">
        <v>8</v>
      </c>
      <c r="Q35" s="28" t="s">
        <v>140</v>
      </c>
      <c r="R35" s="55"/>
      <c r="S35" s="18" t="e">
        <f ca="1">_xll.AblebitsUDF.AblebitsSpellNumber(L35,"None",1,1,FALSE)</f>
        <v>#NAME?</v>
      </c>
      <c r="T35" s="17" t="s">
        <v>173</v>
      </c>
    </row>
    <row r="36" spans="1:20" ht="25.5" x14ac:dyDescent="0.25">
      <c r="A36" s="28" t="s">
        <v>151</v>
      </c>
      <c r="B36" s="48">
        <v>50</v>
      </c>
      <c r="C36" s="21" t="s">
        <v>130</v>
      </c>
      <c r="D36" s="21" t="s">
        <v>104</v>
      </c>
      <c r="E36" s="21" t="s">
        <v>148</v>
      </c>
      <c r="F36" s="21" t="s">
        <v>149</v>
      </c>
      <c r="G36" s="32" t="s">
        <v>139</v>
      </c>
      <c r="H36" s="29" t="s">
        <v>108</v>
      </c>
      <c r="I36" s="32">
        <v>1250000</v>
      </c>
      <c r="J36" s="32">
        <v>8732</v>
      </c>
      <c r="K36" s="23">
        <v>45968</v>
      </c>
      <c r="L36" s="32">
        <v>37500</v>
      </c>
      <c r="M36" s="21" t="s">
        <v>6</v>
      </c>
      <c r="N36" s="17"/>
      <c r="O36" s="21" t="s">
        <v>146</v>
      </c>
      <c r="P36" s="28" t="s">
        <v>8</v>
      </c>
      <c r="Q36" s="28" t="s">
        <v>140</v>
      </c>
      <c r="R36" s="55"/>
      <c r="S36" s="18" t="e">
        <f ca="1">_xll.AblebitsUDF.AblebitsSpellNumber(L36,"None",1,1,FALSE)</f>
        <v>#NAME?</v>
      </c>
      <c r="T36" s="17"/>
    </row>
    <row r="37" spans="1:20" ht="38.25" x14ac:dyDescent="0.25">
      <c r="A37" s="70">
        <v>45697.495347222219</v>
      </c>
      <c r="B37" s="48">
        <v>51</v>
      </c>
      <c r="C37" s="21" t="s">
        <v>152</v>
      </c>
      <c r="D37" s="21" t="s">
        <v>153</v>
      </c>
      <c r="E37" s="21" t="s">
        <v>154</v>
      </c>
      <c r="F37" s="21" t="s">
        <v>155</v>
      </c>
      <c r="G37" s="23">
        <v>45816</v>
      </c>
      <c r="H37" s="29" t="s">
        <v>126</v>
      </c>
      <c r="I37" s="32">
        <v>550000</v>
      </c>
      <c r="J37" s="32">
        <v>158826</v>
      </c>
      <c r="K37" s="32" t="s">
        <v>156</v>
      </c>
      <c r="L37" s="32">
        <v>16500</v>
      </c>
      <c r="M37" s="21" t="s">
        <v>79</v>
      </c>
      <c r="N37" s="21" t="s">
        <v>157</v>
      </c>
      <c r="O37" s="21" t="s">
        <v>177</v>
      </c>
      <c r="P37" s="28" t="s">
        <v>8</v>
      </c>
      <c r="Q37" s="28" t="s">
        <v>158</v>
      </c>
      <c r="R37" s="28" t="s">
        <v>159</v>
      </c>
      <c r="S37" s="18" t="e">
        <f ca="1">_xll.AblebitsUDF.AblebitsSpellNumber(L37,"None",1,1,FALSE)</f>
        <v>#NAME?</v>
      </c>
      <c r="T37" s="17"/>
    </row>
    <row r="38" spans="1:20" ht="51" x14ac:dyDescent="0.25">
      <c r="A38" s="70">
        <v>45697.498680555553</v>
      </c>
      <c r="B38" s="48">
        <v>52</v>
      </c>
      <c r="C38" s="21" t="s">
        <v>152</v>
      </c>
      <c r="D38" s="21" t="s">
        <v>153</v>
      </c>
      <c r="E38" s="21" t="s">
        <v>154</v>
      </c>
      <c r="F38" s="21" t="s">
        <v>155</v>
      </c>
      <c r="G38" s="23">
        <v>45816</v>
      </c>
      <c r="H38" s="29" t="s">
        <v>126</v>
      </c>
      <c r="I38" s="32">
        <v>550000</v>
      </c>
      <c r="J38" s="32">
        <v>524481</v>
      </c>
      <c r="K38" s="32" t="s">
        <v>96</v>
      </c>
      <c r="L38" s="32">
        <v>16500</v>
      </c>
      <c r="M38" s="21" t="s">
        <v>160</v>
      </c>
      <c r="N38" s="17"/>
      <c r="O38" s="21" t="s">
        <v>178</v>
      </c>
      <c r="P38" s="28" t="s">
        <v>8</v>
      </c>
      <c r="Q38" s="28" t="s">
        <v>156</v>
      </c>
      <c r="R38" s="28" t="s">
        <v>159</v>
      </c>
      <c r="S38" s="18" t="e">
        <f ca="1">_xll.AblebitsUDF.AblebitsSpellNumber(L38,"None",1,1,FALSE)</f>
        <v>#NAME?</v>
      </c>
      <c r="T38" s="17"/>
    </row>
    <row r="39" spans="1:20" ht="51" x14ac:dyDescent="0.25">
      <c r="A39" s="70">
        <v>45697.502199074072</v>
      </c>
      <c r="B39" s="48">
        <v>53</v>
      </c>
      <c r="C39" s="21" t="s">
        <v>152</v>
      </c>
      <c r="D39" s="21" t="s">
        <v>153</v>
      </c>
      <c r="E39" s="21" t="s">
        <v>154</v>
      </c>
      <c r="F39" s="21" t="s">
        <v>155</v>
      </c>
      <c r="G39" s="23">
        <v>45816</v>
      </c>
      <c r="H39" s="29" t="s">
        <v>126</v>
      </c>
      <c r="I39" s="32">
        <v>550000</v>
      </c>
      <c r="J39" s="32">
        <v>503025</v>
      </c>
      <c r="K39" s="32" t="s">
        <v>158</v>
      </c>
      <c r="L39" s="32">
        <v>16500</v>
      </c>
      <c r="M39" s="21" t="s">
        <v>161</v>
      </c>
      <c r="N39" s="17"/>
      <c r="O39" s="33" t="s">
        <v>179</v>
      </c>
      <c r="P39" s="28" t="s">
        <v>8</v>
      </c>
      <c r="Q39" s="28" t="s">
        <v>158</v>
      </c>
      <c r="R39" s="28" t="s">
        <v>157</v>
      </c>
      <c r="S39" s="18" t="e">
        <f ca="1">_xll.AblebitsUDF.AblebitsSpellNumber(L39,"None",1,1,FALSE)</f>
        <v>#NAME?</v>
      </c>
      <c r="T39" s="17"/>
    </row>
    <row r="40" spans="1:20" ht="38.25" x14ac:dyDescent="0.25">
      <c r="A40" s="70">
        <v>45697.505196759259</v>
      </c>
      <c r="B40" s="48">
        <v>54</v>
      </c>
      <c r="C40" s="21" t="s">
        <v>152</v>
      </c>
      <c r="D40" s="21" t="s">
        <v>153</v>
      </c>
      <c r="E40" s="21" t="s">
        <v>154</v>
      </c>
      <c r="F40" s="21" t="s">
        <v>155</v>
      </c>
      <c r="G40" s="23">
        <v>45816</v>
      </c>
      <c r="H40" s="29" t="s">
        <v>126</v>
      </c>
      <c r="I40" s="32">
        <v>550000</v>
      </c>
      <c r="J40" s="34" t="s">
        <v>180</v>
      </c>
      <c r="K40" s="23">
        <v>45816</v>
      </c>
      <c r="L40" s="32">
        <v>16500</v>
      </c>
      <c r="M40" s="21" t="s">
        <v>162</v>
      </c>
      <c r="N40" s="21"/>
      <c r="O40" s="21" t="s">
        <v>181</v>
      </c>
      <c r="P40" s="28" t="s">
        <v>8</v>
      </c>
      <c r="Q40" s="28" t="s">
        <v>163</v>
      </c>
      <c r="R40" s="28" t="s">
        <v>157</v>
      </c>
      <c r="S40" s="18" t="e">
        <f ca="1">_xll.AblebitsUDF.AblebitsSpellNumber(L40,"None",1,1,FALSE)</f>
        <v>#NAME?</v>
      </c>
      <c r="T40" s="17"/>
    </row>
    <row r="41" spans="1:20" ht="51" x14ac:dyDescent="0.25">
      <c r="A41" s="70">
        <v>45697.508692129632</v>
      </c>
      <c r="B41" s="48">
        <v>55</v>
      </c>
      <c r="C41" s="21" t="s">
        <v>152</v>
      </c>
      <c r="D41" s="21" t="s">
        <v>153</v>
      </c>
      <c r="E41" s="21" t="s">
        <v>154</v>
      </c>
      <c r="F41" s="21" t="s">
        <v>155</v>
      </c>
      <c r="G41" s="23">
        <v>45816</v>
      </c>
      <c r="H41" s="29" t="s">
        <v>126</v>
      </c>
      <c r="I41" s="32">
        <v>550000</v>
      </c>
      <c r="J41" s="32">
        <v>16500</v>
      </c>
      <c r="K41" s="32" t="s">
        <v>126</v>
      </c>
      <c r="L41" s="32">
        <v>16500</v>
      </c>
      <c r="M41" s="21" t="s">
        <v>109</v>
      </c>
      <c r="N41" s="21" t="s">
        <v>157</v>
      </c>
      <c r="O41" s="21" t="s">
        <v>182</v>
      </c>
      <c r="P41" s="28" t="s">
        <v>8</v>
      </c>
      <c r="Q41" s="28" t="s">
        <v>126</v>
      </c>
      <c r="R41" s="28" t="s">
        <v>176</v>
      </c>
      <c r="S41" s="35" t="s">
        <v>173</v>
      </c>
      <c r="T41" s="17"/>
    </row>
    <row r="42" spans="1:20" ht="63.75" x14ac:dyDescent="0.25">
      <c r="A42" s="70">
        <v>45756.702465277776</v>
      </c>
      <c r="B42" s="48">
        <v>56</v>
      </c>
      <c r="C42" s="21" t="s">
        <v>152</v>
      </c>
      <c r="D42" s="21" t="s">
        <v>153</v>
      </c>
      <c r="E42" s="21" t="s">
        <v>183</v>
      </c>
      <c r="F42" s="21" t="s">
        <v>184</v>
      </c>
      <c r="G42" s="23">
        <v>45816</v>
      </c>
      <c r="H42" s="29" t="s">
        <v>119</v>
      </c>
      <c r="I42" s="32">
        <v>550000</v>
      </c>
      <c r="J42" s="36" t="s">
        <v>185</v>
      </c>
      <c r="K42" s="32" t="s">
        <v>120</v>
      </c>
      <c r="L42" s="32">
        <v>16500</v>
      </c>
      <c r="M42" s="21" t="s">
        <v>83</v>
      </c>
      <c r="N42" s="17"/>
      <c r="O42" s="21" t="s">
        <v>186</v>
      </c>
      <c r="P42" s="28" t="s">
        <v>8</v>
      </c>
      <c r="Q42" s="28" t="s">
        <v>120</v>
      </c>
      <c r="R42" s="28" t="s">
        <v>159</v>
      </c>
      <c r="S42" s="18" t="e">
        <f ca="1">_xll.AblebitsUDF.AblebitsSpellNumber(L42,"None",1,1,FALSE)</f>
        <v>#NAME?</v>
      </c>
      <c r="T42" s="17"/>
    </row>
    <row r="43" spans="1:20" ht="76.5" x14ac:dyDescent="0.25">
      <c r="A43" s="70">
        <v>45756.705324074072</v>
      </c>
      <c r="B43" s="48">
        <v>57</v>
      </c>
      <c r="C43" s="21" t="s">
        <v>152</v>
      </c>
      <c r="D43" s="21" t="s">
        <v>153</v>
      </c>
      <c r="E43" s="21" t="s">
        <v>183</v>
      </c>
      <c r="F43" s="21" t="s">
        <v>184</v>
      </c>
      <c r="G43" s="23">
        <v>45816</v>
      </c>
      <c r="H43" s="29" t="s">
        <v>119</v>
      </c>
      <c r="I43" s="32">
        <v>550000</v>
      </c>
      <c r="J43" s="36" t="s">
        <v>187</v>
      </c>
      <c r="K43" s="32" t="s">
        <v>188</v>
      </c>
      <c r="L43" s="32">
        <v>16500</v>
      </c>
      <c r="M43" s="21" t="s">
        <v>83</v>
      </c>
      <c r="N43" s="21"/>
      <c r="O43" s="21" t="s">
        <v>189</v>
      </c>
      <c r="P43" s="28" t="s">
        <v>8</v>
      </c>
      <c r="Q43" s="28" t="s">
        <v>120</v>
      </c>
      <c r="R43" s="28" t="s">
        <v>157</v>
      </c>
      <c r="S43" s="18" t="e">
        <f ca="1">_xll.AblebitsUDF.AblebitsSpellNumber(L43,"None",1,1,FALSE)</f>
        <v>#NAME?</v>
      </c>
      <c r="T43" s="17"/>
    </row>
    <row r="44" spans="1:20" ht="76.5" x14ac:dyDescent="0.25">
      <c r="A44" s="70">
        <v>45756.70888888889</v>
      </c>
      <c r="B44" s="48">
        <v>58</v>
      </c>
      <c r="C44" s="21" t="s">
        <v>152</v>
      </c>
      <c r="D44" s="21" t="s">
        <v>153</v>
      </c>
      <c r="E44" s="21" t="s">
        <v>190</v>
      </c>
      <c r="F44" s="21" t="s">
        <v>184</v>
      </c>
      <c r="G44" s="23">
        <v>45816</v>
      </c>
      <c r="H44" s="29" t="s">
        <v>119</v>
      </c>
      <c r="I44" s="32">
        <v>550000</v>
      </c>
      <c r="J44" s="32">
        <v>158837</v>
      </c>
      <c r="K44" s="32" t="s">
        <v>188</v>
      </c>
      <c r="L44" s="32">
        <v>16500</v>
      </c>
      <c r="M44" s="21" t="s">
        <v>79</v>
      </c>
      <c r="N44" s="21" t="s">
        <v>157</v>
      </c>
      <c r="O44" s="21" t="s">
        <v>191</v>
      </c>
      <c r="P44" s="28" t="s">
        <v>8</v>
      </c>
      <c r="Q44" s="28" t="s">
        <v>120</v>
      </c>
      <c r="R44" s="28" t="s">
        <v>157</v>
      </c>
      <c r="S44" s="18" t="e">
        <f ca="1">_xll.AblebitsUDF.AblebitsSpellNumber(L44,"None",1,1,FALSE)</f>
        <v>#NAME?</v>
      </c>
      <c r="T44" s="17"/>
    </row>
    <row r="45" spans="1:20" ht="63.75" x14ac:dyDescent="0.25">
      <c r="A45" s="70">
        <v>45756.714386574073</v>
      </c>
      <c r="B45" s="48">
        <v>59</v>
      </c>
      <c r="C45" s="21" t="s">
        <v>152</v>
      </c>
      <c r="D45" s="21" t="s">
        <v>153</v>
      </c>
      <c r="E45" s="21" t="s">
        <v>190</v>
      </c>
      <c r="F45" s="21" t="s">
        <v>184</v>
      </c>
      <c r="G45" s="23">
        <v>45816</v>
      </c>
      <c r="H45" s="29" t="s">
        <v>119</v>
      </c>
      <c r="I45" s="32">
        <v>550000</v>
      </c>
      <c r="J45" s="36" t="s">
        <v>192</v>
      </c>
      <c r="K45" s="32" t="s">
        <v>126</v>
      </c>
      <c r="L45" s="32">
        <v>16500</v>
      </c>
      <c r="M45" s="21" t="s">
        <v>121</v>
      </c>
      <c r="N45" s="21"/>
      <c r="O45" s="21" t="s">
        <v>193</v>
      </c>
      <c r="P45" s="28" t="s">
        <v>8</v>
      </c>
      <c r="Q45" s="28" t="s">
        <v>188</v>
      </c>
      <c r="R45" s="28" t="s">
        <v>157</v>
      </c>
      <c r="S45" s="18" t="e">
        <f ca="1">_xll.AblebitsUDF.AblebitsSpellNumber(L45,"None",1,1,FALSE)</f>
        <v>#NAME?</v>
      </c>
      <c r="T45" s="17"/>
    </row>
    <row r="46" spans="1:20" ht="89.25" x14ac:dyDescent="0.25">
      <c r="A46" s="70">
        <v>45756.716747685183</v>
      </c>
      <c r="B46" s="48">
        <v>60</v>
      </c>
      <c r="C46" s="21" t="s">
        <v>152</v>
      </c>
      <c r="D46" s="21" t="s">
        <v>153</v>
      </c>
      <c r="E46" s="21" t="s">
        <v>190</v>
      </c>
      <c r="F46" s="21" t="s">
        <v>184</v>
      </c>
      <c r="G46" s="23">
        <v>45816</v>
      </c>
      <c r="H46" s="29" t="s">
        <v>119</v>
      </c>
      <c r="I46" s="32">
        <v>550000</v>
      </c>
      <c r="J46" s="32">
        <v>109597</v>
      </c>
      <c r="K46" s="32" t="s">
        <v>188</v>
      </c>
      <c r="L46" s="32">
        <v>16500</v>
      </c>
      <c r="M46" s="21" t="s">
        <v>79</v>
      </c>
      <c r="N46" s="21" t="s">
        <v>157</v>
      </c>
      <c r="O46" s="21" t="s">
        <v>194</v>
      </c>
      <c r="P46" s="28" t="s">
        <v>8</v>
      </c>
      <c r="Q46" s="28" t="s">
        <v>188</v>
      </c>
      <c r="R46" s="28" t="s">
        <v>157</v>
      </c>
      <c r="S46" s="18" t="e">
        <f ca="1">_xll.AblebitsUDF.AblebitsSpellNumber(L46,"None",1,1,FALSE)</f>
        <v>#NAME?</v>
      </c>
      <c r="T46" s="17"/>
    </row>
    <row r="47" spans="1:20" ht="51" x14ac:dyDescent="0.25">
      <c r="A47" s="71"/>
      <c r="B47" s="48">
        <v>61</v>
      </c>
      <c r="C47" s="37"/>
      <c r="D47" s="33" t="s">
        <v>153</v>
      </c>
      <c r="E47" s="33" t="s">
        <v>190</v>
      </c>
      <c r="F47" s="33" t="s">
        <v>195</v>
      </c>
      <c r="G47" s="38">
        <v>45816</v>
      </c>
      <c r="H47" s="39" t="s">
        <v>119</v>
      </c>
      <c r="I47" s="40">
        <v>550000</v>
      </c>
      <c r="J47" s="40" t="s">
        <v>196</v>
      </c>
      <c r="K47" s="38">
        <v>45888</v>
      </c>
      <c r="L47" s="41">
        <v>16500</v>
      </c>
      <c r="M47" s="33" t="s">
        <v>162</v>
      </c>
      <c r="N47" s="33"/>
      <c r="O47" s="42" t="s">
        <v>197</v>
      </c>
      <c r="P47" s="43" t="s">
        <v>8</v>
      </c>
      <c r="Q47" s="39">
        <v>45896</v>
      </c>
      <c r="R47" s="43" t="s">
        <v>157</v>
      </c>
      <c r="S47" s="44"/>
      <c r="T47" s="17"/>
    </row>
    <row r="48" spans="1:20" ht="38.25" x14ac:dyDescent="0.25">
      <c r="A48" s="70">
        <v>45817.698518518519</v>
      </c>
      <c r="B48" s="48">
        <v>62</v>
      </c>
      <c r="C48" s="21" t="s">
        <v>200</v>
      </c>
      <c r="D48" s="21" t="s">
        <v>153</v>
      </c>
      <c r="E48" s="21" t="s">
        <v>201</v>
      </c>
      <c r="F48" s="21" t="s">
        <v>202</v>
      </c>
      <c r="G48" s="23">
        <v>45665</v>
      </c>
      <c r="H48" s="29" t="s">
        <v>203</v>
      </c>
      <c r="I48" s="32">
        <v>281000</v>
      </c>
      <c r="J48" s="32">
        <v>514262</v>
      </c>
      <c r="K48" s="32" t="s">
        <v>126</v>
      </c>
      <c r="L48" s="32">
        <v>8430</v>
      </c>
      <c r="M48" s="21" t="s">
        <v>161</v>
      </c>
      <c r="N48" s="21"/>
      <c r="O48" s="21" t="s">
        <v>204</v>
      </c>
      <c r="P48" s="28" t="s">
        <v>8</v>
      </c>
      <c r="Q48" s="55"/>
      <c r="R48" s="68"/>
      <c r="S48" s="18" t="e">
        <f ca="1">_xll.AblebitsUDF.AblebitsSpellNumber(L48,"None",1,1,FALSE)</f>
        <v>#NAME?</v>
      </c>
      <c r="T48" s="17"/>
    </row>
    <row r="49" spans="1:20" ht="38.25" x14ac:dyDescent="0.25">
      <c r="A49" s="70">
        <v>45878.671064814815</v>
      </c>
      <c r="B49" s="48">
        <v>63</v>
      </c>
      <c r="C49" s="21" t="s">
        <v>200</v>
      </c>
      <c r="D49" s="21" t="s">
        <v>153</v>
      </c>
      <c r="E49" s="21" t="s">
        <v>205</v>
      </c>
      <c r="F49" s="21" t="s">
        <v>202</v>
      </c>
      <c r="G49" s="23">
        <v>45665</v>
      </c>
      <c r="H49" s="29" t="s">
        <v>203</v>
      </c>
      <c r="I49" s="32">
        <v>281000</v>
      </c>
      <c r="J49" s="32">
        <v>2.16132000012E+22</v>
      </c>
      <c r="K49" s="32" t="s">
        <v>123</v>
      </c>
      <c r="L49" s="32">
        <v>8430</v>
      </c>
      <c r="M49" s="21" t="s">
        <v>42</v>
      </c>
      <c r="N49" s="45"/>
      <c r="O49" s="21" t="s">
        <v>206</v>
      </c>
      <c r="P49" s="28" t="s">
        <v>8</v>
      </c>
      <c r="Q49" s="29">
        <v>45878</v>
      </c>
      <c r="R49" s="68"/>
      <c r="S49" s="18" t="e">
        <f ca="1">_xll.AblebitsUDF.AblebitsSpellNumber(L49,"None",1,1,FALSE)</f>
        <v>#NAME?</v>
      </c>
      <c r="T49" s="17"/>
    </row>
    <row r="50" spans="1:20" ht="120" customHeight="1" x14ac:dyDescent="0.25">
      <c r="A50" s="70">
        <v>45909.674108796295</v>
      </c>
      <c r="B50" s="48">
        <v>64</v>
      </c>
      <c r="C50" s="21" t="s">
        <v>207</v>
      </c>
      <c r="D50" s="21" t="s">
        <v>153</v>
      </c>
      <c r="E50" s="21" t="s">
        <v>208</v>
      </c>
      <c r="F50" s="21" t="s">
        <v>184</v>
      </c>
      <c r="G50" s="23">
        <v>45816</v>
      </c>
      <c r="H50" s="29" t="s">
        <v>119</v>
      </c>
      <c r="I50" s="32">
        <v>550000</v>
      </c>
      <c r="J50" s="21">
        <v>6604</v>
      </c>
      <c r="K50" s="32" t="s">
        <v>156</v>
      </c>
      <c r="L50" s="32">
        <v>16500</v>
      </c>
      <c r="M50" s="21" t="s">
        <v>209</v>
      </c>
      <c r="N50" s="21"/>
      <c r="O50" s="21" t="s">
        <v>210</v>
      </c>
      <c r="P50" s="28" t="s">
        <v>8</v>
      </c>
      <c r="Q50" s="28" t="s">
        <v>119</v>
      </c>
      <c r="R50" s="68"/>
      <c r="S50" s="18" t="e">
        <f ca="1">_xll.AblebitsUDF.AblebitsSpellNumber(L50,"None",1,1,FALSE)</f>
        <v>#NAME?</v>
      </c>
      <c r="T50" s="17"/>
    </row>
    <row r="51" spans="1:20" x14ac:dyDescent="0.25">
      <c r="A51" s="70">
        <v>45909.724537037036</v>
      </c>
      <c r="B51" s="48">
        <v>65</v>
      </c>
      <c r="C51" s="21" t="s">
        <v>1</v>
      </c>
      <c r="D51" s="21" t="s">
        <v>2</v>
      </c>
      <c r="E51" s="21" t="s">
        <v>211</v>
      </c>
      <c r="F51" s="21" t="s">
        <v>212</v>
      </c>
      <c r="G51" s="23">
        <v>45877</v>
      </c>
      <c r="H51" s="29" t="s">
        <v>213</v>
      </c>
      <c r="I51" s="32">
        <v>490000</v>
      </c>
      <c r="J51" s="32">
        <v>245137</v>
      </c>
      <c r="K51" s="32" t="s">
        <v>188</v>
      </c>
      <c r="L51" s="32">
        <v>14700</v>
      </c>
      <c r="M51" s="21" t="s">
        <v>214</v>
      </c>
      <c r="N51" s="21"/>
      <c r="O51" s="21" t="s">
        <v>215</v>
      </c>
      <c r="P51" s="28" t="s">
        <v>8</v>
      </c>
      <c r="Q51" s="28" t="s">
        <v>216</v>
      </c>
      <c r="R51" s="68"/>
      <c r="S51" s="18" t="e">
        <f ca="1">_xll.AblebitsUDF.AblebitsSpellNumber(L51,"None",1,1,FALSE)</f>
        <v>#NAME?</v>
      </c>
      <c r="T51" s="17"/>
    </row>
    <row r="52" spans="1:20" x14ac:dyDescent="0.25">
      <c r="A52" s="70">
        <v>45909.726319444446</v>
      </c>
      <c r="B52" s="48">
        <v>66</v>
      </c>
      <c r="C52" s="21" t="s">
        <v>1</v>
      </c>
      <c r="D52" s="21" t="s">
        <v>2</v>
      </c>
      <c r="E52" s="21" t="s">
        <v>211</v>
      </c>
      <c r="F52" s="21" t="s">
        <v>212</v>
      </c>
      <c r="G52" s="23">
        <v>45877</v>
      </c>
      <c r="H52" s="29" t="s">
        <v>213</v>
      </c>
      <c r="I52" s="32">
        <v>490000</v>
      </c>
      <c r="J52" s="32">
        <v>592804</v>
      </c>
      <c r="K52" s="32" t="s">
        <v>126</v>
      </c>
      <c r="L52" s="32">
        <v>14700</v>
      </c>
      <c r="M52" s="21" t="s">
        <v>127</v>
      </c>
      <c r="N52" s="21"/>
      <c r="O52" s="21" t="s">
        <v>217</v>
      </c>
      <c r="P52" s="28" t="s">
        <v>8</v>
      </c>
      <c r="Q52" s="28" t="s">
        <v>120</v>
      </c>
      <c r="R52" s="68"/>
      <c r="S52" s="18" t="e">
        <f ca="1">_xll.AblebitsUDF.AblebitsSpellNumber(L52,"None",1,1,FALSE)</f>
        <v>#NAME?</v>
      </c>
      <c r="T52" s="17"/>
    </row>
    <row r="53" spans="1:20" x14ac:dyDescent="0.25">
      <c r="A53" s="70">
        <v>45909.727731481478</v>
      </c>
      <c r="B53" s="48">
        <v>67</v>
      </c>
      <c r="C53" s="21" t="s">
        <v>1</v>
      </c>
      <c r="D53" s="21" t="s">
        <v>2</v>
      </c>
      <c r="E53" s="21" t="s">
        <v>211</v>
      </c>
      <c r="F53" s="21" t="s">
        <v>212</v>
      </c>
      <c r="G53" s="23">
        <v>45877</v>
      </c>
      <c r="H53" s="29" t="s">
        <v>213</v>
      </c>
      <c r="I53" s="32">
        <v>490000</v>
      </c>
      <c r="J53" s="21">
        <v>1426</v>
      </c>
      <c r="K53" s="32" t="s">
        <v>126</v>
      </c>
      <c r="L53" s="32">
        <v>14700</v>
      </c>
      <c r="M53" s="21" t="s">
        <v>6</v>
      </c>
      <c r="N53" s="21"/>
      <c r="O53" s="21" t="s">
        <v>218</v>
      </c>
      <c r="P53" s="28" t="s">
        <v>8</v>
      </c>
      <c r="Q53" s="28" t="s">
        <v>120</v>
      </c>
      <c r="R53" s="68"/>
      <c r="S53" s="18" t="e">
        <f ca="1">_xll.AblebitsUDF.AblebitsSpellNumber(L53,"None",1,1,FALSE)</f>
        <v>#NAME?</v>
      </c>
      <c r="T53" s="17"/>
    </row>
    <row r="54" spans="1:20" ht="25.5" x14ac:dyDescent="0.25">
      <c r="A54" s="70">
        <v>45909.729618055557</v>
      </c>
      <c r="B54" s="48">
        <v>68</v>
      </c>
      <c r="C54" s="21" t="s">
        <v>1</v>
      </c>
      <c r="D54" s="21" t="s">
        <v>2</v>
      </c>
      <c r="E54" s="21" t="s">
        <v>219</v>
      </c>
      <c r="F54" s="21" t="s">
        <v>220</v>
      </c>
      <c r="G54" s="23">
        <v>45877</v>
      </c>
      <c r="H54" s="29" t="s">
        <v>213</v>
      </c>
      <c r="I54" s="32">
        <v>460000</v>
      </c>
      <c r="J54" s="32">
        <v>592803</v>
      </c>
      <c r="K54" s="32" t="s">
        <v>126</v>
      </c>
      <c r="L54" s="32">
        <v>13800</v>
      </c>
      <c r="M54" s="21" t="s">
        <v>127</v>
      </c>
      <c r="N54" s="21"/>
      <c r="O54" s="21" t="s">
        <v>221</v>
      </c>
      <c r="P54" s="28" t="s">
        <v>8</v>
      </c>
      <c r="Q54" s="28" t="s">
        <v>120</v>
      </c>
      <c r="R54" s="68"/>
      <c r="S54" s="18" t="e">
        <f ca="1">_xll.AblebitsUDF.AblebitsSpellNumber(L54,"None",1,1,FALSE)</f>
        <v>#NAME?</v>
      </c>
      <c r="T54" s="17"/>
    </row>
    <row r="55" spans="1:20" ht="25.5" x14ac:dyDescent="0.25">
      <c r="A55" s="70">
        <v>45909.731064814812</v>
      </c>
      <c r="B55" s="48">
        <v>69</v>
      </c>
      <c r="C55" s="21" t="s">
        <v>1</v>
      </c>
      <c r="D55" s="21" t="s">
        <v>2</v>
      </c>
      <c r="E55" s="21" t="s">
        <v>219</v>
      </c>
      <c r="F55" s="21" t="s">
        <v>220</v>
      </c>
      <c r="G55" s="23">
        <v>45877</v>
      </c>
      <c r="H55" s="29" t="s">
        <v>213</v>
      </c>
      <c r="I55" s="32">
        <v>460000</v>
      </c>
      <c r="J55" s="21">
        <v>1424</v>
      </c>
      <c r="K55" s="32" t="s">
        <v>126</v>
      </c>
      <c r="L55" s="32">
        <v>13800</v>
      </c>
      <c r="M55" s="21" t="s">
        <v>6</v>
      </c>
      <c r="N55" s="21"/>
      <c r="O55" s="21" t="s">
        <v>218</v>
      </c>
      <c r="P55" s="28" t="s">
        <v>8</v>
      </c>
      <c r="Q55" s="28" t="s">
        <v>120</v>
      </c>
      <c r="R55" s="68"/>
      <c r="S55" s="18" t="e">
        <f ca="1">_xll.AblebitsUDF.AblebitsSpellNumber(L55,"None",1,1,FALSE)</f>
        <v>#NAME?</v>
      </c>
      <c r="T55" s="17"/>
    </row>
    <row r="56" spans="1:20" x14ac:dyDescent="0.25">
      <c r="A56" s="70">
        <v>45909.733854166669</v>
      </c>
      <c r="B56" s="48">
        <v>70</v>
      </c>
      <c r="C56" s="21" t="s">
        <v>1</v>
      </c>
      <c r="D56" s="21" t="s">
        <v>2</v>
      </c>
      <c r="E56" s="21" t="s">
        <v>222</v>
      </c>
      <c r="F56" s="21" t="s">
        <v>223</v>
      </c>
      <c r="G56" s="23">
        <v>45877</v>
      </c>
      <c r="H56" s="29" t="s">
        <v>213</v>
      </c>
      <c r="I56" s="32">
        <v>120000</v>
      </c>
      <c r="J56" s="32">
        <v>592804</v>
      </c>
      <c r="K56" s="32" t="s">
        <v>126</v>
      </c>
      <c r="L56" s="32">
        <v>3600</v>
      </c>
      <c r="M56" s="21" t="s">
        <v>224</v>
      </c>
      <c r="N56" s="21"/>
      <c r="O56" s="21" t="s">
        <v>225</v>
      </c>
      <c r="P56" s="28" t="s">
        <v>8</v>
      </c>
      <c r="Q56" s="28" t="s">
        <v>158</v>
      </c>
      <c r="R56" s="68"/>
      <c r="S56" s="18" t="e">
        <f ca="1">_xll.AblebitsUDF.AblebitsSpellNumber(L56,"None",1,1,FALSE)</f>
        <v>#NAME?</v>
      </c>
      <c r="T56" s="17"/>
    </row>
    <row r="57" spans="1:20" ht="51" x14ac:dyDescent="0.25">
      <c r="A57" s="28" t="s">
        <v>226</v>
      </c>
      <c r="B57" s="48">
        <v>71</v>
      </c>
      <c r="C57" s="21" t="s">
        <v>227</v>
      </c>
      <c r="D57" s="21" t="s">
        <v>228</v>
      </c>
      <c r="E57" s="21" t="s">
        <v>229</v>
      </c>
      <c r="F57" s="21" t="s">
        <v>230</v>
      </c>
      <c r="G57" s="32" t="s">
        <v>158</v>
      </c>
      <c r="H57" s="29">
        <v>45939</v>
      </c>
      <c r="I57" s="32">
        <v>80000</v>
      </c>
      <c r="J57" s="21" t="s">
        <v>231</v>
      </c>
      <c r="K57" s="23">
        <v>45817</v>
      </c>
      <c r="L57" s="32">
        <v>2400</v>
      </c>
      <c r="M57" s="21" t="s">
        <v>42</v>
      </c>
      <c r="N57" s="45"/>
      <c r="O57" s="21" t="s">
        <v>232</v>
      </c>
      <c r="P57" s="28" t="s">
        <v>8</v>
      </c>
      <c r="Q57" s="29">
        <v>45909</v>
      </c>
      <c r="R57" s="68"/>
      <c r="S57" s="18" t="e">
        <f ca="1">_xll.AblebitsUDF.AblebitsSpellNumber(L57,"None",1,1,FALSE)</f>
        <v>#NAME?</v>
      </c>
      <c r="T57" s="17"/>
    </row>
    <row r="58" spans="1:20" ht="51" x14ac:dyDescent="0.25">
      <c r="A58" s="28" t="s">
        <v>233</v>
      </c>
      <c r="B58" s="48">
        <v>72</v>
      </c>
      <c r="C58" s="21" t="s">
        <v>227</v>
      </c>
      <c r="D58" s="21" t="s">
        <v>228</v>
      </c>
      <c r="E58" s="21" t="s">
        <v>234</v>
      </c>
      <c r="F58" s="21" t="s">
        <v>235</v>
      </c>
      <c r="G58" s="32" t="s">
        <v>158</v>
      </c>
      <c r="H58" s="29">
        <v>45939</v>
      </c>
      <c r="I58" s="32">
        <v>490000</v>
      </c>
      <c r="J58" s="21" t="s">
        <v>236</v>
      </c>
      <c r="K58" s="23">
        <v>45817</v>
      </c>
      <c r="L58" s="32">
        <v>15000</v>
      </c>
      <c r="M58" s="21" t="s">
        <v>42</v>
      </c>
      <c r="N58" s="45"/>
      <c r="O58" s="21" t="s">
        <v>237</v>
      </c>
      <c r="P58" s="28" t="s">
        <v>8</v>
      </c>
      <c r="Q58" s="29">
        <v>45909</v>
      </c>
      <c r="R58" s="68"/>
      <c r="S58" s="18" t="e">
        <f ca="1">_xll.AblebitsUDF.AblebitsSpellNumber(L58,"None",1,1,FALSE)</f>
        <v>#NAME?</v>
      </c>
      <c r="T58" s="17"/>
    </row>
    <row r="59" spans="1:20" ht="38.25" x14ac:dyDescent="0.25">
      <c r="A59" s="28" t="s">
        <v>238</v>
      </c>
      <c r="B59" s="48">
        <v>73</v>
      </c>
      <c r="C59" s="21" t="s">
        <v>227</v>
      </c>
      <c r="D59" s="21" t="s">
        <v>228</v>
      </c>
      <c r="E59" s="21" t="s">
        <v>239</v>
      </c>
      <c r="F59" s="21" t="s">
        <v>240</v>
      </c>
      <c r="G59" s="32" t="s">
        <v>158</v>
      </c>
      <c r="H59" s="29">
        <v>45939</v>
      </c>
      <c r="I59" s="32">
        <v>90000</v>
      </c>
      <c r="J59" s="21" t="s">
        <v>241</v>
      </c>
      <c r="K59" s="23">
        <v>45939</v>
      </c>
      <c r="L59" s="32">
        <v>2700</v>
      </c>
      <c r="M59" s="21" t="s">
        <v>242</v>
      </c>
      <c r="N59" s="45"/>
      <c r="O59" s="21" t="s">
        <v>243</v>
      </c>
      <c r="P59" s="28" t="s">
        <v>8</v>
      </c>
      <c r="Q59" s="28" t="s">
        <v>244</v>
      </c>
      <c r="R59" s="68"/>
      <c r="S59" s="18" t="e">
        <f ca="1">_xll.AblebitsUDF.AblebitsSpellNumber(L59,"None",1,1,FALSE)</f>
        <v>#NAME?</v>
      </c>
      <c r="T59" s="17"/>
    </row>
    <row r="60" spans="1:20" ht="38.25" x14ac:dyDescent="0.25">
      <c r="A60" s="28" t="s">
        <v>245</v>
      </c>
      <c r="B60" s="48">
        <v>74</v>
      </c>
      <c r="C60" s="21" t="s">
        <v>227</v>
      </c>
      <c r="D60" s="21" t="s">
        <v>228</v>
      </c>
      <c r="E60" s="21" t="s">
        <v>246</v>
      </c>
      <c r="F60" s="21" t="s">
        <v>240</v>
      </c>
      <c r="G60" s="32" t="s">
        <v>158</v>
      </c>
      <c r="H60" s="29">
        <v>45939</v>
      </c>
      <c r="I60" s="32">
        <v>90000</v>
      </c>
      <c r="J60" s="32">
        <v>778622</v>
      </c>
      <c r="K60" s="23">
        <v>45909</v>
      </c>
      <c r="L60" s="32">
        <v>2700</v>
      </c>
      <c r="M60" s="21" t="s">
        <v>247</v>
      </c>
      <c r="N60" s="21"/>
      <c r="O60" s="21" t="s">
        <v>248</v>
      </c>
      <c r="P60" s="28" t="s">
        <v>8</v>
      </c>
      <c r="Q60" s="29">
        <v>45970</v>
      </c>
      <c r="R60" s="68"/>
      <c r="S60" s="18" t="e">
        <f ca="1">_xll.AblebitsUDF.AblebitsSpellNumber(L60,"None",1,1,FALSE)</f>
        <v>#NAME?</v>
      </c>
      <c r="T60" s="17"/>
    </row>
    <row r="61" spans="1:20" ht="38.25" x14ac:dyDescent="0.25">
      <c r="A61" s="28" t="s">
        <v>249</v>
      </c>
      <c r="B61" s="48">
        <v>75</v>
      </c>
      <c r="C61" s="21" t="s">
        <v>227</v>
      </c>
      <c r="D61" s="21" t="s">
        <v>228</v>
      </c>
      <c r="E61" s="21" t="s">
        <v>250</v>
      </c>
      <c r="F61" s="21" t="s">
        <v>251</v>
      </c>
      <c r="G61" s="32" t="s">
        <v>126</v>
      </c>
      <c r="H61" s="29">
        <v>45970</v>
      </c>
      <c r="I61" s="32">
        <v>200000</v>
      </c>
      <c r="J61" s="32">
        <v>778621</v>
      </c>
      <c r="K61" s="23">
        <v>45909</v>
      </c>
      <c r="L61" s="32">
        <v>6000</v>
      </c>
      <c r="M61" s="21" t="s">
        <v>247</v>
      </c>
      <c r="N61" s="21"/>
      <c r="O61" s="21" t="s">
        <v>252</v>
      </c>
      <c r="P61" s="28" t="s">
        <v>8</v>
      </c>
      <c r="Q61" s="29">
        <v>45970</v>
      </c>
      <c r="R61" s="68"/>
      <c r="S61" s="18" t="e">
        <f ca="1">_xll.AblebitsUDF.AblebitsSpellNumber(L61,"None",1,1,FALSE)</f>
        <v>#NAME?</v>
      </c>
      <c r="T61" s="17"/>
    </row>
    <row r="62" spans="1:20" ht="38.25" x14ac:dyDescent="0.25">
      <c r="A62" s="70">
        <v>45726.670474537037</v>
      </c>
      <c r="B62" s="48">
        <v>76</v>
      </c>
      <c r="C62" s="21" t="s">
        <v>227</v>
      </c>
      <c r="D62" s="21" t="s">
        <v>228</v>
      </c>
      <c r="E62" s="21" t="s">
        <v>253</v>
      </c>
      <c r="F62" s="21" t="s">
        <v>254</v>
      </c>
      <c r="G62" s="23">
        <v>45697</v>
      </c>
      <c r="H62" s="29" t="s">
        <v>255</v>
      </c>
      <c r="I62" s="32">
        <v>350000</v>
      </c>
      <c r="J62" s="21">
        <v>37675</v>
      </c>
      <c r="K62" s="32" t="s">
        <v>256</v>
      </c>
      <c r="L62" s="32">
        <v>10500</v>
      </c>
      <c r="M62" s="21" t="s">
        <v>257</v>
      </c>
      <c r="N62" s="21"/>
      <c r="O62" s="21" t="s">
        <v>258</v>
      </c>
      <c r="P62" s="28" t="s">
        <v>8</v>
      </c>
      <c r="Q62" s="28" t="s">
        <v>259</v>
      </c>
      <c r="R62" s="68"/>
      <c r="S62" s="18" t="e">
        <f ca="1">_xll.AblebitsUDF.AblebitsSpellNumber(L62,"None",1,1,FALSE)</f>
        <v>#NAME?</v>
      </c>
      <c r="T62" s="17"/>
    </row>
    <row r="63" spans="1:20" x14ac:dyDescent="0.25">
      <c r="A63" s="70">
        <v>45940.5934837963</v>
      </c>
      <c r="B63" s="48">
        <v>77</v>
      </c>
      <c r="C63" s="21" t="s">
        <v>1</v>
      </c>
      <c r="D63" s="21" t="s">
        <v>2</v>
      </c>
      <c r="E63" s="21" t="s">
        <v>175</v>
      </c>
      <c r="F63" s="21" t="s">
        <v>166</v>
      </c>
      <c r="G63" s="23">
        <v>45937</v>
      </c>
      <c r="H63" s="29" t="s">
        <v>167</v>
      </c>
      <c r="I63" s="32">
        <v>60000</v>
      </c>
      <c r="J63" s="21">
        <v>4419</v>
      </c>
      <c r="K63" s="32" t="s">
        <v>260</v>
      </c>
      <c r="L63" s="32">
        <v>2921</v>
      </c>
      <c r="M63" s="21" t="s">
        <v>6</v>
      </c>
      <c r="N63" s="21"/>
      <c r="O63" s="21" t="s">
        <v>261</v>
      </c>
      <c r="P63" s="28" t="s">
        <v>262</v>
      </c>
      <c r="Q63" s="28" t="s">
        <v>263</v>
      </c>
      <c r="R63" s="68"/>
      <c r="S63" s="18" t="e">
        <f ca="1">_xll.AblebitsUDF.AblebitsSpellNumber(L63,"None",1,1,FALSE)</f>
        <v>#NAME?</v>
      </c>
      <c r="T63" s="17"/>
    </row>
    <row r="64" spans="1:20" x14ac:dyDescent="0.25">
      <c r="A64" s="70">
        <v>45940.59511574074</v>
      </c>
      <c r="B64" s="48">
        <v>78</v>
      </c>
      <c r="C64" s="21" t="s">
        <v>1</v>
      </c>
      <c r="D64" s="21" t="s">
        <v>2</v>
      </c>
      <c r="E64" s="21" t="s">
        <v>3</v>
      </c>
      <c r="F64" s="21" t="s">
        <v>4</v>
      </c>
      <c r="G64" s="23">
        <v>45937</v>
      </c>
      <c r="H64" s="29" t="s">
        <v>167</v>
      </c>
      <c r="I64" s="32">
        <v>60000</v>
      </c>
      <c r="J64" s="21">
        <v>4418</v>
      </c>
      <c r="K64" s="32" t="s">
        <v>260</v>
      </c>
      <c r="L64" s="32">
        <v>2929</v>
      </c>
      <c r="M64" s="21" t="s">
        <v>6</v>
      </c>
      <c r="N64" s="21"/>
      <c r="O64" s="21" t="s">
        <v>264</v>
      </c>
      <c r="P64" s="28" t="s">
        <v>262</v>
      </c>
      <c r="Q64" s="28" t="s">
        <v>263</v>
      </c>
      <c r="R64" s="68"/>
      <c r="S64" s="18" t="e">
        <f ca="1">_xll.AblebitsUDF.AblebitsSpellNumber(L64,"None",1,1,FALSE)</f>
        <v>#NAME?</v>
      </c>
      <c r="T64" s="17"/>
    </row>
    <row r="65" spans="1:23" ht="38.25" x14ac:dyDescent="0.25">
      <c r="A65" s="70">
        <v>45940.597592592596</v>
      </c>
      <c r="B65" s="48">
        <v>79</v>
      </c>
      <c r="C65" s="21" t="s">
        <v>1</v>
      </c>
      <c r="D65" s="21" t="s">
        <v>2</v>
      </c>
      <c r="E65" s="21" t="s">
        <v>10</v>
      </c>
      <c r="F65" s="21" t="s">
        <v>11</v>
      </c>
      <c r="G65" s="23">
        <v>45937</v>
      </c>
      <c r="H65" s="29" t="s">
        <v>167</v>
      </c>
      <c r="I65" s="32">
        <v>60000</v>
      </c>
      <c r="J65" s="21" t="s">
        <v>265</v>
      </c>
      <c r="K65" s="32" t="s">
        <v>244</v>
      </c>
      <c r="L65" s="32">
        <v>2415</v>
      </c>
      <c r="M65" s="21" t="s">
        <v>247</v>
      </c>
      <c r="N65" s="21"/>
      <c r="O65" s="21" t="s">
        <v>221</v>
      </c>
      <c r="P65" s="28" t="s">
        <v>262</v>
      </c>
      <c r="Q65" s="28" t="s">
        <v>266</v>
      </c>
      <c r="R65" s="68"/>
      <c r="S65" s="18" t="e">
        <f ca="1">_xll.AblebitsUDF.AblebitsSpellNumber(L65,"None",1,1,FALSE)</f>
        <v>#NAME?</v>
      </c>
      <c r="T65" s="17"/>
    </row>
    <row r="66" spans="1:23" ht="25.5" x14ac:dyDescent="0.25">
      <c r="A66" s="28" t="s">
        <v>267</v>
      </c>
      <c r="B66" s="48">
        <v>80</v>
      </c>
      <c r="C66" s="21" t="s">
        <v>227</v>
      </c>
      <c r="D66" s="21" t="s">
        <v>228</v>
      </c>
      <c r="E66" s="21" t="s">
        <v>268</v>
      </c>
      <c r="F66" s="21" t="s">
        <v>269</v>
      </c>
      <c r="G66" s="32" t="s">
        <v>126</v>
      </c>
      <c r="H66" s="29">
        <v>45970</v>
      </c>
      <c r="I66" s="32">
        <v>150000</v>
      </c>
      <c r="J66" s="32">
        <v>612600</v>
      </c>
      <c r="K66" s="23">
        <v>45939</v>
      </c>
      <c r="L66" s="32">
        <v>4500</v>
      </c>
      <c r="M66" s="21" t="s">
        <v>109</v>
      </c>
      <c r="N66" s="45"/>
      <c r="O66" s="21" t="s">
        <v>270</v>
      </c>
      <c r="P66" s="28" t="s">
        <v>8</v>
      </c>
      <c r="Q66" s="29">
        <v>45726</v>
      </c>
      <c r="R66" s="68"/>
      <c r="S66" s="18" t="e">
        <f ca="1">_xll.AblebitsUDF.AblebitsSpellNumber(L66,"None",1,1,FALSE)</f>
        <v>#NAME?</v>
      </c>
      <c r="T66" s="17"/>
    </row>
    <row r="67" spans="1:23" ht="38.25" x14ac:dyDescent="0.25">
      <c r="A67" s="28" t="s">
        <v>271</v>
      </c>
      <c r="B67" s="48">
        <v>81</v>
      </c>
      <c r="C67" s="21" t="s">
        <v>227</v>
      </c>
      <c r="D67" s="21" t="s">
        <v>228</v>
      </c>
      <c r="E67" s="21" t="s">
        <v>229</v>
      </c>
      <c r="F67" s="21" t="s">
        <v>230</v>
      </c>
      <c r="G67" s="32" t="s">
        <v>158</v>
      </c>
      <c r="H67" s="29">
        <v>45939</v>
      </c>
      <c r="I67" s="32">
        <v>80000</v>
      </c>
      <c r="J67" s="32">
        <v>814891</v>
      </c>
      <c r="K67" s="32" t="s">
        <v>259</v>
      </c>
      <c r="L67" s="32">
        <v>2400</v>
      </c>
      <c r="M67" s="21" t="s">
        <v>242</v>
      </c>
      <c r="N67" s="45"/>
      <c r="O67" s="21" t="s">
        <v>272</v>
      </c>
      <c r="P67" s="28" t="s">
        <v>8</v>
      </c>
      <c r="Q67" s="29">
        <v>45726</v>
      </c>
      <c r="R67" s="68"/>
      <c r="S67" s="18" t="e">
        <f ca="1">_xll.AblebitsUDF.AblebitsSpellNumber(L67,"None",1,1,FALSE)</f>
        <v>#NAME?</v>
      </c>
      <c r="T67" s="17"/>
    </row>
    <row r="68" spans="1:23" ht="38.25" x14ac:dyDescent="0.25">
      <c r="A68" s="28" t="s">
        <v>273</v>
      </c>
      <c r="B68" s="48">
        <v>82</v>
      </c>
      <c r="C68" s="21" t="s">
        <v>227</v>
      </c>
      <c r="D68" s="21" t="s">
        <v>228</v>
      </c>
      <c r="E68" s="21" t="s">
        <v>274</v>
      </c>
      <c r="F68" s="21" t="s">
        <v>275</v>
      </c>
      <c r="G68" s="32" t="s">
        <v>126</v>
      </c>
      <c r="H68" s="29">
        <v>45970</v>
      </c>
      <c r="I68" s="32">
        <v>81000</v>
      </c>
      <c r="J68" s="32">
        <v>814889</v>
      </c>
      <c r="K68" s="32" t="s">
        <v>259</v>
      </c>
      <c r="L68" s="32">
        <v>2430</v>
      </c>
      <c r="M68" s="21" t="s">
        <v>242</v>
      </c>
      <c r="N68" s="45"/>
      <c r="O68" s="21" t="s">
        <v>272</v>
      </c>
      <c r="P68" s="28" t="s">
        <v>8</v>
      </c>
      <c r="Q68" s="29">
        <v>45726</v>
      </c>
      <c r="R68" s="68"/>
      <c r="S68" s="18" t="e">
        <f ca="1">_xll.AblebitsUDF.AblebitsSpellNumber(L68,"None",1,1,FALSE)</f>
        <v>#NAME?</v>
      </c>
      <c r="T68" s="17"/>
    </row>
    <row r="69" spans="1:23" ht="38.25" x14ac:dyDescent="0.25">
      <c r="A69" s="28" t="s">
        <v>276</v>
      </c>
      <c r="B69" s="48">
        <v>83</v>
      </c>
      <c r="C69" s="21" t="s">
        <v>227</v>
      </c>
      <c r="D69" s="21" t="s">
        <v>228</v>
      </c>
      <c r="E69" s="21" t="s">
        <v>277</v>
      </c>
      <c r="F69" s="21" t="s">
        <v>240</v>
      </c>
      <c r="G69" s="32" t="s">
        <v>158</v>
      </c>
      <c r="H69" s="29">
        <v>45939</v>
      </c>
      <c r="I69" s="32">
        <v>90000</v>
      </c>
      <c r="J69" s="32">
        <v>814890</v>
      </c>
      <c r="K69" s="32" t="s">
        <v>259</v>
      </c>
      <c r="L69" s="32">
        <v>2700</v>
      </c>
      <c r="M69" s="21" t="s">
        <v>242</v>
      </c>
      <c r="N69" s="45"/>
      <c r="O69" s="21" t="s">
        <v>272</v>
      </c>
      <c r="P69" s="28" t="s">
        <v>8</v>
      </c>
      <c r="Q69" s="29">
        <v>45726</v>
      </c>
      <c r="R69" s="68"/>
      <c r="S69" s="18" t="e">
        <f ca="1">_xll.AblebitsUDF.AblebitsSpellNumber(L69,"None",1,1,FALSE)</f>
        <v>#NAME?</v>
      </c>
      <c r="T69" s="17"/>
    </row>
    <row r="70" spans="1:23" ht="38.25" x14ac:dyDescent="0.25">
      <c r="A70" s="28" t="s">
        <v>278</v>
      </c>
      <c r="B70" s="48">
        <v>84</v>
      </c>
      <c r="C70" s="21" t="s">
        <v>227</v>
      </c>
      <c r="D70" s="21" t="s">
        <v>228</v>
      </c>
      <c r="E70" s="21" t="s">
        <v>279</v>
      </c>
      <c r="F70" s="21" t="s">
        <v>280</v>
      </c>
      <c r="G70" s="32" t="s">
        <v>158</v>
      </c>
      <c r="H70" s="29">
        <v>45939</v>
      </c>
      <c r="I70" s="32">
        <v>40000</v>
      </c>
      <c r="J70" s="32">
        <v>814888</v>
      </c>
      <c r="K70" s="32" t="s">
        <v>259</v>
      </c>
      <c r="L70" s="32">
        <v>1200</v>
      </c>
      <c r="M70" s="21" t="s">
        <v>242</v>
      </c>
      <c r="N70" s="45"/>
      <c r="O70" s="21" t="s">
        <v>272</v>
      </c>
      <c r="P70" s="28" t="s">
        <v>8</v>
      </c>
      <c r="Q70" s="29">
        <v>45726</v>
      </c>
      <c r="R70" s="68"/>
      <c r="S70" s="18" t="e">
        <f ca="1">_xll.AblebitsUDF.AblebitsSpellNumber(L70,"None",1,1,FALSE)</f>
        <v>#NAME?</v>
      </c>
      <c r="T70" s="17"/>
    </row>
    <row r="71" spans="1:23" ht="34.5" customHeight="1" x14ac:dyDescent="0.25">
      <c r="A71" s="28" t="s">
        <v>282</v>
      </c>
      <c r="B71" s="48">
        <v>85</v>
      </c>
      <c r="C71" s="46" t="s">
        <v>33</v>
      </c>
      <c r="D71" s="46" t="s">
        <v>34</v>
      </c>
      <c r="E71" s="46" t="s">
        <v>281</v>
      </c>
      <c r="F71" s="46" t="s">
        <v>36</v>
      </c>
      <c r="G71" s="50">
        <v>45696</v>
      </c>
      <c r="H71" s="50" t="s">
        <v>96</v>
      </c>
      <c r="I71" s="51">
        <v>7000000</v>
      </c>
      <c r="J71" s="51">
        <v>869239</v>
      </c>
      <c r="K71" s="52">
        <v>45887</v>
      </c>
      <c r="L71" s="51">
        <v>210000</v>
      </c>
      <c r="M71" s="46" t="s">
        <v>37</v>
      </c>
      <c r="N71" s="46"/>
      <c r="O71" s="46" t="s">
        <v>38</v>
      </c>
      <c r="P71" s="67" t="s">
        <v>8</v>
      </c>
      <c r="Q71" s="67"/>
      <c r="R71" s="67"/>
      <c r="S71" s="18" t="e">
        <f ca="1">_xll.AblebitsUDF.AblebitsSpellNumber(L71,"None",1,1,FALSE)</f>
        <v>#NAME?</v>
      </c>
      <c r="T71" s="46"/>
      <c r="U71" s="47"/>
      <c r="V71" s="47"/>
      <c r="W71" s="47"/>
    </row>
    <row r="72" spans="1:23" ht="33" customHeight="1" x14ac:dyDescent="0.25">
      <c r="A72" s="28" t="s">
        <v>282</v>
      </c>
      <c r="B72" s="48">
        <v>86</v>
      </c>
      <c r="C72" s="46" t="s">
        <v>33</v>
      </c>
      <c r="D72" s="46" t="s">
        <v>34</v>
      </c>
      <c r="E72" s="46" t="s">
        <v>281</v>
      </c>
      <c r="F72" s="46" t="s">
        <v>36</v>
      </c>
      <c r="G72" s="50">
        <v>45696</v>
      </c>
      <c r="H72" s="50" t="s">
        <v>96</v>
      </c>
      <c r="I72" s="51">
        <v>7000000</v>
      </c>
      <c r="J72" s="51">
        <v>23275</v>
      </c>
      <c r="K72" s="52">
        <v>45883</v>
      </c>
      <c r="L72" s="51">
        <v>210000</v>
      </c>
      <c r="M72" s="46" t="s">
        <v>46</v>
      </c>
      <c r="N72" s="46"/>
      <c r="O72" s="46" t="s">
        <v>47</v>
      </c>
      <c r="P72" s="67" t="s">
        <v>8</v>
      </c>
      <c r="Q72" s="67"/>
      <c r="R72" s="67"/>
      <c r="S72" s="18" t="e">
        <f ca="1">_xll.AblebitsUDF.AblebitsSpellNumber(L72,"None",1,1,FALSE)</f>
        <v>#NAME?</v>
      </c>
      <c r="T72" s="46"/>
      <c r="U72" s="47"/>
      <c r="V72" s="47"/>
      <c r="W72" s="47"/>
    </row>
    <row r="73" spans="1:23" ht="25.5" x14ac:dyDescent="0.25">
      <c r="A73" s="28" t="s">
        <v>283</v>
      </c>
      <c r="B73" s="48">
        <v>87</v>
      </c>
      <c r="C73" s="21" t="s">
        <v>284</v>
      </c>
      <c r="D73" s="21" t="s">
        <v>285</v>
      </c>
      <c r="E73" s="21" t="s">
        <v>286</v>
      </c>
      <c r="F73" s="21" t="s">
        <v>287</v>
      </c>
      <c r="G73" s="23">
        <v>45968</v>
      </c>
      <c r="H73" s="23">
        <v>45665</v>
      </c>
      <c r="I73" s="32">
        <v>100000</v>
      </c>
      <c r="J73" s="32">
        <v>612571</v>
      </c>
      <c r="K73" s="23">
        <v>45999</v>
      </c>
      <c r="L73" s="32">
        <v>3000</v>
      </c>
      <c r="M73" s="21" t="s">
        <v>109</v>
      </c>
      <c r="N73" s="45"/>
      <c r="O73" s="21" t="s">
        <v>288</v>
      </c>
      <c r="P73" s="28" t="s">
        <v>8</v>
      </c>
      <c r="Q73" s="55"/>
      <c r="R73" s="28" t="s">
        <v>289</v>
      </c>
      <c r="S73" s="18" t="e">
        <f ca="1">_xll.AblebitsUDF.AblebitsSpellNumber(L73,"None",1,1,FALSE)</f>
        <v>#NAME?</v>
      </c>
      <c r="T73" s="46"/>
      <c r="U73" s="47"/>
      <c r="V73" s="47"/>
      <c r="W73" s="47"/>
    </row>
    <row r="74" spans="1:23" ht="25.5" x14ac:dyDescent="0.25">
      <c r="A74" s="28" t="s">
        <v>290</v>
      </c>
      <c r="B74" s="48">
        <v>88</v>
      </c>
      <c r="C74" s="21" t="s">
        <v>284</v>
      </c>
      <c r="D74" s="21" t="s">
        <v>285</v>
      </c>
      <c r="E74" s="21" t="s">
        <v>286</v>
      </c>
      <c r="F74" s="21" t="s">
        <v>287</v>
      </c>
      <c r="G74" s="23">
        <v>45969</v>
      </c>
      <c r="H74" s="23">
        <v>45665</v>
      </c>
      <c r="I74" s="32">
        <v>100000</v>
      </c>
      <c r="J74" s="32">
        <v>807765</v>
      </c>
      <c r="K74" s="23">
        <v>45999</v>
      </c>
      <c r="L74" s="32">
        <v>3000</v>
      </c>
      <c r="M74" s="21" t="s">
        <v>79</v>
      </c>
      <c r="N74" s="45"/>
      <c r="O74" s="21" t="s">
        <v>291</v>
      </c>
      <c r="P74" s="28" t="s">
        <v>8</v>
      </c>
      <c r="Q74" s="28" t="s">
        <v>96</v>
      </c>
      <c r="R74" s="28" t="s">
        <v>292</v>
      </c>
      <c r="S74" s="18" t="e">
        <f ca="1">_xll.AblebitsUDF.AblebitsSpellNumber(L74,"None",1,1,FALSE)</f>
        <v>#NAME?</v>
      </c>
      <c r="T74" s="46"/>
      <c r="U74" s="47"/>
      <c r="V74" s="47"/>
      <c r="W74" s="47"/>
    </row>
    <row r="75" spans="1:23" ht="25.5" x14ac:dyDescent="0.25">
      <c r="A75" s="28" t="s">
        <v>293</v>
      </c>
      <c r="B75" s="48">
        <v>89</v>
      </c>
      <c r="C75" s="21" t="s">
        <v>284</v>
      </c>
      <c r="D75" s="21" t="s">
        <v>285</v>
      </c>
      <c r="E75" s="21" t="s">
        <v>286</v>
      </c>
      <c r="F75" s="21" t="s">
        <v>287</v>
      </c>
      <c r="G75" s="23">
        <v>45968</v>
      </c>
      <c r="H75" s="23">
        <v>45665</v>
      </c>
      <c r="I75" s="32">
        <v>100000</v>
      </c>
      <c r="J75" s="32">
        <v>867198</v>
      </c>
      <c r="K75" s="32" t="s">
        <v>163</v>
      </c>
      <c r="L75" s="32">
        <v>3000</v>
      </c>
      <c r="M75" s="21" t="s">
        <v>294</v>
      </c>
      <c r="N75" s="17"/>
      <c r="O75" s="21" t="s">
        <v>295</v>
      </c>
      <c r="P75" s="28" t="s">
        <v>8</v>
      </c>
      <c r="Q75" s="28" t="s">
        <v>158</v>
      </c>
      <c r="R75" s="28" t="s">
        <v>296</v>
      </c>
      <c r="S75" s="18" t="e">
        <f ca="1">_xll.AblebitsUDF.AblebitsSpellNumber(L75,"None",1,1,FALSE)</f>
        <v>#NAME?</v>
      </c>
      <c r="T75" s="46"/>
      <c r="U75" s="47"/>
      <c r="V75" s="47"/>
      <c r="W75" s="47"/>
    </row>
    <row r="76" spans="1:23" ht="38.25" x14ac:dyDescent="0.25">
      <c r="A76" s="28" t="s">
        <v>297</v>
      </c>
      <c r="B76" s="48">
        <v>90</v>
      </c>
      <c r="C76" s="21" t="s">
        <v>1</v>
      </c>
      <c r="D76" s="21" t="s">
        <v>2</v>
      </c>
      <c r="E76" s="21" t="s">
        <v>298</v>
      </c>
      <c r="F76" s="21" t="s">
        <v>11</v>
      </c>
      <c r="G76" s="23">
        <v>45937</v>
      </c>
      <c r="H76" s="23" t="s">
        <v>167</v>
      </c>
      <c r="I76" s="32">
        <v>60000</v>
      </c>
      <c r="J76" s="21">
        <v>1395</v>
      </c>
      <c r="K76" s="32" t="s">
        <v>107</v>
      </c>
      <c r="L76" s="32">
        <v>1800</v>
      </c>
      <c r="M76" s="21" t="s">
        <v>6</v>
      </c>
      <c r="N76" s="21"/>
      <c r="O76" s="21" t="s">
        <v>299</v>
      </c>
      <c r="P76" s="28" t="s">
        <v>8</v>
      </c>
      <c r="Q76" s="28" t="s">
        <v>75</v>
      </c>
      <c r="R76" s="55"/>
      <c r="S76" s="18" t="e">
        <f ca="1">_xll.AblebitsUDF.AblebitsSpellNumber(L76,"None",1,1,FALSE)</f>
        <v>#NAME?</v>
      </c>
      <c r="T76" s="21" t="s">
        <v>173</v>
      </c>
      <c r="U76" s="47"/>
      <c r="V76" s="47"/>
      <c r="W76" s="47"/>
    </row>
    <row r="77" spans="1:23" s="8" customFormat="1" ht="25.5" x14ac:dyDescent="0.25">
      <c r="A77" s="28" t="s">
        <v>129</v>
      </c>
      <c r="B77" s="16">
        <v>91</v>
      </c>
      <c r="C77" s="21" t="s">
        <v>130</v>
      </c>
      <c r="D77" s="21" t="s">
        <v>104</v>
      </c>
      <c r="E77" s="21" t="s">
        <v>131</v>
      </c>
      <c r="F77" s="21" t="s">
        <v>132</v>
      </c>
      <c r="G77" s="23">
        <v>45936</v>
      </c>
      <c r="H77" s="23" t="s">
        <v>107</v>
      </c>
      <c r="I77" s="32">
        <v>111000</v>
      </c>
      <c r="J77" s="32">
        <v>944941</v>
      </c>
      <c r="K77" s="32" t="s">
        <v>108</v>
      </c>
      <c r="L77" s="32">
        <v>3330</v>
      </c>
      <c r="M77" s="21" t="s">
        <v>109</v>
      </c>
      <c r="N77" s="45"/>
      <c r="O77" s="21" t="s">
        <v>110</v>
      </c>
      <c r="P77" s="28" t="s">
        <v>8</v>
      </c>
      <c r="Q77" s="28" t="s">
        <v>82</v>
      </c>
      <c r="R77" s="68"/>
      <c r="S77" s="18" t="e">
        <f ca="1">_xll.AblebitsUDF.AblebitsSpellNumber(L77,"None",1,1,FALSE)</f>
        <v>#NAME?</v>
      </c>
      <c r="T77" s="53" t="s">
        <v>310</v>
      </c>
    </row>
    <row r="78" spans="1:23" s="8" customFormat="1" ht="25.5" x14ac:dyDescent="0.25">
      <c r="A78" s="28" t="s">
        <v>133</v>
      </c>
      <c r="B78" s="16">
        <v>92</v>
      </c>
      <c r="C78" s="21" t="s">
        <v>130</v>
      </c>
      <c r="D78" s="21" t="s">
        <v>104</v>
      </c>
      <c r="E78" s="21" t="s">
        <v>131</v>
      </c>
      <c r="F78" s="21" t="s">
        <v>134</v>
      </c>
      <c r="G78" s="23">
        <v>45936</v>
      </c>
      <c r="H78" s="23" t="s">
        <v>107</v>
      </c>
      <c r="I78" s="32">
        <v>111000</v>
      </c>
      <c r="J78" s="32">
        <v>141307</v>
      </c>
      <c r="K78" s="32" t="s">
        <v>108</v>
      </c>
      <c r="L78" s="32">
        <v>3330</v>
      </c>
      <c r="M78" s="21" t="s">
        <v>79</v>
      </c>
      <c r="N78" s="45"/>
      <c r="O78" s="21" t="s">
        <v>135</v>
      </c>
      <c r="P78" s="28" t="s">
        <v>8</v>
      </c>
      <c r="Q78" s="28" t="s">
        <v>82</v>
      </c>
      <c r="R78" s="68"/>
      <c r="S78" s="18" t="e">
        <f ca="1">_xll.AblebitsUDF.AblebitsSpellNumber(L78,"None",1,1,FALSE)</f>
        <v>#NAME?</v>
      </c>
      <c r="T78" s="53" t="s">
        <v>310</v>
      </c>
    </row>
    <row r="79" spans="1:23" x14ac:dyDescent="0.25">
      <c r="A79" s="70">
        <v>45909.724537037036</v>
      </c>
      <c r="B79" s="48">
        <v>93</v>
      </c>
      <c r="C79" s="21" t="s">
        <v>1</v>
      </c>
      <c r="D79" s="21" t="s">
        <v>2</v>
      </c>
      <c r="E79" s="21" t="s">
        <v>211</v>
      </c>
      <c r="F79" s="21" t="s">
        <v>212</v>
      </c>
      <c r="G79" s="23">
        <v>45877</v>
      </c>
      <c r="H79" s="23" t="s">
        <v>213</v>
      </c>
      <c r="I79" s="32">
        <v>490000</v>
      </c>
      <c r="J79" s="32">
        <v>245137</v>
      </c>
      <c r="K79" s="32" t="s">
        <v>188</v>
      </c>
      <c r="L79" s="32">
        <v>14700</v>
      </c>
      <c r="M79" s="21" t="s">
        <v>214</v>
      </c>
      <c r="N79" s="17"/>
      <c r="O79" s="21" t="s">
        <v>215</v>
      </c>
      <c r="P79" s="28" t="s">
        <v>8</v>
      </c>
      <c r="Q79" s="28" t="s">
        <v>216</v>
      </c>
      <c r="R79" s="68"/>
      <c r="S79" s="18" t="e">
        <f ca="1">_xll.AblebitsUDF.AblebitsSpellNumber(L79,"None",1,1,FALSE)</f>
        <v>#NAME?</v>
      </c>
      <c r="T79" s="53" t="s">
        <v>311</v>
      </c>
    </row>
    <row r="80" spans="1:23" s="8" customFormat="1" x14ac:dyDescent="0.25">
      <c r="A80" s="70">
        <v>45909.726319444446</v>
      </c>
      <c r="B80" s="16">
        <v>94</v>
      </c>
      <c r="C80" s="21" t="s">
        <v>1</v>
      </c>
      <c r="D80" s="21" t="s">
        <v>2</v>
      </c>
      <c r="E80" s="21" t="s">
        <v>211</v>
      </c>
      <c r="F80" s="21" t="s">
        <v>212</v>
      </c>
      <c r="G80" s="23">
        <v>45877</v>
      </c>
      <c r="H80" s="23" t="s">
        <v>213</v>
      </c>
      <c r="I80" s="32">
        <v>490000</v>
      </c>
      <c r="J80" s="32">
        <v>592804</v>
      </c>
      <c r="K80" s="32" t="s">
        <v>126</v>
      </c>
      <c r="L80" s="32">
        <v>14700</v>
      </c>
      <c r="M80" s="21" t="s">
        <v>127</v>
      </c>
      <c r="N80" s="17"/>
      <c r="O80" s="21" t="s">
        <v>217</v>
      </c>
      <c r="P80" s="28" t="s">
        <v>8</v>
      </c>
      <c r="Q80" s="28" t="s">
        <v>120</v>
      </c>
      <c r="R80" s="68"/>
      <c r="S80" s="18" t="e">
        <f ca="1">_xll.AblebitsUDF.AblebitsSpellNumber(L80,"None",1,1,FALSE)</f>
        <v>#NAME?</v>
      </c>
      <c r="T80" s="53" t="s">
        <v>310</v>
      </c>
    </row>
    <row r="81" spans="1:23" s="8" customFormat="1" x14ac:dyDescent="0.25">
      <c r="A81" s="70">
        <v>45909.727731481478</v>
      </c>
      <c r="B81" s="16">
        <v>95</v>
      </c>
      <c r="C81" s="21" t="s">
        <v>1</v>
      </c>
      <c r="D81" s="21" t="s">
        <v>2</v>
      </c>
      <c r="E81" s="21" t="s">
        <v>211</v>
      </c>
      <c r="F81" s="21" t="s">
        <v>212</v>
      </c>
      <c r="G81" s="23">
        <v>45877</v>
      </c>
      <c r="H81" s="23" t="s">
        <v>213</v>
      </c>
      <c r="I81" s="32">
        <v>490000</v>
      </c>
      <c r="J81" s="21">
        <v>1426</v>
      </c>
      <c r="K81" s="32" t="s">
        <v>126</v>
      </c>
      <c r="L81" s="32">
        <v>14700</v>
      </c>
      <c r="M81" s="21" t="s">
        <v>6</v>
      </c>
      <c r="N81" s="17"/>
      <c r="O81" s="21" t="s">
        <v>218</v>
      </c>
      <c r="P81" s="28" t="s">
        <v>8</v>
      </c>
      <c r="Q81" s="28" t="s">
        <v>120</v>
      </c>
      <c r="R81" s="68"/>
      <c r="S81" s="18" t="e">
        <f ca="1">_xll.AblebitsUDF.AblebitsSpellNumber(L81,"None",1,1,FALSE)</f>
        <v>#NAME?</v>
      </c>
      <c r="T81" s="53" t="s">
        <v>310</v>
      </c>
    </row>
    <row r="82" spans="1:23" s="8" customFormat="1" ht="25.5" x14ac:dyDescent="0.25">
      <c r="A82" s="70">
        <v>45909.729618055557</v>
      </c>
      <c r="B82" s="16">
        <v>96</v>
      </c>
      <c r="C82" s="21" t="s">
        <v>1</v>
      </c>
      <c r="D82" s="21" t="s">
        <v>2</v>
      </c>
      <c r="E82" s="21" t="s">
        <v>219</v>
      </c>
      <c r="F82" s="21" t="s">
        <v>220</v>
      </c>
      <c r="G82" s="23">
        <v>45877</v>
      </c>
      <c r="H82" s="23" t="s">
        <v>213</v>
      </c>
      <c r="I82" s="32">
        <v>460000</v>
      </c>
      <c r="J82" s="32">
        <v>592803</v>
      </c>
      <c r="K82" s="32" t="s">
        <v>126</v>
      </c>
      <c r="L82" s="32">
        <v>13800</v>
      </c>
      <c r="M82" s="21" t="s">
        <v>127</v>
      </c>
      <c r="N82" s="17"/>
      <c r="O82" s="21" t="s">
        <v>221</v>
      </c>
      <c r="P82" s="28" t="s">
        <v>8</v>
      </c>
      <c r="Q82" s="28" t="s">
        <v>120</v>
      </c>
      <c r="R82" s="68"/>
      <c r="S82" s="18" t="e">
        <f ca="1">_xll.AblebitsUDF.AblebitsSpellNumber(L82,"None",1,1,FALSE)</f>
        <v>#NAME?</v>
      </c>
      <c r="T82" s="53" t="s">
        <v>310</v>
      </c>
    </row>
    <row r="83" spans="1:23" ht="25.5" x14ac:dyDescent="0.25">
      <c r="A83" s="70">
        <v>45909.731064814812</v>
      </c>
      <c r="B83" s="16">
        <v>97</v>
      </c>
      <c r="C83" s="21" t="s">
        <v>1</v>
      </c>
      <c r="D83" s="21" t="s">
        <v>2</v>
      </c>
      <c r="E83" s="21" t="s">
        <v>219</v>
      </c>
      <c r="F83" s="21" t="s">
        <v>220</v>
      </c>
      <c r="G83" s="23">
        <v>45877</v>
      </c>
      <c r="H83" s="23" t="s">
        <v>213</v>
      </c>
      <c r="I83" s="32">
        <v>460000</v>
      </c>
      <c r="J83" s="21">
        <v>1424</v>
      </c>
      <c r="K83" s="32" t="s">
        <v>126</v>
      </c>
      <c r="L83" s="32">
        <v>13800</v>
      </c>
      <c r="M83" s="21" t="s">
        <v>6</v>
      </c>
      <c r="N83" s="17"/>
      <c r="O83" s="21" t="s">
        <v>218</v>
      </c>
      <c r="P83" s="28" t="s">
        <v>8</v>
      </c>
      <c r="Q83" s="28" t="s">
        <v>120</v>
      </c>
      <c r="R83" s="68"/>
      <c r="S83" s="18" t="e">
        <f ca="1">_xll.AblebitsUDF.AblebitsSpellNumber(L83,"None",1,1,FALSE)</f>
        <v>#NAME?</v>
      </c>
      <c r="T83" s="53" t="s">
        <v>311</v>
      </c>
    </row>
    <row r="84" spans="1:23" s="8" customFormat="1" x14ac:dyDescent="0.25">
      <c r="A84" s="70">
        <v>45909.733854166669</v>
      </c>
      <c r="B84" s="16">
        <v>98</v>
      </c>
      <c r="C84" s="21" t="s">
        <v>1</v>
      </c>
      <c r="D84" s="21" t="s">
        <v>2</v>
      </c>
      <c r="E84" s="21" t="s">
        <v>222</v>
      </c>
      <c r="F84" s="21" t="s">
        <v>223</v>
      </c>
      <c r="G84" s="23">
        <v>45877</v>
      </c>
      <c r="H84" s="23" t="s">
        <v>213</v>
      </c>
      <c r="I84" s="32">
        <v>120000</v>
      </c>
      <c r="J84" s="32">
        <v>592804</v>
      </c>
      <c r="K84" s="32" t="s">
        <v>126</v>
      </c>
      <c r="L84" s="32">
        <v>3600</v>
      </c>
      <c r="M84" s="21" t="s">
        <v>224</v>
      </c>
      <c r="N84" s="17"/>
      <c r="O84" s="21" t="s">
        <v>225</v>
      </c>
      <c r="P84" s="28" t="s">
        <v>8</v>
      </c>
      <c r="Q84" s="28" t="s">
        <v>158</v>
      </c>
      <c r="R84" s="68"/>
      <c r="S84" s="18" t="e">
        <f ca="1">_xll.AblebitsUDF.AblebitsSpellNumber(L84,"None",1,1,FALSE)</f>
        <v>#NAME?</v>
      </c>
      <c r="T84" s="53" t="s">
        <v>310</v>
      </c>
    </row>
    <row r="85" spans="1:23" ht="25.5" x14ac:dyDescent="0.25">
      <c r="A85" s="28" t="s">
        <v>308</v>
      </c>
      <c r="B85" s="16">
        <v>99</v>
      </c>
      <c r="C85" s="21" t="s">
        <v>103</v>
      </c>
      <c r="D85" s="21" t="s">
        <v>104</v>
      </c>
      <c r="E85" s="21" t="s">
        <v>305</v>
      </c>
      <c r="F85" s="21" t="s">
        <v>300</v>
      </c>
      <c r="G85" s="23">
        <v>45817</v>
      </c>
      <c r="H85" s="23" t="s">
        <v>301</v>
      </c>
      <c r="I85" s="32">
        <v>200000</v>
      </c>
      <c r="J85" s="21">
        <v>98003</v>
      </c>
      <c r="K85" s="32" t="s">
        <v>260</v>
      </c>
      <c r="L85" s="32">
        <v>6000</v>
      </c>
      <c r="M85" s="21" t="s">
        <v>302</v>
      </c>
      <c r="N85" s="17"/>
      <c r="O85" s="21" t="s">
        <v>303</v>
      </c>
      <c r="P85" s="28" t="s">
        <v>8</v>
      </c>
      <c r="Q85" s="28" t="s">
        <v>304</v>
      </c>
      <c r="R85" s="68"/>
      <c r="S85" s="18" t="e">
        <f ca="1">_xll.AblebitsUDF.AblebitsSpellNumber(L85,"None",1,1,FALSE)</f>
        <v>#NAME?</v>
      </c>
      <c r="T85" s="53" t="s">
        <v>311</v>
      </c>
    </row>
    <row r="86" spans="1:23" s="8" customFormat="1" ht="25.5" x14ac:dyDescent="0.25">
      <c r="A86" s="28" t="s">
        <v>309</v>
      </c>
      <c r="B86" s="16">
        <v>100</v>
      </c>
      <c r="C86" s="21" t="s">
        <v>103</v>
      </c>
      <c r="D86" s="21" t="s">
        <v>104</v>
      </c>
      <c r="E86" s="21" t="s">
        <v>305</v>
      </c>
      <c r="F86" s="21" t="s">
        <v>300</v>
      </c>
      <c r="G86" s="23">
        <v>45817</v>
      </c>
      <c r="H86" s="23" t="s">
        <v>301</v>
      </c>
      <c r="I86" s="32">
        <v>200000</v>
      </c>
      <c r="J86" s="21">
        <v>98002</v>
      </c>
      <c r="K86" s="32" t="s">
        <v>260</v>
      </c>
      <c r="L86" s="32">
        <v>6000</v>
      </c>
      <c r="M86" s="21" t="s">
        <v>306</v>
      </c>
      <c r="N86" s="17"/>
      <c r="O86" s="21" t="s">
        <v>307</v>
      </c>
      <c r="P86" s="28" t="s">
        <v>8</v>
      </c>
      <c r="Q86" s="28" t="s">
        <v>301</v>
      </c>
      <c r="R86" s="68"/>
      <c r="S86" s="18" t="e">
        <f ca="1">_xll.AblebitsUDF.AblebitsSpellNumber(L86,"None",1,1,FALSE)</f>
        <v>#NAME?</v>
      </c>
      <c r="T86" s="53" t="s">
        <v>310</v>
      </c>
    </row>
    <row r="87" spans="1:23" ht="38.25" x14ac:dyDescent="0.25">
      <c r="A87" s="28" t="s">
        <v>313</v>
      </c>
      <c r="B87" s="28">
        <v>101</v>
      </c>
      <c r="C87" s="21" t="s">
        <v>314</v>
      </c>
      <c r="D87" s="21" t="s">
        <v>315</v>
      </c>
      <c r="E87" s="21" t="s">
        <v>316</v>
      </c>
      <c r="F87" s="21" t="s">
        <v>317</v>
      </c>
      <c r="G87" s="32" t="s">
        <v>91</v>
      </c>
      <c r="H87" s="23">
        <v>45756</v>
      </c>
      <c r="I87" s="32">
        <v>500000</v>
      </c>
      <c r="J87" s="21" t="s">
        <v>318</v>
      </c>
      <c r="K87" s="23">
        <v>45725</v>
      </c>
      <c r="L87" s="32">
        <v>15000</v>
      </c>
      <c r="M87" s="21" t="s">
        <v>242</v>
      </c>
      <c r="N87" s="45"/>
      <c r="O87" s="21" t="s">
        <v>319</v>
      </c>
      <c r="P87" s="28" t="s">
        <v>8</v>
      </c>
      <c r="Q87" s="29">
        <v>45878</v>
      </c>
      <c r="R87" s="55"/>
      <c r="S87" s="18" t="e">
        <f ca="1">_xll.AblebitsUDF.AblebitsSpellNumber(L87,"None",1,1,FALSE)</f>
        <v>#NAME?</v>
      </c>
      <c r="T87" s="46" t="s">
        <v>320</v>
      </c>
      <c r="U87" s="47"/>
      <c r="V87" s="47"/>
      <c r="W87" s="47"/>
    </row>
    <row r="88" spans="1:23" ht="25.5" x14ac:dyDescent="0.25">
      <c r="A88" s="28" t="s">
        <v>321</v>
      </c>
      <c r="B88" s="16">
        <v>102</v>
      </c>
      <c r="C88" s="21" t="s">
        <v>33</v>
      </c>
      <c r="D88" s="21" t="s">
        <v>34</v>
      </c>
      <c r="E88" s="21" t="s">
        <v>322</v>
      </c>
      <c r="F88" s="21" t="s">
        <v>323</v>
      </c>
      <c r="G88" s="32" t="s">
        <v>324</v>
      </c>
      <c r="H88" s="23">
        <v>45820</v>
      </c>
      <c r="I88" s="32">
        <v>225000</v>
      </c>
      <c r="J88" s="32">
        <v>227353</v>
      </c>
      <c r="K88" s="23">
        <v>45700</v>
      </c>
      <c r="L88" s="32">
        <v>75000</v>
      </c>
      <c r="M88" s="21" t="s">
        <v>325</v>
      </c>
      <c r="N88" s="21"/>
      <c r="O88" s="21" t="s">
        <v>326</v>
      </c>
      <c r="P88" s="28" t="s">
        <v>8</v>
      </c>
      <c r="Q88" s="29">
        <v>45820</v>
      </c>
      <c r="R88" s="55"/>
      <c r="S88" s="18" t="e">
        <f ca="1">_xll.AblebitsUDF.AblebitsSpellNumber(L88,"None",1,1,FALSE)</f>
        <v>#NAME?</v>
      </c>
      <c r="T88" s="46"/>
      <c r="U88" s="47"/>
      <c r="V88" s="47"/>
      <c r="W88" s="47"/>
    </row>
    <row r="89" spans="1:23" x14ac:dyDescent="0.25">
      <c r="A89" s="28" t="s">
        <v>327</v>
      </c>
      <c r="B89" s="16">
        <v>103</v>
      </c>
      <c r="C89" s="21" t="s">
        <v>33</v>
      </c>
      <c r="D89" s="21" t="s">
        <v>34</v>
      </c>
      <c r="E89" s="21" t="s">
        <v>328</v>
      </c>
      <c r="F89" s="21" t="s">
        <v>323</v>
      </c>
      <c r="G89" s="32" t="s">
        <v>324</v>
      </c>
      <c r="H89" s="23">
        <v>45820</v>
      </c>
      <c r="I89" s="32">
        <v>2500000</v>
      </c>
      <c r="J89" s="21">
        <v>29096</v>
      </c>
      <c r="K89" s="23">
        <v>45820</v>
      </c>
      <c r="L89" s="32">
        <v>75000</v>
      </c>
      <c r="M89" s="21" t="s">
        <v>329</v>
      </c>
      <c r="N89" s="21"/>
      <c r="O89" s="21" t="s">
        <v>330</v>
      </c>
      <c r="P89" s="28" t="s">
        <v>8</v>
      </c>
      <c r="Q89" s="28" t="s">
        <v>331</v>
      </c>
      <c r="R89" s="55"/>
      <c r="S89" s="18" t="e">
        <f ca="1">_xll.AblebitsUDF.AblebitsSpellNumber(L89,"None",1,1,FALSE)</f>
        <v>#NAME?</v>
      </c>
      <c r="T89" s="46"/>
      <c r="U89" s="47"/>
      <c r="V89" s="47"/>
      <c r="W89" s="47"/>
    </row>
    <row r="90" spans="1:23" ht="38.25" x14ac:dyDescent="0.25">
      <c r="A90" s="28" t="s">
        <v>332</v>
      </c>
      <c r="B90" s="16">
        <v>104</v>
      </c>
      <c r="C90" s="21" t="s">
        <v>33</v>
      </c>
      <c r="D90" s="21" t="s">
        <v>34</v>
      </c>
      <c r="E90" s="21" t="s">
        <v>328</v>
      </c>
      <c r="F90" s="21" t="s">
        <v>323</v>
      </c>
      <c r="G90" s="32" t="s">
        <v>324</v>
      </c>
      <c r="H90" s="23">
        <v>45820</v>
      </c>
      <c r="I90" s="32">
        <v>2500000</v>
      </c>
      <c r="J90" s="32">
        <v>655342</v>
      </c>
      <c r="K90" s="32" t="s">
        <v>333</v>
      </c>
      <c r="L90" s="32">
        <v>75000</v>
      </c>
      <c r="M90" s="21" t="s">
        <v>79</v>
      </c>
      <c r="N90" s="45"/>
      <c r="O90" s="21" t="s">
        <v>334</v>
      </c>
      <c r="P90" s="28" t="s">
        <v>8</v>
      </c>
      <c r="Q90" s="28" t="s">
        <v>331</v>
      </c>
      <c r="R90" s="55"/>
      <c r="S90" s="18" t="e">
        <f ca="1">_xll.AblebitsUDF.AblebitsSpellNumber(L90,"None",1,1,FALSE)</f>
        <v>#NAME?</v>
      </c>
      <c r="T90" s="46"/>
      <c r="U90" s="47"/>
      <c r="V90" s="47"/>
      <c r="W90" s="47"/>
    </row>
    <row r="91" spans="1:23" ht="38.25" x14ac:dyDescent="0.25">
      <c r="A91" s="28" t="s">
        <v>335</v>
      </c>
      <c r="B91" s="16">
        <v>105</v>
      </c>
      <c r="C91" s="21" t="s">
        <v>33</v>
      </c>
      <c r="D91" s="21" t="s">
        <v>34</v>
      </c>
      <c r="E91" s="21" t="s">
        <v>336</v>
      </c>
      <c r="F91" s="21" t="s">
        <v>337</v>
      </c>
      <c r="G91" s="23">
        <v>45668</v>
      </c>
      <c r="H91" s="23" t="s">
        <v>338</v>
      </c>
      <c r="I91" s="32">
        <v>108000</v>
      </c>
      <c r="J91" s="21" t="s">
        <v>337</v>
      </c>
      <c r="K91" s="32" t="s">
        <v>339</v>
      </c>
      <c r="L91" s="32">
        <v>3240</v>
      </c>
      <c r="M91" s="21" t="s">
        <v>340</v>
      </c>
      <c r="N91" s="45"/>
      <c r="O91" s="21" t="s">
        <v>341</v>
      </c>
      <c r="P91" s="28" t="s">
        <v>8</v>
      </c>
      <c r="Q91" s="28" t="s">
        <v>342</v>
      </c>
      <c r="R91" s="55"/>
      <c r="S91" s="18" t="e">
        <f ca="1">_xll.AblebitsUDF.AblebitsSpellNumber(L91,"None",1,1,FALSE)</f>
        <v>#NAME?</v>
      </c>
      <c r="T91" s="46"/>
      <c r="U91" s="47"/>
      <c r="V91" s="47"/>
      <c r="W91" s="47"/>
    </row>
    <row r="92" spans="1:23" ht="51" x14ac:dyDescent="0.25">
      <c r="A92" s="28" t="s">
        <v>343</v>
      </c>
      <c r="B92" s="16">
        <v>106</v>
      </c>
      <c r="C92" s="21" t="s">
        <v>33</v>
      </c>
      <c r="D92" s="21" t="s">
        <v>34</v>
      </c>
      <c r="E92" s="21" t="s">
        <v>336</v>
      </c>
      <c r="F92" s="21" t="s">
        <v>337</v>
      </c>
      <c r="G92" s="23">
        <v>45668</v>
      </c>
      <c r="H92" s="23" t="s">
        <v>338</v>
      </c>
      <c r="I92" s="32">
        <v>108000</v>
      </c>
      <c r="J92" s="32">
        <v>786334</v>
      </c>
      <c r="K92" s="32" t="s">
        <v>344</v>
      </c>
      <c r="L92" s="32">
        <v>3240</v>
      </c>
      <c r="M92" s="21" t="s">
        <v>345</v>
      </c>
      <c r="N92" s="21"/>
      <c r="O92" s="21" t="s">
        <v>346</v>
      </c>
      <c r="P92" s="28" t="s">
        <v>8</v>
      </c>
      <c r="Q92" s="28" t="s">
        <v>342</v>
      </c>
      <c r="R92" s="55"/>
      <c r="S92" s="18" t="e">
        <f ca="1">_xll.AblebitsUDF.AblebitsSpellNumber(L92,"None",1,1,FALSE)</f>
        <v>#NAME?</v>
      </c>
      <c r="T92" s="46"/>
      <c r="U92" s="47"/>
      <c r="V92" s="47"/>
      <c r="W92" s="47"/>
    </row>
    <row r="93" spans="1:23" ht="38.25" x14ac:dyDescent="0.25">
      <c r="A93" s="28" t="s">
        <v>347</v>
      </c>
      <c r="B93" s="16">
        <v>107</v>
      </c>
      <c r="C93" s="21" t="s">
        <v>33</v>
      </c>
      <c r="D93" s="21" t="s">
        <v>34</v>
      </c>
      <c r="E93" s="21" t="s">
        <v>336</v>
      </c>
      <c r="F93" s="21" t="s">
        <v>337</v>
      </c>
      <c r="G93" s="23">
        <v>45668</v>
      </c>
      <c r="H93" s="23" t="s">
        <v>338</v>
      </c>
      <c r="I93" s="32">
        <v>108000</v>
      </c>
      <c r="J93" s="32">
        <v>500078</v>
      </c>
      <c r="K93" s="32" t="s">
        <v>339</v>
      </c>
      <c r="L93" s="32">
        <v>3240</v>
      </c>
      <c r="M93" s="21" t="s">
        <v>161</v>
      </c>
      <c r="N93" s="21"/>
      <c r="O93" s="21" t="s">
        <v>348</v>
      </c>
      <c r="P93" s="28" t="s">
        <v>8</v>
      </c>
      <c r="Q93" s="28" t="s">
        <v>342</v>
      </c>
      <c r="R93" s="55"/>
      <c r="S93" s="18" t="e">
        <f ca="1">_xll.AblebitsUDF.AblebitsSpellNumber(L93,"None",1,1,FALSE)</f>
        <v>#NAME?</v>
      </c>
      <c r="T93" s="46"/>
      <c r="U93" s="47"/>
      <c r="V93" s="47"/>
      <c r="W93" s="47"/>
    </row>
    <row r="94" spans="1:23" ht="30.75" customHeight="1" x14ac:dyDescent="0.25">
      <c r="A94" s="28" t="s">
        <v>313</v>
      </c>
      <c r="B94" s="16">
        <v>108</v>
      </c>
      <c r="C94" s="21" t="s">
        <v>314</v>
      </c>
      <c r="D94" s="21" t="s">
        <v>315</v>
      </c>
      <c r="E94" s="21" t="s">
        <v>316</v>
      </c>
      <c r="F94" s="21" t="s">
        <v>317</v>
      </c>
      <c r="G94" s="32" t="s">
        <v>91</v>
      </c>
      <c r="H94" s="23">
        <v>45756</v>
      </c>
      <c r="I94" s="32">
        <v>500000</v>
      </c>
      <c r="J94" s="21" t="s">
        <v>318</v>
      </c>
      <c r="K94" s="23">
        <v>45725</v>
      </c>
      <c r="L94" s="32">
        <v>15000</v>
      </c>
      <c r="M94" s="21" t="s">
        <v>242</v>
      </c>
      <c r="N94" s="45"/>
      <c r="O94" s="21" t="s">
        <v>319</v>
      </c>
      <c r="P94" s="28" t="s">
        <v>8</v>
      </c>
      <c r="Q94" s="29">
        <v>45878</v>
      </c>
      <c r="R94" s="55"/>
      <c r="S94" s="18" t="e">
        <f ca="1">_xll.AblebitsUDF.AblebitsSpellNumber(L94,"None",1,1,FALSE)</f>
        <v>#NAME?</v>
      </c>
      <c r="T94" s="46"/>
      <c r="U94" s="47"/>
      <c r="V94" s="47"/>
      <c r="W94" s="47"/>
    </row>
    <row r="95" spans="1:23" ht="51" x14ac:dyDescent="0.25">
      <c r="A95" s="28" t="s">
        <v>349</v>
      </c>
      <c r="B95" s="16">
        <v>109</v>
      </c>
      <c r="C95" s="21" t="s">
        <v>284</v>
      </c>
      <c r="D95" s="21" t="s">
        <v>285</v>
      </c>
      <c r="E95" s="21" t="s">
        <v>350</v>
      </c>
      <c r="F95" s="21" t="s">
        <v>351</v>
      </c>
      <c r="G95" s="32" t="s">
        <v>352</v>
      </c>
      <c r="H95" s="23" t="s">
        <v>353</v>
      </c>
      <c r="I95" s="32">
        <v>480000</v>
      </c>
      <c r="J95" s="32">
        <v>709281</v>
      </c>
      <c r="K95" s="32" t="s">
        <v>354</v>
      </c>
      <c r="L95" s="32">
        <v>14400</v>
      </c>
      <c r="M95" s="21" t="s">
        <v>242</v>
      </c>
      <c r="N95" s="45"/>
      <c r="O95" s="21" t="s">
        <v>355</v>
      </c>
      <c r="P95" s="28" t="s">
        <v>8</v>
      </c>
      <c r="Q95" s="28" t="s">
        <v>356</v>
      </c>
      <c r="R95" s="55"/>
      <c r="S95" s="18" t="e">
        <f ca="1">_xll.AblebitsUDF.AblebitsSpellNumber(L95,"None",1,1,FALSE)</f>
        <v>#NAME?</v>
      </c>
      <c r="T95" s="46"/>
      <c r="U95" s="47"/>
      <c r="V95" s="47"/>
      <c r="W95" s="47"/>
    </row>
    <row r="96" spans="1:23" ht="38.25" x14ac:dyDescent="0.25">
      <c r="A96" s="28" t="s">
        <v>357</v>
      </c>
      <c r="B96" s="16">
        <v>110</v>
      </c>
      <c r="C96" s="21" t="s">
        <v>284</v>
      </c>
      <c r="D96" s="21" t="s">
        <v>285</v>
      </c>
      <c r="E96" s="21" t="s">
        <v>350</v>
      </c>
      <c r="F96" s="21" t="s">
        <v>351</v>
      </c>
      <c r="G96" s="32" t="s">
        <v>352</v>
      </c>
      <c r="H96" s="23" t="s">
        <v>353</v>
      </c>
      <c r="I96" s="32">
        <v>480000</v>
      </c>
      <c r="J96" s="21">
        <v>21319</v>
      </c>
      <c r="K96" s="23">
        <v>46002</v>
      </c>
      <c r="L96" s="32">
        <v>14400</v>
      </c>
      <c r="M96" s="21" t="s">
        <v>42</v>
      </c>
      <c r="N96" s="45"/>
      <c r="O96" s="21" t="s">
        <v>358</v>
      </c>
      <c r="P96" s="28" t="s">
        <v>8</v>
      </c>
      <c r="Q96" s="55"/>
      <c r="R96" s="55"/>
      <c r="S96" s="18" t="e">
        <f ca="1">_xll.AblebitsUDF.AblebitsSpellNumber(L96,"None",1,1,FALSE)</f>
        <v>#NAME?</v>
      </c>
      <c r="T96" s="46"/>
      <c r="U96" s="47"/>
      <c r="V96" s="47"/>
      <c r="W96" s="47"/>
    </row>
    <row r="97" spans="1:23" ht="38.25" x14ac:dyDescent="0.25">
      <c r="A97" s="70">
        <v>45846.719363425924</v>
      </c>
      <c r="B97" s="16">
        <v>111</v>
      </c>
      <c r="C97" s="21" t="s">
        <v>71</v>
      </c>
      <c r="D97" s="21" t="s">
        <v>72</v>
      </c>
      <c r="E97" s="21" t="s">
        <v>73</v>
      </c>
      <c r="F97" s="21" t="s">
        <v>74</v>
      </c>
      <c r="G97" s="23">
        <v>45968</v>
      </c>
      <c r="H97" s="23">
        <v>45665</v>
      </c>
      <c r="I97" s="32">
        <v>490000</v>
      </c>
      <c r="J97" s="21">
        <v>1403</v>
      </c>
      <c r="K97" s="32" t="s">
        <v>75</v>
      </c>
      <c r="L97" s="32">
        <v>14700</v>
      </c>
      <c r="M97" s="21" t="s">
        <v>359</v>
      </c>
      <c r="N97" s="21" t="s">
        <v>76</v>
      </c>
      <c r="O97" s="21" t="s">
        <v>77</v>
      </c>
      <c r="P97" s="28" t="s">
        <v>8</v>
      </c>
      <c r="Q97" s="29">
        <v>45665</v>
      </c>
      <c r="R97" s="55"/>
      <c r="S97" s="18" t="e">
        <f ca="1">_xll.AblebitsUDF.AblebitsSpellNumber(L97,"None",1,1,FALSE)</f>
        <v>#NAME?</v>
      </c>
      <c r="T97" s="46"/>
      <c r="U97" s="47"/>
      <c r="V97" s="47"/>
      <c r="W97" s="47"/>
    </row>
    <row r="98" spans="1:23" ht="34.5" customHeight="1" x14ac:dyDescent="0.25">
      <c r="A98" s="28" t="s">
        <v>360</v>
      </c>
      <c r="B98" s="16">
        <v>112</v>
      </c>
      <c r="C98" s="21" t="s">
        <v>200</v>
      </c>
      <c r="D98" s="21" t="s">
        <v>153</v>
      </c>
      <c r="E98" s="21" t="s">
        <v>361</v>
      </c>
      <c r="F98" s="21" t="s">
        <v>362</v>
      </c>
      <c r="G98" s="23">
        <v>45880</v>
      </c>
      <c r="H98" s="23">
        <v>45880</v>
      </c>
      <c r="I98" s="32">
        <v>800000</v>
      </c>
      <c r="J98" s="32">
        <v>911967</v>
      </c>
      <c r="K98" s="23">
        <v>45668</v>
      </c>
      <c r="L98" s="32">
        <v>24000</v>
      </c>
      <c r="M98" s="21" t="s">
        <v>359</v>
      </c>
      <c r="N98" s="21" t="s">
        <v>363</v>
      </c>
      <c r="O98" s="21" t="s">
        <v>364</v>
      </c>
      <c r="P98" s="28" t="s">
        <v>8</v>
      </c>
      <c r="Q98" s="29">
        <v>45668</v>
      </c>
      <c r="R98" s="55"/>
      <c r="S98" s="18" t="e">
        <f ca="1">_xll.AblebitsUDF.AblebitsSpellNumber(L98,"None",1,1,FALSE)</f>
        <v>#NAME?</v>
      </c>
      <c r="T98" s="46"/>
      <c r="U98" s="47"/>
      <c r="V98" s="47"/>
      <c r="W98" s="47"/>
    </row>
    <row r="99" spans="1:23" ht="30" customHeight="1" x14ac:dyDescent="0.25">
      <c r="A99" s="28" t="s">
        <v>365</v>
      </c>
      <c r="B99" s="16">
        <v>113</v>
      </c>
      <c r="C99" s="21" t="s">
        <v>200</v>
      </c>
      <c r="D99" s="21" t="s">
        <v>153</v>
      </c>
      <c r="E99" s="21" t="s">
        <v>361</v>
      </c>
      <c r="F99" s="21" t="s">
        <v>362</v>
      </c>
      <c r="G99" s="32" t="s">
        <v>366</v>
      </c>
      <c r="H99" s="23">
        <v>45880</v>
      </c>
      <c r="I99" s="32">
        <v>800000</v>
      </c>
      <c r="J99" s="21">
        <v>4493</v>
      </c>
      <c r="K99" s="23">
        <v>45849</v>
      </c>
      <c r="L99" s="32">
        <v>24000</v>
      </c>
      <c r="M99" s="21" t="s">
        <v>359</v>
      </c>
      <c r="N99" s="21" t="s">
        <v>6</v>
      </c>
      <c r="O99" s="21" t="s">
        <v>367</v>
      </c>
      <c r="P99" s="28" t="s">
        <v>8</v>
      </c>
      <c r="Q99" s="29">
        <v>45849</v>
      </c>
      <c r="R99" s="55"/>
      <c r="S99" s="18" t="e">
        <f ca="1">_xll.AblebitsUDF.AblebitsSpellNumber(L99,"None",1,1,FALSE)</f>
        <v>#NAME?</v>
      </c>
      <c r="T99" s="46"/>
      <c r="U99" s="47"/>
      <c r="V99" s="47"/>
      <c r="W99" s="47"/>
    </row>
    <row r="100" spans="1:23" ht="51" x14ac:dyDescent="0.25">
      <c r="A100" s="28" t="s">
        <v>368</v>
      </c>
      <c r="B100" s="16">
        <v>114</v>
      </c>
      <c r="C100" s="21" t="s">
        <v>33</v>
      </c>
      <c r="D100" s="21" t="s">
        <v>369</v>
      </c>
      <c r="E100" s="21" t="s">
        <v>370</v>
      </c>
      <c r="F100" s="21" t="s">
        <v>371</v>
      </c>
      <c r="G100" s="32" t="s">
        <v>372</v>
      </c>
      <c r="H100" s="23" t="s">
        <v>373</v>
      </c>
      <c r="I100" s="32">
        <v>500000</v>
      </c>
      <c r="J100" s="32">
        <v>352851</v>
      </c>
      <c r="K100" s="23">
        <v>46054</v>
      </c>
      <c r="L100" s="32">
        <v>1500</v>
      </c>
      <c r="M100" s="21" t="s">
        <v>242</v>
      </c>
      <c r="N100" s="45"/>
      <c r="O100" s="21" t="s">
        <v>374</v>
      </c>
      <c r="P100" s="28" t="s">
        <v>8</v>
      </c>
      <c r="Q100" s="29">
        <v>46082</v>
      </c>
      <c r="R100" s="55"/>
      <c r="S100" s="18" t="e">
        <f ca="1">_xll.AblebitsUDF.AblebitsSpellNumber(L100,"None",1,1,FALSE)</f>
        <v>#NAME?</v>
      </c>
      <c r="T100" s="46"/>
      <c r="U100" s="47"/>
      <c r="V100" s="47"/>
      <c r="W100" s="47"/>
    </row>
    <row r="101" spans="1:23" ht="51" x14ac:dyDescent="0.25">
      <c r="A101" s="70">
        <v>46175.556712962964</v>
      </c>
      <c r="B101" s="16">
        <v>115</v>
      </c>
      <c r="C101" s="21" t="s">
        <v>375</v>
      </c>
      <c r="D101" s="21" t="s">
        <v>376</v>
      </c>
      <c r="E101" s="21" t="s">
        <v>377</v>
      </c>
      <c r="F101" s="21" t="s">
        <v>378</v>
      </c>
      <c r="G101" s="23">
        <v>45725</v>
      </c>
      <c r="H101" s="23" t="s">
        <v>379</v>
      </c>
      <c r="I101" s="32">
        <v>130000</v>
      </c>
      <c r="J101" s="21">
        <v>4430</v>
      </c>
      <c r="K101" s="32" t="s">
        <v>263</v>
      </c>
      <c r="L101" s="32">
        <v>7800</v>
      </c>
      <c r="M101" s="21" t="s">
        <v>6</v>
      </c>
      <c r="N101" s="17"/>
      <c r="O101" s="21" t="s">
        <v>380</v>
      </c>
      <c r="P101" s="28" t="s">
        <v>8</v>
      </c>
      <c r="Q101" s="29">
        <v>45818</v>
      </c>
      <c r="R101" s="55"/>
      <c r="S101" s="18" t="e">
        <f ca="1">_xll.AblebitsUDF.AblebitsSpellNumber(L101,"None",1,1,FALSE)</f>
        <v>#NAME?</v>
      </c>
      <c r="T101" s="46"/>
      <c r="U101" s="47"/>
      <c r="V101" s="47"/>
      <c r="W101" s="47"/>
    </row>
    <row r="102" spans="1:23" ht="51" x14ac:dyDescent="0.25">
      <c r="A102" s="70">
        <v>46175.559918981482</v>
      </c>
      <c r="B102" s="16">
        <f>B101+1</f>
        <v>116</v>
      </c>
      <c r="C102" s="21" t="s">
        <v>375</v>
      </c>
      <c r="D102" s="21" t="s">
        <v>376</v>
      </c>
      <c r="E102" s="21" t="s">
        <v>381</v>
      </c>
      <c r="F102" s="21" t="s">
        <v>378</v>
      </c>
      <c r="G102" s="23">
        <v>45725</v>
      </c>
      <c r="H102" s="23" t="s">
        <v>379</v>
      </c>
      <c r="I102" s="32">
        <v>196500</v>
      </c>
      <c r="J102" s="21">
        <v>4431</v>
      </c>
      <c r="K102" s="32" t="s">
        <v>263</v>
      </c>
      <c r="L102" s="32">
        <v>17685</v>
      </c>
      <c r="M102" s="21" t="s">
        <v>6</v>
      </c>
      <c r="N102" s="21" t="s">
        <v>6</v>
      </c>
      <c r="O102" s="21" t="s">
        <v>380</v>
      </c>
      <c r="P102" s="28" t="s">
        <v>8</v>
      </c>
      <c r="Q102" s="29">
        <v>45818</v>
      </c>
      <c r="R102" s="55"/>
      <c r="S102" s="18" t="e">
        <f ca="1">_xll.AblebitsUDF.AblebitsSpellNumber(L102,"None",1,1,FALSE)</f>
        <v>#NAME?</v>
      </c>
      <c r="T102" s="46"/>
      <c r="U102" s="47"/>
      <c r="V102" s="47"/>
      <c r="W102" s="47"/>
    </row>
    <row r="103" spans="1:23" ht="38.25" x14ac:dyDescent="0.25">
      <c r="A103" s="70">
        <v>46175.571481481478</v>
      </c>
      <c r="B103" s="16">
        <f t="shared" ref="B103:B137" si="0">B102+1</f>
        <v>117</v>
      </c>
      <c r="C103" s="21" t="s">
        <v>382</v>
      </c>
      <c r="D103" s="21" t="s">
        <v>383</v>
      </c>
      <c r="E103" s="21" t="s">
        <v>384</v>
      </c>
      <c r="F103" s="21" t="s">
        <v>385</v>
      </c>
      <c r="G103" s="32" t="s">
        <v>386</v>
      </c>
      <c r="H103" s="23" t="s">
        <v>387</v>
      </c>
      <c r="I103" s="32">
        <v>360000</v>
      </c>
      <c r="J103" s="21">
        <v>712</v>
      </c>
      <c r="K103" s="32" t="s">
        <v>388</v>
      </c>
      <c r="L103" s="32">
        <v>10800</v>
      </c>
      <c r="M103" s="21" t="s">
        <v>6</v>
      </c>
      <c r="N103" s="21" t="s">
        <v>6</v>
      </c>
      <c r="O103" s="21" t="s">
        <v>389</v>
      </c>
      <c r="P103" s="28" t="s">
        <v>8</v>
      </c>
      <c r="Q103" s="28" t="s">
        <v>390</v>
      </c>
      <c r="R103" s="55"/>
      <c r="S103" s="18" t="e">
        <f ca="1">_xll.AblebitsUDF.AblebitsSpellNumber(L103,"None",1,1,FALSE)</f>
        <v>#NAME?</v>
      </c>
      <c r="T103" s="46"/>
      <c r="U103" s="47"/>
      <c r="V103" s="47"/>
      <c r="W103" s="47"/>
    </row>
    <row r="104" spans="1:23" ht="51" x14ac:dyDescent="0.25">
      <c r="A104" s="70">
        <v>46175.574930555558</v>
      </c>
      <c r="B104" s="16">
        <f t="shared" si="0"/>
        <v>118</v>
      </c>
      <c r="C104" s="21" t="s">
        <v>375</v>
      </c>
      <c r="D104" s="21" t="s">
        <v>376</v>
      </c>
      <c r="E104" s="21" t="s">
        <v>391</v>
      </c>
      <c r="F104" s="21" t="s">
        <v>378</v>
      </c>
      <c r="G104" s="23">
        <v>45725</v>
      </c>
      <c r="H104" s="23" t="s">
        <v>379</v>
      </c>
      <c r="I104" s="32">
        <v>100000</v>
      </c>
      <c r="J104" s="21">
        <v>4432</v>
      </c>
      <c r="K104" s="32" t="s">
        <v>263</v>
      </c>
      <c r="L104" s="32">
        <v>9000</v>
      </c>
      <c r="M104" s="21" t="s">
        <v>6</v>
      </c>
      <c r="N104" s="21" t="s">
        <v>6</v>
      </c>
      <c r="O104" s="21" t="s">
        <v>380</v>
      </c>
      <c r="P104" s="28" t="s">
        <v>8</v>
      </c>
      <c r="Q104" s="29">
        <v>45818</v>
      </c>
      <c r="R104" s="55"/>
      <c r="S104" s="18" t="e">
        <f ca="1">_xll.AblebitsUDF.AblebitsSpellNumber(L104,"None",1,1,FALSE)</f>
        <v>#NAME?</v>
      </c>
      <c r="T104" s="46"/>
      <c r="U104" s="47"/>
      <c r="V104" s="47"/>
      <c r="W104" s="47"/>
    </row>
    <row r="105" spans="1:23" ht="51" x14ac:dyDescent="0.25">
      <c r="A105" s="70">
        <v>46175.586851851855</v>
      </c>
      <c r="B105" s="16">
        <f t="shared" si="0"/>
        <v>119</v>
      </c>
      <c r="C105" s="21" t="s">
        <v>375</v>
      </c>
      <c r="D105" s="21" t="s">
        <v>376</v>
      </c>
      <c r="E105" s="21" t="s">
        <v>392</v>
      </c>
      <c r="F105" s="21" t="s">
        <v>378</v>
      </c>
      <c r="G105" s="23">
        <v>45725</v>
      </c>
      <c r="H105" s="23">
        <v>45818</v>
      </c>
      <c r="I105" s="32">
        <v>9000</v>
      </c>
      <c r="J105" s="21">
        <v>4444</v>
      </c>
      <c r="K105" s="23">
        <v>45667</v>
      </c>
      <c r="L105" s="32">
        <v>810</v>
      </c>
      <c r="M105" s="21" t="s">
        <v>6</v>
      </c>
      <c r="N105" s="21" t="s">
        <v>6</v>
      </c>
      <c r="O105" s="21" t="s">
        <v>393</v>
      </c>
      <c r="P105" s="28" t="s">
        <v>8</v>
      </c>
      <c r="Q105" s="29">
        <v>45818</v>
      </c>
      <c r="R105" s="55"/>
      <c r="S105" s="18" t="e">
        <f ca="1">_xll.AblebitsUDF.AblebitsSpellNumber(L105,"None",1,1,FALSE)</f>
        <v>#NAME?</v>
      </c>
      <c r="T105" s="46"/>
      <c r="U105" s="47"/>
      <c r="V105" s="47"/>
      <c r="W105" s="47"/>
    </row>
    <row r="106" spans="1:23" ht="51" x14ac:dyDescent="0.25">
      <c r="A106" s="70">
        <v>46175.591550925928</v>
      </c>
      <c r="B106" s="16">
        <f t="shared" si="0"/>
        <v>120</v>
      </c>
      <c r="C106" s="21" t="s">
        <v>375</v>
      </c>
      <c r="D106" s="21" t="s">
        <v>376</v>
      </c>
      <c r="E106" s="21" t="s">
        <v>394</v>
      </c>
      <c r="F106" s="21" t="s">
        <v>378</v>
      </c>
      <c r="G106" s="23">
        <v>45725</v>
      </c>
      <c r="H106" s="23" t="s">
        <v>379</v>
      </c>
      <c r="I106" s="32">
        <v>175000</v>
      </c>
      <c r="J106" s="21">
        <v>4439</v>
      </c>
      <c r="K106" s="32" t="s">
        <v>263</v>
      </c>
      <c r="L106" s="32">
        <v>10500</v>
      </c>
      <c r="M106" s="21" t="s">
        <v>6</v>
      </c>
      <c r="N106" s="21" t="s">
        <v>6</v>
      </c>
      <c r="O106" s="21" t="s">
        <v>380</v>
      </c>
      <c r="P106" s="28" t="s">
        <v>8</v>
      </c>
      <c r="Q106" s="29">
        <v>45818</v>
      </c>
      <c r="R106" s="55"/>
      <c r="S106" s="18" t="e">
        <f ca="1">_xll.AblebitsUDF.AblebitsSpellNumber(L106,"None",1,1,FALSE)</f>
        <v>#NAME?</v>
      </c>
      <c r="T106" s="46"/>
      <c r="U106" s="47"/>
      <c r="V106" s="47"/>
      <c r="W106" s="47"/>
    </row>
    <row r="107" spans="1:23" ht="51" x14ac:dyDescent="0.25">
      <c r="A107" s="70">
        <v>46175.595451388886</v>
      </c>
      <c r="B107" s="16">
        <f t="shared" si="0"/>
        <v>121</v>
      </c>
      <c r="C107" s="21" t="s">
        <v>375</v>
      </c>
      <c r="D107" s="21" t="s">
        <v>376</v>
      </c>
      <c r="E107" s="21" t="s">
        <v>395</v>
      </c>
      <c r="F107" s="21" t="s">
        <v>378</v>
      </c>
      <c r="G107" s="23">
        <v>45725</v>
      </c>
      <c r="H107" s="23" t="s">
        <v>379</v>
      </c>
      <c r="I107" s="32">
        <v>17500</v>
      </c>
      <c r="J107" s="21">
        <v>4443</v>
      </c>
      <c r="K107" s="23">
        <v>45667</v>
      </c>
      <c r="L107" s="32">
        <v>2625</v>
      </c>
      <c r="M107" s="21" t="s">
        <v>6</v>
      </c>
      <c r="N107" s="21" t="s">
        <v>6</v>
      </c>
      <c r="O107" s="21" t="s">
        <v>393</v>
      </c>
      <c r="P107" s="28" t="s">
        <v>8</v>
      </c>
      <c r="Q107" s="29">
        <v>45818</v>
      </c>
      <c r="R107" s="55"/>
      <c r="S107" s="18" t="e">
        <f ca="1">_xll.AblebitsUDF.AblebitsSpellNumber(L107,"None",1,1,FALSE)</f>
        <v>#NAME?</v>
      </c>
      <c r="T107" s="46"/>
      <c r="U107" s="47"/>
      <c r="V107" s="47"/>
      <c r="W107" s="47"/>
    </row>
    <row r="108" spans="1:23" ht="51" x14ac:dyDescent="0.25">
      <c r="A108" s="70">
        <v>46175.607083333336</v>
      </c>
      <c r="B108" s="16">
        <f t="shared" si="0"/>
        <v>122</v>
      </c>
      <c r="C108" s="21" t="s">
        <v>375</v>
      </c>
      <c r="D108" s="21" t="s">
        <v>376</v>
      </c>
      <c r="E108" s="21" t="s">
        <v>396</v>
      </c>
      <c r="F108" s="21" t="s">
        <v>378</v>
      </c>
      <c r="G108" s="23">
        <v>45725</v>
      </c>
      <c r="H108" s="23" t="s">
        <v>379</v>
      </c>
      <c r="I108" s="32">
        <v>10000</v>
      </c>
      <c r="J108" s="21">
        <v>4445</v>
      </c>
      <c r="K108" s="23">
        <v>45667</v>
      </c>
      <c r="L108" s="32">
        <v>1200</v>
      </c>
      <c r="M108" s="21" t="s">
        <v>6</v>
      </c>
      <c r="N108" s="21" t="s">
        <v>6</v>
      </c>
      <c r="O108" s="21" t="s">
        <v>393</v>
      </c>
      <c r="P108" s="28" t="s">
        <v>8</v>
      </c>
      <c r="Q108" s="29">
        <v>45818</v>
      </c>
      <c r="R108" s="55"/>
      <c r="S108" s="18" t="e">
        <f ca="1">_xll.AblebitsUDF.AblebitsSpellNumber(L108,"None",1,1,FALSE)</f>
        <v>#NAME?</v>
      </c>
      <c r="T108" s="46"/>
      <c r="U108" s="47"/>
      <c r="V108" s="47"/>
      <c r="W108" s="47"/>
    </row>
    <row r="109" spans="1:23" ht="51" x14ac:dyDescent="0.25">
      <c r="A109" s="70">
        <v>46175.608518518522</v>
      </c>
      <c r="B109" s="16">
        <f t="shared" si="0"/>
        <v>123</v>
      </c>
      <c r="C109" s="21" t="s">
        <v>375</v>
      </c>
      <c r="D109" s="21" t="s">
        <v>376</v>
      </c>
      <c r="E109" s="21" t="s">
        <v>397</v>
      </c>
      <c r="F109" s="21" t="s">
        <v>378</v>
      </c>
      <c r="G109" s="23">
        <v>45725</v>
      </c>
      <c r="H109" s="23" t="s">
        <v>379</v>
      </c>
      <c r="I109" s="32">
        <v>350000</v>
      </c>
      <c r="J109" s="21">
        <v>4427</v>
      </c>
      <c r="K109" s="32" t="s">
        <v>398</v>
      </c>
      <c r="L109" s="32">
        <v>10500</v>
      </c>
      <c r="M109" s="21" t="s">
        <v>6</v>
      </c>
      <c r="N109" s="21" t="s">
        <v>6</v>
      </c>
      <c r="O109" s="21" t="s">
        <v>393</v>
      </c>
      <c r="P109" s="28" t="s">
        <v>8</v>
      </c>
      <c r="Q109" s="29">
        <v>45818</v>
      </c>
      <c r="R109" s="55"/>
      <c r="S109" s="18" t="e">
        <f ca="1">_xll.AblebitsUDF.AblebitsSpellNumber(L109,"None",1,1,FALSE)</f>
        <v>#NAME?</v>
      </c>
      <c r="T109" s="46"/>
      <c r="U109" s="47"/>
      <c r="V109" s="47"/>
      <c r="W109" s="47"/>
    </row>
    <row r="110" spans="1:23" ht="51" x14ac:dyDescent="0.25">
      <c r="A110" s="70">
        <v>46175.617523148147</v>
      </c>
      <c r="B110" s="16">
        <f t="shared" si="0"/>
        <v>124</v>
      </c>
      <c r="C110" s="21" t="s">
        <v>375</v>
      </c>
      <c r="D110" s="21" t="s">
        <v>376</v>
      </c>
      <c r="E110" s="21" t="s">
        <v>399</v>
      </c>
      <c r="F110" s="21" t="s">
        <v>378</v>
      </c>
      <c r="G110" s="23">
        <v>45818</v>
      </c>
      <c r="H110" s="23" t="s">
        <v>379</v>
      </c>
      <c r="I110" s="32">
        <v>45000</v>
      </c>
      <c r="J110" s="21">
        <v>4434</v>
      </c>
      <c r="K110" s="32" t="s">
        <v>263</v>
      </c>
      <c r="L110" s="32">
        <v>6750</v>
      </c>
      <c r="M110" s="21" t="s">
        <v>6</v>
      </c>
      <c r="N110" s="21" t="s">
        <v>6</v>
      </c>
      <c r="O110" s="21" t="s">
        <v>380</v>
      </c>
      <c r="P110" s="28" t="s">
        <v>8</v>
      </c>
      <c r="Q110" s="29">
        <v>45818</v>
      </c>
      <c r="R110" s="55"/>
      <c r="S110" s="18" t="e">
        <f ca="1">_xll.AblebitsUDF.AblebitsSpellNumber(L110,"None",1,1,FALSE)</f>
        <v>#NAME?</v>
      </c>
      <c r="T110" s="46"/>
      <c r="U110" s="47"/>
      <c r="V110" s="47"/>
      <c r="W110" s="47"/>
    </row>
    <row r="111" spans="1:23" ht="51" x14ac:dyDescent="0.25">
      <c r="A111" s="70">
        <v>46175.622916666667</v>
      </c>
      <c r="B111" s="16">
        <f t="shared" si="0"/>
        <v>125</v>
      </c>
      <c r="C111" s="21" t="s">
        <v>375</v>
      </c>
      <c r="D111" s="21" t="s">
        <v>376</v>
      </c>
      <c r="E111" s="21" t="s">
        <v>400</v>
      </c>
      <c r="F111" s="21" t="s">
        <v>378</v>
      </c>
      <c r="G111" s="23">
        <v>45725</v>
      </c>
      <c r="H111" s="23" t="s">
        <v>379</v>
      </c>
      <c r="I111" s="32">
        <v>45000</v>
      </c>
      <c r="J111" s="32">
        <v>745446</v>
      </c>
      <c r="K111" s="23">
        <v>45726</v>
      </c>
      <c r="L111" s="32">
        <v>6750</v>
      </c>
      <c r="M111" s="21" t="s">
        <v>42</v>
      </c>
      <c r="N111" s="45"/>
      <c r="O111" s="21" t="s">
        <v>401</v>
      </c>
      <c r="P111" s="28" t="s">
        <v>8</v>
      </c>
      <c r="Q111" s="29">
        <v>45757</v>
      </c>
      <c r="R111" s="55"/>
      <c r="S111" s="18" t="e">
        <f ca="1">_xll.AblebitsUDF.AblebitsSpellNumber(L111,"None",1,1,FALSE)</f>
        <v>#NAME?</v>
      </c>
      <c r="T111" s="46"/>
      <c r="U111" s="47"/>
      <c r="V111" s="47"/>
      <c r="W111" s="47"/>
    </row>
    <row r="112" spans="1:23" ht="76.5" x14ac:dyDescent="0.25">
      <c r="A112" s="70">
        <v>46175.6247337963</v>
      </c>
      <c r="B112" s="16">
        <f t="shared" si="0"/>
        <v>126</v>
      </c>
      <c r="C112" s="21" t="s">
        <v>375</v>
      </c>
      <c r="D112" s="21" t="s">
        <v>376</v>
      </c>
      <c r="E112" s="21" t="s">
        <v>402</v>
      </c>
      <c r="F112" s="21" t="s">
        <v>378</v>
      </c>
      <c r="G112" s="23">
        <v>45725</v>
      </c>
      <c r="H112" s="23" t="s">
        <v>379</v>
      </c>
      <c r="I112" s="32">
        <v>3500</v>
      </c>
      <c r="J112" s="21">
        <v>4446</v>
      </c>
      <c r="K112" s="23">
        <v>45667</v>
      </c>
      <c r="L112" s="32">
        <v>525</v>
      </c>
      <c r="M112" s="21" t="s">
        <v>6</v>
      </c>
      <c r="N112" s="17"/>
      <c r="O112" s="21" t="s">
        <v>403</v>
      </c>
      <c r="P112" s="28" t="s">
        <v>8</v>
      </c>
      <c r="Q112" s="29">
        <v>45818</v>
      </c>
      <c r="R112" s="55"/>
      <c r="S112" s="18" t="e">
        <f ca="1">_xll.AblebitsUDF.AblebitsSpellNumber(L112,"None",1,1,FALSE)</f>
        <v>#NAME?</v>
      </c>
      <c r="T112" s="46"/>
      <c r="U112" s="47"/>
      <c r="V112" s="47"/>
      <c r="W112" s="47"/>
    </row>
    <row r="113" spans="1:23" ht="51" x14ac:dyDescent="0.25">
      <c r="A113" s="70">
        <v>46175.629247685189</v>
      </c>
      <c r="B113" s="16">
        <f t="shared" si="0"/>
        <v>127</v>
      </c>
      <c r="C113" s="21" t="s">
        <v>375</v>
      </c>
      <c r="D113" s="21" t="s">
        <v>376</v>
      </c>
      <c r="E113" s="21" t="s">
        <v>402</v>
      </c>
      <c r="F113" s="21" t="s">
        <v>378</v>
      </c>
      <c r="G113" s="23">
        <v>45725</v>
      </c>
      <c r="H113" s="23" t="s">
        <v>379</v>
      </c>
      <c r="I113" s="32">
        <v>3500</v>
      </c>
      <c r="J113" s="21">
        <v>4435</v>
      </c>
      <c r="K113" s="32" t="s">
        <v>263</v>
      </c>
      <c r="L113" s="32">
        <v>525</v>
      </c>
      <c r="M113" s="21" t="s">
        <v>6</v>
      </c>
      <c r="N113" s="21" t="s">
        <v>6</v>
      </c>
      <c r="O113" s="21" t="s">
        <v>380</v>
      </c>
      <c r="P113" s="28" t="s">
        <v>8</v>
      </c>
      <c r="Q113" s="29">
        <v>45818</v>
      </c>
      <c r="R113" s="55"/>
      <c r="S113" s="18" t="e">
        <f ca="1">_xll.AblebitsUDF.AblebitsSpellNumber(L113,"None",1,1,FALSE)</f>
        <v>#NAME?</v>
      </c>
      <c r="T113" s="46"/>
      <c r="U113" s="47"/>
      <c r="V113" s="47"/>
      <c r="W113" s="47"/>
    </row>
    <row r="114" spans="1:23" ht="51" x14ac:dyDescent="0.25">
      <c r="A114" s="70">
        <v>46175.630486111113</v>
      </c>
      <c r="B114" s="16">
        <f t="shared" si="0"/>
        <v>128</v>
      </c>
      <c r="C114" s="21" t="s">
        <v>375</v>
      </c>
      <c r="D114" s="21" t="s">
        <v>376</v>
      </c>
      <c r="E114" s="21" t="s">
        <v>402</v>
      </c>
      <c r="F114" s="21" t="s">
        <v>378</v>
      </c>
      <c r="G114" s="23">
        <v>45725</v>
      </c>
      <c r="H114" s="23" t="s">
        <v>379</v>
      </c>
      <c r="I114" s="32">
        <v>3500</v>
      </c>
      <c r="J114" s="32">
        <v>745441</v>
      </c>
      <c r="K114" s="23">
        <v>45667</v>
      </c>
      <c r="L114" s="32">
        <v>525</v>
      </c>
      <c r="M114" s="21" t="s">
        <v>42</v>
      </c>
      <c r="N114" s="45"/>
      <c r="O114" s="21" t="s">
        <v>401</v>
      </c>
      <c r="P114" s="28" t="s">
        <v>8</v>
      </c>
      <c r="Q114" s="29">
        <v>45757</v>
      </c>
      <c r="R114" s="55"/>
      <c r="S114" s="18" t="e">
        <f ca="1">_xll.AblebitsUDF.AblebitsSpellNumber(L114,"None",1,1,FALSE)</f>
        <v>#NAME?</v>
      </c>
      <c r="T114" s="46"/>
      <c r="U114" s="47"/>
      <c r="V114" s="47"/>
      <c r="W114" s="47"/>
    </row>
    <row r="115" spans="1:23" ht="51" x14ac:dyDescent="0.25">
      <c r="A115" s="70">
        <v>46175.637881944444</v>
      </c>
      <c r="B115" s="16">
        <f t="shared" si="0"/>
        <v>129</v>
      </c>
      <c r="C115" s="21" t="s">
        <v>375</v>
      </c>
      <c r="D115" s="21" t="s">
        <v>376</v>
      </c>
      <c r="E115" s="21" t="s">
        <v>404</v>
      </c>
      <c r="F115" s="21" t="s">
        <v>378</v>
      </c>
      <c r="G115" s="23">
        <v>45725</v>
      </c>
      <c r="H115" s="23" t="s">
        <v>379</v>
      </c>
      <c r="I115" s="32">
        <v>8500</v>
      </c>
      <c r="J115" s="21">
        <v>4447</v>
      </c>
      <c r="K115" s="23">
        <v>45667</v>
      </c>
      <c r="L115" s="32">
        <v>765</v>
      </c>
      <c r="M115" s="21" t="s">
        <v>6</v>
      </c>
      <c r="N115" s="17"/>
      <c r="O115" s="21" t="s">
        <v>393</v>
      </c>
      <c r="P115" s="28" t="s">
        <v>8</v>
      </c>
      <c r="Q115" s="29">
        <v>45818</v>
      </c>
      <c r="R115" s="55"/>
      <c r="S115" s="18" t="e">
        <f ca="1">_xll.AblebitsUDF.AblebitsSpellNumber(L115,"None",1,1,FALSE)</f>
        <v>#NAME?</v>
      </c>
      <c r="T115" s="46"/>
      <c r="U115" s="47"/>
      <c r="V115" s="47"/>
      <c r="W115" s="47"/>
    </row>
    <row r="116" spans="1:23" ht="51" x14ac:dyDescent="0.25">
      <c r="A116" s="70">
        <v>46175.638969907406</v>
      </c>
      <c r="B116" s="16">
        <f t="shared" si="0"/>
        <v>130</v>
      </c>
      <c r="C116" s="21" t="s">
        <v>375</v>
      </c>
      <c r="D116" s="21" t="s">
        <v>376</v>
      </c>
      <c r="E116" s="21" t="s">
        <v>404</v>
      </c>
      <c r="F116" s="21" t="s">
        <v>378</v>
      </c>
      <c r="G116" s="23">
        <v>45725</v>
      </c>
      <c r="H116" s="23" t="s">
        <v>379</v>
      </c>
      <c r="I116" s="32">
        <v>8500</v>
      </c>
      <c r="J116" s="21">
        <v>4436</v>
      </c>
      <c r="K116" s="32" t="s">
        <v>263</v>
      </c>
      <c r="L116" s="32">
        <v>765</v>
      </c>
      <c r="M116" s="21" t="s">
        <v>6</v>
      </c>
      <c r="N116" s="21" t="s">
        <v>6</v>
      </c>
      <c r="O116" s="21" t="s">
        <v>380</v>
      </c>
      <c r="P116" s="28" t="s">
        <v>8</v>
      </c>
      <c r="Q116" s="29">
        <v>45818</v>
      </c>
      <c r="R116" s="55"/>
      <c r="S116" s="18" t="e">
        <f ca="1">_xll.AblebitsUDF.AblebitsSpellNumber(L116,"None",1,1,FALSE)</f>
        <v>#NAME?</v>
      </c>
      <c r="T116" s="46"/>
      <c r="U116" s="47"/>
      <c r="V116" s="47"/>
      <c r="W116" s="47"/>
    </row>
    <row r="117" spans="1:23" ht="51" x14ac:dyDescent="0.25">
      <c r="A117" s="70">
        <v>46175.640740740739</v>
      </c>
      <c r="B117" s="16">
        <f t="shared" si="0"/>
        <v>131</v>
      </c>
      <c r="C117" s="21" t="s">
        <v>375</v>
      </c>
      <c r="D117" s="21" t="s">
        <v>376</v>
      </c>
      <c r="E117" s="21" t="s">
        <v>404</v>
      </c>
      <c r="F117" s="21" t="s">
        <v>378</v>
      </c>
      <c r="G117" s="23">
        <v>45725</v>
      </c>
      <c r="H117" s="23" t="s">
        <v>379</v>
      </c>
      <c r="I117" s="32">
        <v>8500</v>
      </c>
      <c r="J117" s="32">
        <v>745440</v>
      </c>
      <c r="K117" s="23">
        <v>45667</v>
      </c>
      <c r="L117" s="32">
        <v>765</v>
      </c>
      <c r="M117" s="21" t="s">
        <v>42</v>
      </c>
      <c r="N117" s="45"/>
      <c r="O117" s="21" t="s">
        <v>405</v>
      </c>
      <c r="P117" s="28" t="s">
        <v>8</v>
      </c>
      <c r="Q117" s="29">
        <v>45757</v>
      </c>
      <c r="R117" s="55"/>
      <c r="S117" s="18" t="e">
        <f ca="1">_xll.AblebitsUDF.AblebitsSpellNumber(L117,"None",1,1,FALSE)</f>
        <v>#NAME?</v>
      </c>
      <c r="T117" s="46"/>
      <c r="U117" s="47"/>
      <c r="V117" s="47"/>
      <c r="W117" s="47"/>
    </row>
    <row r="118" spans="1:23" ht="51" x14ac:dyDescent="0.25">
      <c r="A118" s="70">
        <v>46175.646226851852</v>
      </c>
      <c r="B118" s="16">
        <f t="shared" si="0"/>
        <v>132</v>
      </c>
      <c r="C118" s="21" t="s">
        <v>375</v>
      </c>
      <c r="D118" s="21" t="s">
        <v>376</v>
      </c>
      <c r="E118" s="21" t="s">
        <v>406</v>
      </c>
      <c r="F118" s="21" t="s">
        <v>378</v>
      </c>
      <c r="G118" s="23">
        <v>45725</v>
      </c>
      <c r="H118" s="23" t="s">
        <v>379</v>
      </c>
      <c r="I118" s="32">
        <v>30000</v>
      </c>
      <c r="J118" s="21">
        <v>4440</v>
      </c>
      <c r="K118" s="32" t="s">
        <v>263</v>
      </c>
      <c r="L118" s="32">
        <v>2700</v>
      </c>
      <c r="M118" s="21" t="s">
        <v>6</v>
      </c>
      <c r="N118" s="21" t="s">
        <v>6</v>
      </c>
      <c r="O118" s="21" t="s">
        <v>380</v>
      </c>
      <c r="P118" s="28" t="s">
        <v>8</v>
      </c>
      <c r="Q118" s="29">
        <v>45818</v>
      </c>
      <c r="R118" s="55"/>
      <c r="S118" s="18" t="e">
        <f ca="1">_xll.AblebitsUDF.AblebitsSpellNumber(L118,"None",1,1,FALSE)</f>
        <v>#NAME?</v>
      </c>
      <c r="T118" s="46"/>
      <c r="U118" s="47"/>
      <c r="V118" s="47"/>
      <c r="W118" s="47"/>
    </row>
    <row r="119" spans="1:23" ht="51" x14ac:dyDescent="0.25">
      <c r="A119" s="70">
        <v>46175.647511574076</v>
      </c>
      <c r="B119" s="16">
        <f t="shared" si="0"/>
        <v>133</v>
      </c>
      <c r="C119" s="21" t="s">
        <v>375</v>
      </c>
      <c r="D119" s="21" t="s">
        <v>376</v>
      </c>
      <c r="E119" s="21" t="s">
        <v>406</v>
      </c>
      <c r="F119" s="21" t="s">
        <v>378</v>
      </c>
      <c r="G119" s="23">
        <v>45725</v>
      </c>
      <c r="H119" s="23" t="s">
        <v>379</v>
      </c>
      <c r="I119" s="32">
        <v>30000</v>
      </c>
      <c r="J119" s="32">
        <v>745439</v>
      </c>
      <c r="K119" s="23">
        <v>45667</v>
      </c>
      <c r="L119" s="32">
        <v>2700</v>
      </c>
      <c r="M119" s="21" t="s">
        <v>42</v>
      </c>
      <c r="N119" s="45"/>
      <c r="O119" s="21" t="s">
        <v>405</v>
      </c>
      <c r="P119" s="28" t="s">
        <v>8</v>
      </c>
      <c r="Q119" s="29">
        <v>45757</v>
      </c>
      <c r="R119" s="55"/>
      <c r="S119" s="18" t="e">
        <f ca="1">_xll.AblebitsUDF.AblebitsSpellNumber(L119,"None",1,1,FALSE)</f>
        <v>#NAME?</v>
      </c>
      <c r="T119" s="46"/>
      <c r="U119" s="47"/>
      <c r="V119" s="47"/>
      <c r="W119" s="47"/>
    </row>
    <row r="120" spans="1:23" ht="51" x14ac:dyDescent="0.25">
      <c r="A120" s="70">
        <v>46175.651898148149</v>
      </c>
      <c r="B120" s="16">
        <f t="shared" si="0"/>
        <v>134</v>
      </c>
      <c r="C120" s="21" t="s">
        <v>375</v>
      </c>
      <c r="D120" s="21" t="s">
        <v>376</v>
      </c>
      <c r="E120" s="21" t="s">
        <v>407</v>
      </c>
      <c r="F120" s="21" t="s">
        <v>378</v>
      </c>
      <c r="G120" s="23">
        <v>45725</v>
      </c>
      <c r="H120" s="23" t="s">
        <v>379</v>
      </c>
      <c r="I120" s="32">
        <v>155000</v>
      </c>
      <c r="J120" s="21">
        <v>4437</v>
      </c>
      <c r="K120" s="32" t="s">
        <v>263</v>
      </c>
      <c r="L120" s="32">
        <v>9300</v>
      </c>
      <c r="M120" s="21" t="s">
        <v>6</v>
      </c>
      <c r="N120" s="21" t="s">
        <v>6</v>
      </c>
      <c r="O120" s="21" t="s">
        <v>380</v>
      </c>
      <c r="P120" s="28" t="s">
        <v>8</v>
      </c>
      <c r="Q120" s="29">
        <v>45818</v>
      </c>
      <c r="R120" s="55"/>
      <c r="S120" s="18" t="e">
        <f ca="1">_xll.AblebitsUDF.AblebitsSpellNumber(L120,"None",1,1,FALSE)</f>
        <v>#NAME?</v>
      </c>
      <c r="T120" s="46"/>
      <c r="U120" s="47"/>
      <c r="V120" s="47"/>
      <c r="W120" s="47"/>
    </row>
    <row r="121" spans="1:23" ht="51" x14ac:dyDescent="0.25">
      <c r="A121" s="70">
        <v>46175.655185185184</v>
      </c>
      <c r="B121" s="16">
        <f t="shared" si="0"/>
        <v>135</v>
      </c>
      <c r="C121" s="21" t="s">
        <v>375</v>
      </c>
      <c r="D121" s="21" t="s">
        <v>376</v>
      </c>
      <c r="E121" s="21" t="s">
        <v>407</v>
      </c>
      <c r="F121" s="21" t="s">
        <v>378</v>
      </c>
      <c r="G121" s="23">
        <v>45725</v>
      </c>
      <c r="H121" s="23" t="s">
        <v>379</v>
      </c>
      <c r="I121" s="32">
        <v>155000</v>
      </c>
      <c r="J121" s="21">
        <v>4428</v>
      </c>
      <c r="K121" s="32" t="s">
        <v>398</v>
      </c>
      <c r="L121" s="32">
        <v>9300</v>
      </c>
      <c r="M121" s="21" t="s">
        <v>6</v>
      </c>
      <c r="N121" s="21" t="s">
        <v>6</v>
      </c>
      <c r="O121" s="21" t="s">
        <v>393</v>
      </c>
      <c r="P121" s="28" t="s">
        <v>8</v>
      </c>
      <c r="Q121" s="29">
        <v>45818</v>
      </c>
      <c r="R121" s="55"/>
      <c r="S121" s="18" t="e">
        <f ca="1">_xll.AblebitsUDF.AblebitsSpellNumber(L121,"None",1,1,FALSE)</f>
        <v>#NAME?</v>
      </c>
      <c r="T121" s="46"/>
      <c r="U121" s="47"/>
      <c r="V121" s="47"/>
      <c r="W121" s="47"/>
    </row>
    <row r="122" spans="1:23" ht="51" x14ac:dyDescent="0.25">
      <c r="A122" s="70">
        <v>46175.656307870369</v>
      </c>
      <c r="B122" s="16">
        <f t="shared" si="0"/>
        <v>136</v>
      </c>
      <c r="C122" s="21" t="s">
        <v>375</v>
      </c>
      <c r="D122" s="21" t="s">
        <v>376</v>
      </c>
      <c r="E122" s="21" t="s">
        <v>407</v>
      </c>
      <c r="F122" s="21" t="s">
        <v>378</v>
      </c>
      <c r="G122" s="23">
        <v>45725</v>
      </c>
      <c r="H122" s="23" t="s">
        <v>379</v>
      </c>
      <c r="I122" s="32">
        <v>155000</v>
      </c>
      <c r="J122" s="32">
        <v>745445</v>
      </c>
      <c r="K122" s="23">
        <v>45726</v>
      </c>
      <c r="L122" s="32">
        <v>9300</v>
      </c>
      <c r="M122" s="21" t="s">
        <v>42</v>
      </c>
      <c r="N122" s="45"/>
      <c r="O122" s="21" t="s">
        <v>405</v>
      </c>
      <c r="P122" s="28" t="s">
        <v>8</v>
      </c>
      <c r="Q122" s="29">
        <v>45757</v>
      </c>
      <c r="R122" s="55"/>
      <c r="S122" s="18" t="e">
        <f ca="1">_xll.AblebitsUDF.AblebitsSpellNumber(L122,"None",1,1,FALSE)</f>
        <v>#NAME?</v>
      </c>
      <c r="T122" s="46"/>
      <c r="U122" s="47"/>
      <c r="V122" s="47"/>
      <c r="W122" s="47"/>
    </row>
    <row r="123" spans="1:23" ht="51" x14ac:dyDescent="0.25">
      <c r="A123" s="70">
        <v>46175.658020833333</v>
      </c>
      <c r="B123" s="16">
        <f t="shared" si="0"/>
        <v>137</v>
      </c>
      <c r="C123" s="21" t="s">
        <v>375</v>
      </c>
      <c r="D123" s="21" t="s">
        <v>376</v>
      </c>
      <c r="E123" s="21" t="s">
        <v>397</v>
      </c>
      <c r="F123" s="21" t="s">
        <v>378</v>
      </c>
      <c r="G123" s="23">
        <v>45725</v>
      </c>
      <c r="H123" s="23" t="s">
        <v>379</v>
      </c>
      <c r="I123" s="32">
        <v>350000</v>
      </c>
      <c r="J123" s="32">
        <v>745444</v>
      </c>
      <c r="K123" s="23">
        <v>45726</v>
      </c>
      <c r="L123" s="32">
        <v>10500</v>
      </c>
      <c r="M123" s="21" t="s">
        <v>42</v>
      </c>
      <c r="N123" s="45"/>
      <c r="O123" s="21" t="s">
        <v>405</v>
      </c>
      <c r="P123" s="28" t="s">
        <v>8</v>
      </c>
      <c r="Q123" s="29">
        <v>45757</v>
      </c>
      <c r="R123" s="55"/>
      <c r="S123" s="18" t="e">
        <f ca="1">_xll.AblebitsUDF.AblebitsSpellNumber(L123,"None",1,1,FALSE)</f>
        <v>#NAME?</v>
      </c>
      <c r="T123" s="46"/>
      <c r="U123" s="47"/>
      <c r="V123" s="47"/>
      <c r="W123" s="47"/>
    </row>
    <row r="124" spans="1:23" ht="51" x14ac:dyDescent="0.25">
      <c r="A124" s="70">
        <v>46175.659803240742</v>
      </c>
      <c r="B124" s="16">
        <f t="shared" si="0"/>
        <v>138</v>
      </c>
      <c r="C124" s="21" t="s">
        <v>375</v>
      </c>
      <c r="D124" s="21" t="s">
        <v>376</v>
      </c>
      <c r="E124" s="21" t="s">
        <v>408</v>
      </c>
      <c r="F124" s="21" t="s">
        <v>378</v>
      </c>
      <c r="G124" s="23">
        <v>45725</v>
      </c>
      <c r="H124" s="23" t="s">
        <v>379</v>
      </c>
      <c r="I124" s="32">
        <v>10000</v>
      </c>
      <c r="J124" s="21">
        <v>4433</v>
      </c>
      <c r="K124" s="32" t="s">
        <v>263</v>
      </c>
      <c r="L124" s="32">
        <v>1200</v>
      </c>
      <c r="M124" s="21" t="s">
        <v>6</v>
      </c>
      <c r="N124" s="21" t="s">
        <v>6</v>
      </c>
      <c r="O124" s="21" t="s">
        <v>380</v>
      </c>
      <c r="P124" s="28" t="s">
        <v>8</v>
      </c>
      <c r="Q124" s="29">
        <v>45818</v>
      </c>
      <c r="R124" s="55"/>
      <c r="S124" s="18" t="e">
        <f ca="1">_xll.AblebitsUDF.AblebitsSpellNumber(L124,"None",1,1,FALSE)</f>
        <v>#NAME?</v>
      </c>
      <c r="T124" s="46"/>
      <c r="U124" s="47"/>
      <c r="V124" s="47"/>
      <c r="W124" s="47"/>
    </row>
    <row r="125" spans="1:23" ht="51" x14ac:dyDescent="0.25">
      <c r="A125" s="70">
        <v>46175.664201388892</v>
      </c>
      <c r="B125" s="16">
        <f t="shared" si="0"/>
        <v>139</v>
      </c>
      <c r="C125" s="21" t="s">
        <v>375</v>
      </c>
      <c r="D125" s="21" t="s">
        <v>376</v>
      </c>
      <c r="E125" s="21" t="s">
        <v>409</v>
      </c>
      <c r="F125" s="21" t="s">
        <v>378</v>
      </c>
      <c r="G125" s="23">
        <v>45725</v>
      </c>
      <c r="H125" s="23" t="s">
        <v>379</v>
      </c>
      <c r="I125" s="32">
        <v>10000</v>
      </c>
      <c r="J125" s="32">
        <v>745448</v>
      </c>
      <c r="K125" s="23">
        <v>45726</v>
      </c>
      <c r="L125" s="32">
        <v>1200</v>
      </c>
      <c r="M125" s="21" t="s">
        <v>42</v>
      </c>
      <c r="N125" s="45"/>
      <c r="O125" s="21" t="s">
        <v>405</v>
      </c>
      <c r="P125" s="28" t="s">
        <v>8</v>
      </c>
      <c r="Q125" s="29">
        <v>45757</v>
      </c>
      <c r="R125" s="55"/>
      <c r="S125" s="18" t="e">
        <f ca="1">_xll.AblebitsUDF.AblebitsSpellNumber(L125,"None",1,1,FALSE)</f>
        <v>#NAME?</v>
      </c>
      <c r="T125" s="46"/>
      <c r="U125" s="47"/>
      <c r="V125" s="47"/>
      <c r="W125" s="47"/>
    </row>
    <row r="126" spans="1:23" ht="51" x14ac:dyDescent="0.25">
      <c r="A126" s="70">
        <v>46175.665798611109</v>
      </c>
      <c r="B126" s="16">
        <f t="shared" si="0"/>
        <v>140</v>
      </c>
      <c r="C126" s="21" t="s">
        <v>375</v>
      </c>
      <c r="D126" s="21" t="s">
        <v>376</v>
      </c>
      <c r="E126" s="21" t="s">
        <v>395</v>
      </c>
      <c r="F126" s="21" t="s">
        <v>378</v>
      </c>
      <c r="G126" s="23">
        <v>45725</v>
      </c>
      <c r="H126" s="23" t="s">
        <v>379</v>
      </c>
      <c r="I126" s="32">
        <v>17500</v>
      </c>
      <c r="J126" s="21">
        <v>4442</v>
      </c>
      <c r="K126" s="23">
        <v>45667</v>
      </c>
      <c r="L126" s="32">
        <v>2625</v>
      </c>
      <c r="M126" s="21" t="s">
        <v>6</v>
      </c>
      <c r="N126" s="21" t="s">
        <v>6</v>
      </c>
      <c r="O126" s="21" t="s">
        <v>380</v>
      </c>
      <c r="P126" s="28" t="s">
        <v>8</v>
      </c>
      <c r="Q126" s="29">
        <v>45818</v>
      </c>
      <c r="R126" s="55"/>
      <c r="S126" s="18" t="e">
        <f ca="1">_xll.AblebitsUDF.AblebitsSpellNumber(L126,"None",1,1,FALSE)</f>
        <v>#NAME?</v>
      </c>
      <c r="T126" s="46"/>
      <c r="U126" s="47"/>
      <c r="V126" s="47"/>
      <c r="W126" s="47"/>
    </row>
    <row r="127" spans="1:23" ht="51" x14ac:dyDescent="0.25">
      <c r="A127" s="70">
        <v>46175.666990740741</v>
      </c>
      <c r="B127" s="16">
        <f t="shared" si="0"/>
        <v>141</v>
      </c>
      <c r="C127" s="21" t="s">
        <v>375</v>
      </c>
      <c r="D127" s="21" t="s">
        <v>376</v>
      </c>
      <c r="E127" s="21" t="s">
        <v>395</v>
      </c>
      <c r="F127" s="21" t="s">
        <v>378</v>
      </c>
      <c r="G127" s="23">
        <v>45725</v>
      </c>
      <c r="H127" s="23" t="s">
        <v>379</v>
      </c>
      <c r="I127" s="32">
        <v>17500</v>
      </c>
      <c r="J127" s="32">
        <v>745447</v>
      </c>
      <c r="K127" s="23">
        <v>45726</v>
      </c>
      <c r="L127" s="32">
        <v>2625</v>
      </c>
      <c r="M127" s="21" t="s">
        <v>42</v>
      </c>
      <c r="N127" s="45"/>
      <c r="O127" s="21" t="s">
        <v>405</v>
      </c>
      <c r="P127" s="28" t="s">
        <v>8</v>
      </c>
      <c r="Q127" s="29">
        <v>45757</v>
      </c>
      <c r="R127" s="55"/>
      <c r="S127" s="18" t="e">
        <f ca="1">_xll.AblebitsUDF.AblebitsSpellNumber(L127,"None",1,1,FALSE)</f>
        <v>#NAME?</v>
      </c>
      <c r="T127" s="46"/>
      <c r="U127" s="47"/>
      <c r="V127" s="47"/>
      <c r="W127" s="47"/>
    </row>
    <row r="128" spans="1:23" ht="51" x14ac:dyDescent="0.25">
      <c r="A128" s="70">
        <v>46175.668761574074</v>
      </c>
      <c r="B128" s="16">
        <f t="shared" si="0"/>
        <v>142</v>
      </c>
      <c r="C128" s="21" t="s">
        <v>375</v>
      </c>
      <c r="D128" s="21" t="s">
        <v>376</v>
      </c>
      <c r="E128" s="21" t="s">
        <v>410</v>
      </c>
      <c r="F128" s="21" t="s">
        <v>378</v>
      </c>
      <c r="G128" s="23">
        <v>45725</v>
      </c>
      <c r="H128" s="23" t="s">
        <v>379</v>
      </c>
      <c r="I128" s="32">
        <v>175000</v>
      </c>
      <c r="J128" s="21">
        <v>4426</v>
      </c>
      <c r="K128" s="32" t="s">
        <v>398</v>
      </c>
      <c r="L128" s="32">
        <v>10500</v>
      </c>
      <c r="M128" s="21" t="s">
        <v>6</v>
      </c>
      <c r="N128" s="21" t="s">
        <v>6</v>
      </c>
      <c r="O128" s="21" t="s">
        <v>393</v>
      </c>
      <c r="P128" s="28" t="s">
        <v>8</v>
      </c>
      <c r="Q128" s="29">
        <v>45818</v>
      </c>
      <c r="R128" s="55"/>
      <c r="S128" s="18" t="e">
        <f ca="1">_xll.AblebitsUDF.AblebitsSpellNumber(L128,"None",1,1,FALSE)</f>
        <v>#NAME?</v>
      </c>
      <c r="T128" s="46"/>
      <c r="U128" s="47"/>
      <c r="V128" s="47"/>
      <c r="W128" s="47"/>
    </row>
    <row r="129" spans="1:25" ht="51" x14ac:dyDescent="0.25">
      <c r="A129" s="70">
        <v>46175.670243055552</v>
      </c>
      <c r="B129" s="16">
        <f t="shared" si="0"/>
        <v>143</v>
      </c>
      <c r="C129" s="21" t="s">
        <v>375</v>
      </c>
      <c r="D129" s="21" t="s">
        <v>376</v>
      </c>
      <c r="E129" s="21" t="s">
        <v>411</v>
      </c>
      <c r="F129" s="21" t="s">
        <v>378</v>
      </c>
      <c r="G129" s="23">
        <v>45725</v>
      </c>
      <c r="H129" s="23" t="s">
        <v>379</v>
      </c>
      <c r="I129" s="32">
        <v>175000</v>
      </c>
      <c r="J129" s="32">
        <v>745443</v>
      </c>
      <c r="K129" s="23">
        <v>45726</v>
      </c>
      <c r="L129" s="32">
        <v>10500</v>
      </c>
      <c r="M129" s="21" t="s">
        <v>42</v>
      </c>
      <c r="N129" s="45"/>
      <c r="O129" s="21" t="s">
        <v>405</v>
      </c>
      <c r="P129" s="28" t="s">
        <v>8</v>
      </c>
      <c r="Q129" s="29">
        <v>45757</v>
      </c>
      <c r="R129" s="55"/>
      <c r="S129" s="18" t="e">
        <f ca="1">_xll.AblebitsUDF.AblebitsSpellNumber(L129,"None",1,1,FALSE)</f>
        <v>#NAME?</v>
      </c>
      <c r="T129" s="46"/>
      <c r="U129" s="47"/>
      <c r="V129" s="47"/>
      <c r="W129" s="47"/>
    </row>
    <row r="130" spans="1:25" ht="51" x14ac:dyDescent="0.25">
      <c r="A130" s="70">
        <v>46175.671516203707</v>
      </c>
      <c r="B130" s="16">
        <f t="shared" si="0"/>
        <v>144</v>
      </c>
      <c r="C130" s="21" t="s">
        <v>375</v>
      </c>
      <c r="D130" s="21" t="s">
        <v>376</v>
      </c>
      <c r="E130" s="21" t="s">
        <v>392</v>
      </c>
      <c r="F130" s="21" t="s">
        <v>378</v>
      </c>
      <c r="G130" s="23">
        <v>45725</v>
      </c>
      <c r="H130" s="23" t="s">
        <v>379</v>
      </c>
      <c r="I130" s="32">
        <v>9000</v>
      </c>
      <c r="J130" s="21">
        <v>4438</v>
      </c>
      <c r="K130" s="32" t="s">
        <v>263</v>
      </c>
      <c r="L130" s="32">
        <v>810</v>
      </c>
      <c r="M130" s="21" t="s">
        <v>6</v>
      </c>
      <c r="N130" s="21" t="s">
        <v>6</v>
      </c>
      <c r="O130" s="21" t="s">
        <v>380</v>
      </c>
      <c r="P130" s="28" t="s">
        <v>8</v>
      </c>
      <c r="Q130" s="29">
        <v>45818</v>
      </c>
      <c r="R130" s="55"/>
      <c r="S130" s="18" t="e">
        <f ca="1">_xll.AblebitsUDF.AblebitsSpellNumber(L130,"None",1,1,FALSE)</f>
        <v>#NAME?</v>
      </c>
      <c r="T130" s="46"/>
      <c r="U130" s="47"/>
      <c r="V130" s="47"/>
      <c r="W130" s="47"/>
    </row>
    <row r="131" spans="1:25" ht="51" x14ac:dyDescent="0.25">
      <c r="A131" s="70">
        <v>46175.672835648147</v>
      </c>
      <c r="B131" s="16">
        <f t="shared" si="0"/>
        <v>145</v>
      </c>
      <c r="C131" s="21" t="s">
        <v>375</v>
      </c>
      <c r="D131" s="21" t="s">
        <v>376</v>
      </c>
      <c r="E131" s="21" t="s">
        <v>392</v>
      </c>
      <c r="F131" s="21" t="s">
        <v>378</v>
      </c>
      <c r="G131" s="23">
        <v>45725</v>
      </c>
      <c r="H131" s="23" t="s">
        <v>379</v>
      </c>
      <c r="I131" s="32">
        <v>9000</v>
      </c>
      <c r="J131" s="32">
        <v>745449</v>
      </c>
      <c r="K131" s="23">
        <v>45726</v>
      </c>
      <c r="L131" s="32">
        <v>810</v>
      </c>
      <c r="M131" s="21" t="s">
        <v>42</v>
      </c>
      <c r="N131" s="45"/>
      <c r="O131" s="21" t="s">
        <v>405</v>
      </c>
      <c r="P131" s="28" t="s">
        <v>8</v>
      </c>
      <c r="Q131" s="29">
        <v>45757</v>
      </c>
      <c r="R131" s="55"/>
      <c r="S131" s="18" t="e">
        <f ca="1">_xll.AblebitsUDF.AblebitsSpellNumber(L131,"None",1,1,FALSE)</f>
        <v>#NAME?</v>
      </c>
      <c r="T131" s="46"/>
      <c r="U131" s="47"/>
      <c r="V131" s="47"/>
      <c r="W131" s="47"/>
    </row>
    <row r="132" spans="1:25" ht="51" x14ac:dyDescent="0.25">
      <c r="A132" s="70">
        <v>46175.675405092596</v>
      </c>
      <c r="B132" s="16">
        <f t="shared" si="0"/>
        <v>146</v>
      </c>
      <c r="C132" s="21" t="s">
        <v>375</v>
      </c>
      <c r="D132" s="21" t="s">
        <v>376</v>
      </c>
      <c r="E132" s="21" t="s">
        <v>412</v>
      </c>
      <c r="F132" s="21" t="s">
        <v>378</v>
      </c>
      <c r="G132" s="23">
        <v>45725</v>
      </c>
      <c r="H132" s="23" t="s">
        <v>379</v>
      </c>
      <c r="I132" s="32">
        <v>100000</v>
      </c>
      <c r="J132" s="21">
        <v>4425</v>
      </c>
      <c r="K132" s="32" t="s">
        <v>398</v>
      </c>
      <c r="L132" s="32">
        <v>9000</v>
      </c>
      <c r="M132" s="21" t="s">
        <v>6</v>
      </c>
      <c r="N132" s="21" t="s">
        <v>6</v>
      </c>
      <c r="O132" s="21" t="s">
        <v>393</v>
      </c>
      <c r="P132" s="28" t="s">
        <v>8</v>
      </c>
      <c r="Q132" s="29">
        <v>45818</v>
      </c>
      <c r="R132" s="55"/>
      <c r="S132" s="18" t="e">
        <f ca="1">_xll.AblebitsUDF.AblebitsSpellNumber(L132,"None",1,1,FALSE)</f>
        <v>#NAME?</v>
      </c>
      <c r="T132" s="46"/>
      <c r="U132" s="47"/>
      <c r="V132" s="47"/>
      <c r="W132" s="47"/>
    </row>
    <row r="133" spans="1:25" ht="51" x14ac:dyDescent="0.25">
      <c r="A133" s="70">
        <v>46175.67701388889</v>
      </c>
      <c r="B133" s="16">
        <f t="shared" si="0"/>
        <v>147</v>
      </c>
      <c r="C133" s="21" t="s">
        <v>375</v>
      </c>
      <c r="D133" s="21" t="s">
        <v>376</v>
      </c>
      <c r="E133" s="21" t="s">
        <v>391</v>
      </c>
      <c r="F133" s="21" t="s">
        <v>378</v>
      </c>
      <c r="G133" s="23">
        <v>45725</v>
      </c>
      <c r="H133" s="23" t="s">
        <v>379</v>
      </c>
      <c r="I133" s="32">
        <v>100000</v>
      </c>
      <c r="J133" s="32">
        <v>745442</v>
      </c>
      <c r="K133" s="23">
        <v>45667</v>
      </c>
      <c r="L133" s="32">
        <v>9000</v>
      </c>
      <c r="M133" s="21" t="s">
        <v>42</v>
      </c>
      <c r="N133" s="45"/>
      <c r="O133" s="21" t="s">
        <v>405</v>
      </c>
      <c r="P133" s="28" t="s">
        <v>8</v>
      </c>
      <c r="Q133" s="29">
        <v>45757</v>
      </c>
      <c r="R133" s="55"/>
      <c r="S133" s="18" t="e">
        <f ca="1">_xll.AblebitsUDF.AblebitsSpellNumber(L133,"None",1,1,FALSE)</f>
        <v>#NAME?</v>
      </c>
      <c r="T133" s="46"/>
      <c r="U133" s="47"/>
      <c r="V133" s="47"/>
      <c r="W133" s="47"/>
    </row>
    <row r="134" spans="1:25" ht="51" x14ac:dyDescent="0.25">
      <c r="A134" s="70">
        <v>46175.679548611108</v>
      </c>
      <c r="B134" s="16">
        <f t="shared" si="0"/>
        <v>148</v>
      </c>
      <c r="C134" s="21" t="s">
        <v>375</v>
      </c>
      <c r="D134" s="21" t="s">
        <v>376</v>
      </c>
      <c r="E134" s="21" t="s">
        <v>381</v>
      </c>
      <c r="F134" s="21" t="s">
        <v>378</v>
      </c>
      <c r="G134" s="23">
        <v>45725</v>
      </c>
      <c r="H134" s="23" t="s">
        <v>379</v>
      </c>
      <c r="I134" s="32">
        <v>130000</v>
      </c>
      <c r="J134" s="21">
        <v>4423</v>
      </c>
      <c r="K134" s="32" t="s">
        <v>398</v>
      </c>
      <c r="L134" s="32">
        <v>17685</v>
      </c>
      <c r="M134" s="21" t="s">
        <v>6</v>
      </c>
      <c r="N134" s="21" t="s">
        <v>6</v>
      </c>
      <c r="O134" s="21" t="s">
        <v>393</v>
      </c>
      <c r="P134" s="28" t="s">
        <v>8</v>
      </c>
      <c r="Q134" s="29">
        <v>45818</v>
      </c>
      <c r="R134" s="55"/>
      <c r="S134" s="18" t="e">
        <f ca="1">_xll.AblebitsUDF.AblebitsSpellNumber(L134,"None",1,1,FALSE)</f>
        <v>#NAME?</v>
      </c>
      <c r="T134" s="46"/>
      <c r="U134" s="47"/>
      <c r="V134" s="47"/>
      <c r="W134" s="47"/>
    </row>
    <row r="135" spans="1:25" ht="51" x14ac:dyDescent="0.25">
      <c r="A135" s="70">
        <v>46175.681296296294</v>
      </c>
      <c r="B135" s="16">
        <f t="shared" si="0"/>
        <v>149</v>
      </c>
      <c r="C135" s="21" t="s">
        <v>375</v>
      </c>
      <c r="D135" s="21" t="s">
        <v>376</v>
      </c>
      <c r="E135" s="21" t="s">
        <v>381</v>
      </c>
      <c r="F135" s="21" t="s">
        <v>378</v>
      </c>
      <c r="G135" s="23">
        <v>45725</v>
      </c>
      <c r="H135" s="23" t="s">
        <v>379</v>
      </c>
      <c r="I135" s="32">
        <v>130000</v>
      </c>
      <c r="J135" s="32">
        <v>745436</v>
      </c>
      <c r="K135" s="23">
        <v>45667</v>
      </c>
      <c r="L135" s="32">
        <v>17685</v>
      </c>
      <c r="M135" s="21" t="s">
        <v>42</v>
      </c>
      <c r="N135" s="45"/>
      <c r="O135" s="21" t="s">
        <v>405</v>
      </c>
      <c r="P135" s="28" t="s">
        <v>8</v>
      </c>
      <c r="Q135" s="29">
        <v>45757</v>
      </c>
      <c r="R135" s="55"/>
      <c r="S135" s="18" t="e">
        <f ca="1">_xll.AblebitsUDF.AblebitsSpellNumber(L135,"None",1,1,FALSE)</f>
        <v>#NAME?</v>
      </c>
      <c r="T135" s="46"/>
      <c r="U135" s="47"/>
      <c r="V135" s="47"/>
      <c r="W135" s="47"/>
    </row>
    <row r="136" spans="1:25" ht="51" x14ac:dyDescent="0.25">
      <c r="A136" s="70">
        <v>46175.683541666665</v>
      </c>
      <c r="B136" s="16">
        <f t="shared" si="0"/>
        <v>150</v>
      </c>
      <c r="C136" s="21" t="s">
        <v>375</v>
      </c>
      <c r="D136" s="21" t="s">
        <v>376</v>
      </c>
      <c r="E136" s="21" t="s">
        <v>413</v>
      </c>
      <c r="F136" s="21" t="s">
        <v>378</v>
      </c>
      <c r="G136" s="23">
        <v>45725</v>
      </c>
      <c r="H136" s="23" t="s">
        <v>379</v>
      </c>
      <c r="I136" s="32">
        <v>130000</v>
      </c>
      <c r="J136" s="21">
        <v>4424</v>
      </c>
      <c r="K136" s="32" t="s">
        <v>398</v>
      </c>
      <c r="L136" s="32">
        <v>7800</v>
      </c>
      <c r="M136" s="21" t="s">
        <v>6</v>
      </c>
      <c r="N136" s="21" t="s">
        <v>6</v>
      </c>
      <c r="O136" s="21" t="s">
        <v>393</v>
      </c>
      <c r="P136" s="28" t="s">
        <v>8</v>
      </c>
      <c r="Q136" s="29">
        <v>45818</v>
      </c>
      <c r="R136" s="55"/>
      <c r="S136" s="18" t="e">
        <f ca="1">_xll.AblebitsUDF.AblebitsSpellNumber(L136,"None",1,1,FALSE)</f>
        <v>#NAME?</v>
      </c>
      <c r="T136" s="46"/>
      <c r="U136" s="47"/>
      <c r="V136" s="47"/>
      <c r="W136" s="47"/>
    </row>
    <row r="137" spans="1:25" ht="51" x14ac:dyDescent="0.25">
      <c r="A137" s="70">
        <v>46175.684583333335</v>
      </c>
      <c r="B137" s="16">
        <f t="shared" si="0"/>
        <v>151</v>
      </c>
      <c r="C137" s="21" t="s">
        <v>375</v>
      </c>
      <c r="D137" s="21" t="s">
        <v>376</v>
      </c>
      <c r="E137" s="21" t="s">
        <v>414</v>
      </c>
      <c r="F137" s="21" t="s">
        <v>378</v>
      </c>
      <c r="G137" s="23">
        <v>45725</v>
      </c>
      <c r="H137" s="23" t="s">
        <v>379</v>
      </c>
      <c r="I137" s="32">
        <v>130000</v>
      </c>
      <c r="J137" s="32">
        <v>745437</v>
      </c>
      <c r="K137" s="23">
        <v>45667</v>
      </c>
      <c r="L137" s="32">
        <v>7800</v>
      </c>
      <c r="M137" s="21" t="s">
        <v>42</v>
      </c>
      <c r="N137" s="45"/>
      <c r="O137" s="21" t="s">
        <v>405</v>
      </c>
      <c r="P137" s="28" t="s">
        <v>8</v>
      </c>
      <c r="Q137" s="29">
        <v>45757</v>
      </c>
      <c r="R137" s="55"/>
      <c r="S137" s="18" t="e">
        <f ca="1">_xll.AblebitsUDF.AblebitsSpellNumber(L137,"None",1,1,FALSE)</f>
        <v>#NAME?</v>
      </c>
      <c r="T137" s="46"/>
      <c r="U137" s="47"/>
      <c r="V137" s="47"/>
      <c r="W137" s="47"/>
    </row>
    <row r="138" spans="1:25" ht="38.25" x14ac:dyDescent="0.25">
      <c r="A138" s="28" t="s">
        <v>415</v>
      </c>
      <c r="B138" s="16">
        <v>152</v>
      </c>
      <c r="C138" s="21" t="s">
        <v>227</v>
      </c>
      <c r="D138" s="21" t="s">
        <v>228</v>
      </c>
      <c r="E138" s="21" t="s">
        <v>416</v>
      </c>
      <c r="F138" s="21" t="s">
        <v>417</v>
      </c>
      <c r="G138" s="23">
        <v>45849</v>
      </c>
      <c r="H138" s="23">
        <v>45881</v>
      </c>
      <c r="I138" s="32">
        <v>400000</v>
      </c>
      <c r="J138" s="32">
        <v>187493</v>
      </c>
      <c r="K138" s="23">
        <v>45789</v>
      </c>
      <c r="L138" s="32">
        <v>12000</v>
      </c>
      <c r="M138" s="21" t="s">
        <v>42</v>
      </c>
      <c r="N138" s="45"/>
      <c r="O138" s="21" t="s">
        <v>418</v>
      </c>
      <c r="P138" s="28" t="s">
        <v>8</v>
      </c>
      <c r="Q138" s="28" t="s">
        <v>419</v>
      </c>
      <c r="R138" s="28" t="s">
        <v>420</v>
      </c>
      <c r="S138" s="18" t="e">
        <f ca="1">_xll.AblebitsUDF.AblebitsSpellNumber(L138,"None",1,1,FALSE)</f>
        <v>#NAME?</v>
      </c>
      <c r="T138" s="46"/>
      <c r="U138" s="47"/>
      <c r="V138" s="47"/>
      <c r="W138" s="47"/>
    </row>
    <row r="139" spans="1:25" ht="63.75" x14ac:dyDescent="0.25">
      <c r="A139" s="28" t="s">
        <v>421</v>
      </c>
      <c r="B139" s="16">
        <v>153</v>
      </c>
      <c r="C139" s="21" t="s">
        <v>382</v>
      </c>
      <c r="D139" s="21" t="s">
        <v>383</v>
      </c>
      <c r="E139" s="21" t="s">
        <v>422</v>
      </c>
      <c r="F139" s="21" t="s">
        <v>423</v>
      </c>
      <c r="G139" s="23">
        <v>45941</v>
      </c>
      <c r="H139" s="23" t="s">
        <v>419</v>
      </c>
      <c r="I139" s="32">
        <v>80000</v>
      </c>
      <c r="J139" s="21">
        <v>597</v>
      </c>
      <c r="K139" s="23">
        <v>45820</v>
      </c>
      <c r="L139" s="32">
        <v>2400</v>
      </c>
      <c r="M139" s="21" t="s">
        <v>359</v>
      </c>
      <c r="N139" s="21" t="s">
        <v>6</v>
      </c>
      <c r="O139" s="21" t="s">
        <v>424</v>
      </c>
      <c r="P139" s="55" t="s">
        <v>8</v>
      </c>
      <c r="Q139" s="55"/>
      <c r="R139" s="55"/>
      <c r="S139" s="18" t="e">
        <f ca="1">_xll.AblebitsUDF.AblebitsSpellNumber(L139,"None",1,1,FALSE)</f>
        <v>#NAME?</v>
      </c>
      <c r="T139" s="46"/>
      <c r="U139" s="47"/>
      <c r="V139" s="47"/>
      <c r="W139" s="47"/>
    </row>
    <row r="140" spans="1:25" ht="63.75" x14ac:dyDescent="0.25">
      <c r="A140" s="28" t="s">
        <v>425</v>
      </c>
      <c r="B140" s="16">
        <v>154</v>
      </c>
      <c r="C140" s="21" t="s">
        <v>382</v>
      </c>
      <c r="D140" s="21" t="s">
        <v>383</v>
      </c>
      <c r="E140" s="21" t="s">
        <v>426</v>
      </c>
      <c r="F140" s="21" t="s">
        <v>427</v>
      </c>
      <c r="G140" s="23">
        <v>45941</v>
      </c>
      <c r="H140" s="23" t="s">
        <v>419</v>
      </c>
      <c r="I140" s="32">
        <v>80000</v>
      </c>
      <c r="J140" s="21">
        <v>598</v>
      </c>
      <c r="K140" s="23">
        <v>45820</v>
      </c>
      <c r="L140" s="32">
        <v>2400</v>
      </c>
      <c r="M140" s="21" t="s">
        <v>359</v>
      </c>
      <c r="N140" s="21" t="s">
        <v>6</v>
      </c>
      <c r="O140" s="21" t="s">
        <v>424</v>
      </c>
      <c r="P140" s="55" t="s">
        <v>8</v>
      </c>
      <c r="Q140" s="55"/>
      <c r="R140" s="55"/>
      <c r="S140" s="18" t="e">
        <f ca="1">_xll.AblebitsUDF.AblebitsSpellNumber(L140,"None",1,1,FALSE)</f>
        <v>#NAME?</v>
      </c>
      <c r="T140" s="46"/>
      <c r="U140" s="47"/>
      <c r="V140" s="47"/>
      <c r="W140" s="47"/>
    </row>
    <row r="141" spans="1:25" s="8" customFormat="1" ht="38.25" x14ac:dyDescent="0.25">
      <c r="A141" s="70">
        <v>46056.669479166667</v>
      </c>
      <c r="B141" s="16">
        <v>155</v>
      </c>
      <c r="C141" s="21" t="s">
        <v>382</v>
      </c>
      <c r="D141" s="21" t="s">
        <v>383</v>
      </c>
      <c r="E141" s="21" t="s">
        <v>428</v>
      </c>
      <c r="F141" s="21" t="s">
        <v>385</v>
      </c>
      <c r="G141" s="32" t="s">
        <v>386</v>
      </c>
      <c r="H141" s="23" t="s">
        <v>387</v>
      </c>
      <c r="I141" s="32">
        <v>360000</v>
      </c>
      <c r="J141" s="32">
        <v>552203</v>
      </c>
      <c r="K141" s="32" t="s">
        <v>429</v>
      </c>
      <c r="L141" s="32">
        <v>10100</v>
      </c>
      <c r="M141" s="21" t="s">
        <v>359</v>
      </c>
      <c r="N141" s="21" t="s">
        <v>430</v>
      </c>
      <c r="O141" s="21" t="s">
        <v>431</v>
      </c>
      <c r="P141" s="28" t="s">
        <v>262</v>
      </c>
      <c r="Q141" s="29">
        <v>46056</v>
      </c>
      <c r="R141" s="68"/>
      <c r="S141" s="18" t="e">
        <f ca="1">_xll.AblebitsUDF.AblebitsSpellNumber(L141,"None",1,1,FALSE)</f>
        <v>#NAME?</v>
      </c>
      <c r="T141" s="45"/>
      <c r="U141" s="54"/>
      <c r="V141" s="54"/>
      <c r="W141" s="54"/>
      <c r="X141" s="54"/>
      <c r="Y141" s="54"/>
    </row>
    <row r="142" spans="1:25" ht="38.25" x14ac:dyDescent="0.25">
      <c r="A142" s="70">
        <v>46084.673645833333</v>
      </c>
      <c r="B142" s="16">
        <v>156</v>
      </c>
      <c r="C142" s="21" t="s">
        <v>375</v>
      </c>
      <c r="D142" s="21" t="s">
        <v>376</v>
      </c>
      <c r="E142" s="21" t="s">
        <v>432</v>
      </c>
      <c r="F142" s="21" t="s">
        <v>433</v>
      </c>
      <c r="G142" s="23">
        <v>45725</v>
      </c>
      <c r="H142" s="23" t="s">
        <v>379</v>
      </c>
      <c r="I142" s="32">
        <v>45000</v>
      </c>
      <c r="J142" s="21">
        <v>5680100000889</v>
      </c>
      <c r="K142" s="32" t="s">
        <v>434</v>
      </c>
      <c r="L142" s="32">
        <v>9500</v>
      </c>
      <c r="M142" s="21" t="s">
        <v>359</v>
      </c>
      <c r="N142" s="21" t="s">
        <v>435</v>
      </c>
      <c r="O142" s="21" t="s">
        <v>436</v>
      </c>
      <c r="P142" s="28" t="s">
        <v>262</v>
      </c>
      <c r="Q142" s="28" t="s">
        <v>437</v>
      </c>
      <c r="R142" s="68"/>
      <c r="S142" s="18" t="e">
        <f ca="1">_xll.AblebitsUDF.AblebitsSpellNumber(L142,"None",1,1,FALSE)</f>
        <v>#NAME?</v>
      </c>
      <c r="T142" s="45"/>
      <c r="U142" s="47"/>
      <c r="V142" s="47"/>
      <c r="W142" s="47"/>
      <c r="X142" s="47"/>
      <c r="Y142" s="47"/>
    </row>
    <row r="143" spans="1:25" ht="38.25" x14ac:dyDescent="0.25">
      <c r="A143" s="70">
        <v>46084.694224537037</v>
      </c>
      <c r="B143" s="16">
        <v>157</v>
      </c>
      <c r="C143" s="21" t="s">
        <v>375</v>
      </c>
      <c r="D143" s="21" t="s">
        <v>376</v>
      </c>
      <c r="E143" s="21" t="s">
        <v>406</v>
      </c>
      <c r="F143" s="21" t="s">
        <v>433</v>
      </c>
      <c r="G143" s="23">
        <v>45725</v>
      </c>
      <c r="H143" s="23" t="s">
        <v>438</v>
      </c>
      <c r="I143" s="32">
        <v>30000</v>
      </c>
      <c r="J143" s="32">
        <v>40884</v>
      </c>
      <c r="K143" s="23">
        <v>46267</v>
      </c>
      <c r="L143" s="32">
        <v>3825</v>
      </c>
      <c r="M143" s="21" t="s">
        <v>359</v>
      </c>
      <c r="N143" s="21" t="s">
        <v>439</v>
      </c>
      <c r="O143" s="21" t="s">
        <v>440</v>
      </c>
      <c r="P143" s="28" t="s">
        <v>262</v>
      </c>
      <c r="Q143" s="28" t="s">
        <v>437</v>
      </c>
      <c r="R143" s="68"/>
      <c r="S143" s="18" t="e">
        <f ca="1">_xll.AblebitsUDF.AblebitsSpellNumber(L143,"None",1,1,FALSE)</f>
        <v>#NAME?</v>
      </c>
      <c r="T143" s="45"/>
      <c r="U143" s="47"/>
      <c r="V143" s="47"/>
      <c r="W143" s="47"/>
      <c r="X143" s="47"/>
      <c r="Y143" s="47"/>
    </row>
    <row r="144" spans="1:25" ht="51" x14ac:dyDescent="0.25">
      <c r="A144" s="70">
        <v>46056.71671296296</v>
      </c>
      <c r="B144" s="55">
        <v>158</v>
      </c>
      <c r="C144" s="21" t="s">
        <v>375</v>
      </c>
      <c r="D144" s="21" t="s">
        <v>376</v>
      </c>
      <c r="E144" s="21" t="s">
        <v>441</v>
      </c>
      <c r="F144" s="21" t="s">
        <v>378</v>
      </c>
      <c r="G144" s="23">
        <v>45725</v>
      </c>
      <c r="H144" s="23" t="s">
        <v>379</v>
      </c>
      <c r="I144" s="32">
        <v>17500</v>
      </c>
      <c r="J144" s="21">
        <v>4618</v>
      </c>
      <c r="K144" s="32" t="s">
        <v>442</v>
      </c>
      <c r="L144" s="32">
        <v>4201</v>
      </c>
      <c r="M144" s="21" t="s">
        <v>359</v>
      </c>
      <c r="N144" s="21" t="s">
        <v>6</v>
      </c>
      <c r="O144" s="21" t="s">
        <v>444</v>
      </c>
      <c r="P144" s="28" t="s">
        <v>262</v>
      </c>
      <c r="Q144" s="28" t="s">
        <v>443</v>
      </c>
      <c r="R144" s="55"/>
      <c r="S144" s="18" t="e">
        <f ca="1">_xll.AblebitsUDF.AblebitsSpellNumber(L144,"None",1,1,FALSE)</f>
        <v>#NAME?</v>
      </c>
      <c r="T144" s="46"/>
      <c r="U144" s="47"/>
      <c r="V144" s="47"/>
      <c r="W144" s="47"/>
      <c r="X144" s="47"/>
    </row>
    <row r="145" spans="1:24" ht="38.25" x14ac:dyDescent="0.25">
      <c r="A145" s="28" t="s">
        <v>445</v>
      </c>
      <c r="B145" s="55">
        <v>159</v>
      </c>
      <c r="C145" s="21" t="s">
        <v>382</v>
      </c>
      <c r="D145" s="21" t="s">
        <v>383</v>
      </c>
      <c r="E145" s="21" t="s">
        <v>446</v>
      </c>
      <c r="F145" s="21" t="s">
        <v>385</v>
      </c>
      <c r="G145" s="32" t="s">
        <v>386</v>
      </c>
      <c r="H145" s="23" t="s">
        <v>387</v>
      </c>
      <c r="I145" s="32">
        <v>360000</v>
      </c>
      <c r="J145" s="32">
        <v>502048</v>
      </c>
      <c r="K145" s="23">
        <v>45757</v>
      </c>
      <c r="L145" s="32">
        <v>10800</v>
      </c>
      <c r="M145" s="21" t="s">
        <v>359</v>
      </c>
      <c r="N145" s="21" t="s">
        <v>430</v>
      </c>
      <c r="O145" s="21" t="s">
        <v>447</v>
      </c>
      <c r="P145" s="28" t="s">
        <v>8</v>
      </c>
      <c r="Q145" s="55"/>
      <c r="R145" s="55"/>
      <c r="S145" s="18" t="e">
        <f ca="1">_xll.AblebitsUDF.AblebitsSpellNumber(L145,"None",1,1,FALSE)</f>
        <v>#NAME?</v>
      </c>
      <c r="T145" s="46"/>
      <c r="U145" s="47"/>
      <c r="V145" s="47"/>
      <c r="W145" s="47"/>
      <c r="X145" s="47"/>
    </row>
    <row r="146" spans="1:24" ht="51" x14ac:dyDescent="0.25">
      <c r="A146" s="28" t="s">
        <v>448</v>
      </c>
      <c r="B146" s="55">
        <v>160</v>
      </c>
      <c r="C146" s="21" t="s">
        <v>382</v>
      </c>
      <c r="D146" s="21" t="s">
        <v>34</v>
      </c>
      <c r="E146" s="21" t="s">
        <v>449</v>
      </c>
      <c r="F146" s="32">
        <v>28306</v>
      </c>
      <c r="G146" s="23">
        <v>45942</v>
      </c>
      <c r="H146" s="23" t="s">
        <v>450</v>
      </c>
      <c r="I146" s="32">
        <v>1440000</v>
      </c>
      <c r="J146" s="21" t="s">
        <v>451</v>
      </c>
      <c r="K146" s="32" t="s">
        <v>452</v>
      </c>
      <c r="L146" s="32">
        <v>43200</v>
      </c>
      <c r="M146" s="21" t="s">
        <v>359</v>
      </c>
      <c r="N146" s="21" t="s">
        <v>6</v>
      </c>
      <c r="O146" s="21" t="s">
        <v>453</v>
      </c>
      <c r="P146" s="28" t="s">
        <v>8</v>
      </c>
      <c r="Q146" s="55"/>
      <c r="R146" s="55"/>
      <c r="S146" s="18" t="e">
        <f ca="1">_xll.AblebitsUDF.AblebitsSpellNumber(L146,"None",1,1,FALSE)</f>
        <v>#NAME?</v>
      </c>
      <c r="T146" s="46"/>
      <c r="U146" s="47"/>
      <c r="V146" s="47"/>
      <c r="W146" s="47"/>
      <c r="X146" s="47"/>
    </row>
    <row r="147" spans="1:24" ht="38.25" x14ac:dyDescent="0.25">
      <c r="A147" s="28" t="s">
        <v>454</v>
      </c>
      <c r="B147" s="55">
        <v>161</v>
      </c>
      <c r="C147" s="21" t="s">
        <v>382</v>
      </c>
      <c r="D147" s="21" t="s">
        <v>34</v>
      </c>
      <c r="E147" s="21" t="s">
        <v>455</v>
      </c>
      <c r="F147" s="21" t="s">
        <v>456</v>
      </c>
      <c r="G147" s="23">
        <v>45942</v>
      </c>
      <c r="H147" s="23" t="s">
        <v>450</v>
      </c>
      <c r="I147" s="32">
        <v>1440000</v>
      </c>
      <c r="J147" s="21">
        <v>859</v>
      </c>
      <c r="K147" s="32" t="s">
        <v>457</v>
      </c>
      <c r="L147" s="32">
        <v>43200</v>
      </c>
      <c r="M147" s="21" t="s">
        <v>359</v>
      </c>
      <c r="N147" s="21" t="s">
        <v>458</v>
      </c>
      <c r="O147" s="21" t="s">
        <v>459</v>
      </c>
      <c r="P147" s="28" t="s">
        <v>8</v>
      </c>
      <c r="Q147" s="55"/>
      <c r="R147" s="55"/>
      <c r="S147" s="18" t="e">
        <f ca="1">_xll.AblebitsUDF.AblebitsSpellNumber(L147,"None",1,1,FALSE)</f>
        <v>#NAME?</v>
      </c>
      <c r="T147" s="46"/>
      <c r="U147" s="47"/>
      <c r="V147" s="47"/>
      <c r="W147" s="47"/>
      <c r="X147" s="47"/>
    </row>
    <row r="148" spans="1:24" ht="51" x14ac:dyDescent="0.25">
      <c r="A148" s="28" t="s">
        <v>460</v>
      </c>
      <c r="B148" s="55">
        <v>162</v>
      </c>
      <c r="C148" s="21" t="s">
        <v>461</v>
      </c>
      <c r="D148" s="21" t="s">
        <v>462</v>
      </c>
      <c r="E148" s="21" t="s">
        <v>463</v>
      </c>
      <c r="F148" s="21" t="s">
        <v>464</v>
      </c>
      <c r="G148" s="32" t="s">
        <v>344</v>
      </c>
      <c r="H148" s="23" t="s">
        <v>465</v>
      </c>
      <c r="I148" s="32">
        <v>225000</v>
      </c>
      <c r="J148" s="21">
        <v>407</v>
      </c>
      <c r="K148" s="23">
        <v>46001</v>
      </c>
      <c r="L148" s="32">
        <v>6750</v>
      </c>
      <c r="M148" s="21" t="s">
        <v>359</v>
      </c>
      <c r="N148" s="21" t="s">
        <v>6</v>
      </c>
      <c r="O148" s="21" t="s">
        <v>466</v>
      </c>
      <c r="P148" s="28" t="s">
        <v>8</v>
      </c>
      <c r="Q148" s="29">
        <v>46003</v>
      </c>
      <c r="R148" s="55"/>
      <c r="S148" s="18" t="e">
        <f ca="1">_xll.AblebitsUDF.AblebitsSpellNumber(L148,"None",1,1,FALSE)</f>
        <v>#NAME?</v>
      </c>
      <c r="T148" s="46"/>
      <c r="U148" s="47"/>
      <c r="V148" s="47"/>
      <c r="W148" s="47"/>
      <c r="X148" s="47"/>
    </row>
    <row r="149" spans="1:24" ht="38.25" x14ac:dyDescent="0.25">
      <c r="A149" s="28" t="s">
        <v>467</v>
      </c>
      <c r="B149" s="55">
        <v>163</v>
      </c>
      <c r="C149" s="21" t="s">
        <v>468</v>
      </c>
      <c r="D149" s="21" t="s">
        <v>469</v>
      </c>
      <c r="E149" s="21" t="s">
        <v>470</v>
      </c>
      <c r="F149" s="21" t="s">
        <v>471</v>
      </c>
      <c r="G149" s="32" t="s">
        <v>366</v>
      </c>
      <c r="H149" s="23">
        <v>45880</v>
      </c>
      <c r="I149" s="32">
        <v>250000</v>
      </c>
      <c r="J149" s="32">
        <v>492596</v>
      </c>
      <c r="K149" s="23">
        <v>45964</v>
      </c>
      <c r="L149" s="32">
        <v>7500</v>
      </c>
      <c r="M149" s="21" t="s">
        <v>42</v>
      </c>
      <c r="N149" s="45"/>
      <c r="O149" s="21" t="s">
        <v>472</v>
      </c>
      <c r="P149" s="28" t="s">
        <v>8</v>
      </c>
      <c r="Q149" s="55"/>
      <c r="R149" s="55"/>
      <c r="S149" s="18" t="e">
        <f ca="1">_xll.AblebitsUDF.AblebitsSpellNumber(L149,"None",1,1,FALSE)</f>
        <v>#NAME?</v>
      </c>
      <c r="T149" s="46"/>
      <c r="U149" s="47"/>
      <c r="V149" s="47"/>
      <c r="W149" s="47"/>
      <c r="X149" s="47"/>
    </row>
    <row r="150" spans="1:24" ht="51" x14ac:dyDescent="0.25">
      <c r="A150" s="28" t="s">
        <v>473</v>
      </c>
      <c r="B150" s="55">
        <v>164</v>
      </c>
      <c r="C150" s="21" t="s">
        <v>474</v>
      </c>
      <c r="D150" s="21" t="s">
        <v>72</v>
      </c>
      <c r="E150" s="21" t="s">
        <v>475</v>
      </c>
      <c r="F150" s="21" t="s">
        <v>476</v>
      </c>
      <c r="G150" s="23">
        <v>45997</v>
      </c>
      <c r="H150" s="23">
        <v>46018</v>
      </c>
      <c r="I150" s="32">
        <v>2000000</v>
      </c>
      <c r="J150" s="56" t="s">
        <v>478</v>
      </c>
      <c r="K150" s="23">
        <v>46021</v>
      </c>
      <c r="L150" s="32">
        <v>60000</v>
      </c>
      <c r="M150" s="21" t="s">
        <v>359</v>
      </c>
      <c r="N150" s="21" t="s">
        <v>76</v>
      </c>
      <c r="O150" s="21" t="s">
        <v>477</v>
      </c>
      <c r="P150" s="28" t="s">
        <v>8</v>
      </c>
      <c r="Q150" s="29">
        <v>46023</v>
      </c>
      <c r="R150" s="55"/>
      <c r="S150" s="18" t="e">
        <f ca="1">_xll.AblebitsUDF.AblebitsSpellNumber(L150,"None",1,1,FALSE)</f>
        <v>#NAME?</v>
      </c>
      <c r="T150" s="46"/>
      <c r="U150" s="47"/>
      <c r="V150" s="47"/>
      <c r="W150" s="47"/>
      <c r="X150" s="47"/>
    </row>
    <row r="151" spans="1:24" ht="38.25" x14ac:dyDescent="0.25">
      <c r="A151" s="70">
        <v>46026.618020833332</v>
      </c>
      <c r="B151" s="55">
        <v>165</v>
      </c>
      <c r="C151" s="21" t="s">
        <v>18</v>
      </c>
      <c r="D151" s="21" t="s">
        <v>19</v>
      </c>
      <c r="E151" s="21" t="s">
        <v>479</v>
      </c>
      <c r="F151" s="21" t="s">
        <v>480</v>
      </c>
      <c r="G151" s="32" t="s">
        <v>481</v>
      </c>
      <c r="H151" s="23" t="s">
        <v>482</v>
      </c>
      <c r="I151" s="32">
        <v>620000</v>
      </c>
      <c r="J151" s="21">
        <v>4578</v>
      </c>
      <c r="K151" s="23">
        <v>45728</v>
      </c>
      <c r="L151" s="32">
        <v>18600</v>
      </c>
      <c r="M151" s="21" t="s">
        <v>359</v>
      </c>
      <c r="N151" s="21" t="s">
        <v>121</v>
      </c>
      <c r="O151" s="21" t="s">
        <v>483</v>
      </c>
      <c r="P151" s="28" t="s">
        <v>8</v>
      </c>
      <c r="Q151" s="29">
        <v>45881</v>
      </c>
      <c r="R151" s="55"/>
      <c r="S151" s="18" t="e">
        <f ca="1">_xll.AblebitsUDF.AblebitsSpellNumber(L151,"None",1,1,FALSE)</f>
        <v>#NAME?</v>
      </c>
      <c r="T151" s="46"/>
      <c r="U151" s="47"/>
      <c r="V151" s="47"/>
      <c r="W151" s="47"/>
      <c r="X151" s="47"/>
    </row>
    <row r="152" spans="1:24" ht="76.5" x14ac:dyDescent="0.25">
      <c r="A152" s="70">
        <v>46026.61991898148</v>
      </c>
      <c r="B152" s="55">
        <v>166</v>
      </c>
      <c r="C152" s="21" t="s">
        <v>18</v>
      </c>
      <c r="D152" s="21" t="s">
        <v>19</v>
      </c>
      <c r="E152" s="21" t="s">
        <v>479</v>
      </c>
      <c r="F152" s="21" t="s">
        <v>480</v>
      </c>
      <c r="G152" s="32" t="s">
        <v>481</v>
      </c>
      <c r="H152" s="23" t="s">
        <v>482</v>
      </c>
      <c r="I152" s="32">
        <v>620000</v>
      </c>
      <c r="J152" s="32">
        <v>719395</v>
      </c>
      <c r="K152" s="23">
        <v>45728</v>
      </c>
      <c r="L152" s="32">
        <v>18600</v>
      </c>
      <c r="M152" s="21" t="s">
        <v>484</v>
      </c>
      <c r="N152" s="45"/>
      <c r="O152" s="21" t="s">
        <v>485</v>
      </c>
      <c r="P152" s="28" t="s">
        <v>8</v>
      </c>
      <c r="Q152" s="29">
        <v>45881</v>
      </c>
      <c r="R152" s="55"/>
      <c r="S152" s="18" t="e">
        <f ca="1">_xll.AblebitsUDF.AblebitsSpellNumber(L152,"None",1,1,FALSE)</f>
        <v>#NAME?</v>
      </c>
      <c r="T152" s="46"/>
      <c r="U152" s="47"/>
      <c r="V152" s="47"/>
      <c r="W152" s="47"/>
      <c r="X152" s="47"/>
    </row>
    <row r="153" spans="1:24" ht="51" x14ac:dyDescent="0.25">
      <c r="A153" s="70">
        <v>46026.621111111112</v>
      </c>
      <c r="B153" s="55">
        <v>167</v>
      </c>
      <c r="C153" s="21" t="s">
        <v>18</v>
      </c>
      <c r="D153" s="21" t="s">
        <v>19</v>
      </c>
      <c r="E153" s="21" t="s">
        <v>479</v>
      </c>
      <c r="F153" s="21" t="s">
        <v>480</v>
      </c>
      <c r="G153" s="32" t="s">
        <v>481</v>
      </c>
      <c r="H153" s="23" t="s">
        <v>482</v>
      </c>
      <c r="I153" s="32">
        <v>620000</v>
      </c>
      <c r="J153" s="32">
        <v>154052</v>
      </c>
      <c r="K153" s="23">
        <v>45700</v>
      </c>
      <c r="L153" s="32">
        <v>18600</v>
      </c>
      <c r="M153" s="21" t="s">
        <v>79</v>
      </c>
      <c r="N153" s="45"/>
      <c r="O153" s="21" t="s">
        <v>32</v>
      </c>
      <c r="P153" s="28" t="s">
        <v>8</v>
      </c>
      <c r="Q153" s="29">
        <v>45942</v>
      </c>
      <c r="R153" s="55"/>
      <c r="S153" s="18" t="e">
        <f ca="1">_xll.AblebitsUDF.AblebitsSpellNumber(L153,"None",1,1,FALSE)</f>
        <v>#NAME?</v>
      </c>
      <c r="T153" s="46"/>
      <c r="U153" s="47"/>
      <c r="V153" s="47"/>
      <c r="W153" s="47"/>
      <c r="X153" s="47"/>
    </row>
    <row r="154" spans="1:24" ht="38.25" x14ac:dyDescent="0.25">
      <c r="A154" s="70">
        <v>46026.622812499998</v>
      </c>
      <c r="B154" s="55">
        <v>168</v>
      </c>
      <c r="C154" s="21" t="s">
        <v>18</v>
      </c>
      <c r="D154" s="21" t="s">
        <v>19</v>
      </c>
      <c r="E154" s="21" t="s">
        <v>486</v>
      </c>
      <c r="F154" s="21" t="s">
        <v>480</v>
      </c>
      <c r="G154" s="32" t="s">
        <v>481</v>
      </c>
      <c r="H154" s="23" t="s">
        <v>482</v>
      </c>
      <c r="I154" s="32">
        <v>590000</v>
      </c>
      <c r="J154" s="21">
        <v>4577</v>
      </c>
      <c r="K154" s="23">
        <v>45728</v>
      </c>
      <c r="L154" s="32">
        <v>17700</v>
      </c>
      <c r="M154" s="21" t="s">
        <v>359</v>
      </c>
      <c r="N154" s="21" t="s">
        <v>121</v>
      </c>
      <c r="O154" s="21" t="s">
        <v>483</v>
      </c>
      <c r="P154" s="28" t="s">
        <v>8</v>
      </c>
      <c r="Q154" s="29">
        <v>45881</v>
      </c>
      <c r="R154" s="55"/>
      <c r="S154" s="18" t="e">
        <f ca="1">_xll.AblebitsUDF.AblebitsSpellNumber(L154,"None",1,1,FALSE)</f>
        <v>#NAME?</v>
      </c>
      <c r="T154" s="46"/>
      <c r="U154" s="47"/>
      <c r="V154" s="47"/>
      <c r="W154" s="47"/>
      <c r="X154" s="47"/>
    </row>
    <row r="155" spans="1:24" ht="76.5" x14ac:dyDescent="0.25">
      <c r="A155" s="70">
        <v>46026.624293981484</v>
      </c>
      <c r="B155" s="55">
        <v>169</v>
      </c>
      <c r="C155" s="21" t="s">
        <v>18</v>
      </c>
      <c r="D155" s="21" t="s">
        <v>19</v>
      </c>
      <c r="E155" s="21" t="s">
        <v>486</v>
      </c>
      <c r="F155" s="21" t="s">
        <v>480</v>
      </c>
      <c r="G155" s="32" t="s">
        <v>481</v>
      </c>
      <c r="H155" s="23" t="s">
        <v>482</v>
      </c>
      <c r="I155" s="32">
        <v>590000</v>
      </c>
      <c r="J155" s="32">
        <v>719394</v>
      </c>
      <c r="K155" s="23">
        <v>45728</v>
      </c>
      <c r="L155" s="32">
        <v>17700</v>
      </c>
      <c r="M155" s="21" t="s">
        <v>484</v>
      </c>
      <c r="N155" s="45"/>
      <c r="O155" s="21" t="s">
        <v>485</v>
      </c>
      <c r="P155" s="28" t="s">
        <v>8</v>
      </c>
      <c r="Q155" s="29">
        <v>45881</v>
      </c>
      <c r="R155" s="55"/>
      <c r="S155" s="18" t="e">
        <f ca="1">_xll.AblebitsUDF.AblebitsSpellNumber(L155,"None",1,1,FALSE)</f>
        <v>#NAME?</v>
      </c>
      <c r="T155" s="46"/>
      <c r="U155" s="47"/>
      <c r="V155" s="47"/>
      <c r="W155" s="47"/>
      <c r="X155" s="47"/>
    </row>
    <row r="156" spans="1:24" ht="51" x14ac:dyDescent="0.25">
      <c r="A156" s="70">
        <v>46026.625752314816</v>
      </c>
      <c r="B156" s="55">
        <v>170</v>
      </c>
      <c r="C156" s="21" t="s">
        <v>18</v>
      </c>
      <c r="D156" s="21" t="s">
        <v>19</v>
      </c>
      <c r="E156" s="21" t="s">
        <v>486</v>
      </c>
      <c r="F156" s="21" t="s">
        <v>480</v>
      </c>
      <c r="G156" s="32" t="s">
        <v>481</v>
      </c>
      <c r="H156" s="23" t="s">
        <v>482</v>
      </c>
      <c r="I156" s="32">
        <v>590000</v>
      </c>
      <c r="J156" s="32">
        <v>154051</v>
      </c>
      <c r="K156" s="23">
        <v>45700</v>
      </c>
      <c r="L156" s="32">
        <v>17700</v>
      </c>
      <c r="M156" s="21" t="s">
        <v>79</v>
      </c>
      <c r="N156" s="45"/>
      <c r="O156" s="21" t="s">
        <v>32</v>
      </c>
      <c r="P156" s="28" t="s">
        <v>8</v>
      </c>
      <c r="Q156" s="29">
        <v>45942</v>
      </c>
      <c r="R156" s="55"/>
      <c r="S156" s="18" t="e">
        <f ca="1">_xll.AblebitsUDF.AblebitsSpellNumber(L156,"None",1,1,FALSE)</f>
        <v>#NAME?</v>
      </c>
      <c r="T156" s="46"/>
      <c r="U156" s="47"/>
      <c r="V156" s="47"/>
      <c r="W156" s="47"/>
      <c r="X156" s="47"/>
    </row>
    <row r="157" spans="1:24" ht="38.25" x14ac:dyDescent="0.25">
      <c r="A157" s="70">
        <v>46026.627141203702</v>
      </c>
      <c r="B157" s="55">
        <v>171</v>
      </c>
      <c r="C157" s="21" t="s">
        <v>18</v>
      </c>
      <c r="D157" s="21" t="s">
        <v>19</v>
      </c>
      <c r="E157" s="21" t="s">
        <v>487</v>
      </c>
      <c r="F157" s="21" t="s">
        <v>480</v>
      </c>
      <c r="G157" s="32" t="s">
        <v>481</v>
      </c>
      <c r="H157" s="23" t="s">
        <v>482</v>
      </c>
      <c r="I157" s="32">
        <v>1400000</v>
      </c>
      <c r="J157" s="21">
        <v>4576</v>
      </c>
      <c r="K157" s="23">
        <v>45728</v>
      </c>
      <c r="L157" s="32">
        <v>42000</v>
      </c>
      <c r="M157" s="21" t="s">
        <v>359</v>
      </c>
      <c r="N157" s="21" t="s">
        <v>121</v>
      </c>
      <c r="O157" s="21" t="s">
        <v>483</v>
      </c>
      <c r="P157" s="28" t="s">
        <v>8</v>
      </c>
      <c r="Q157" s="29">
        <v>45881</v>
      </c>
      <c r="R157" s="55"/>
      <c r="S157" s="18" t="e">
        <f ca="1">_xll.AblebitsUDF.AblebitsSpellNumber(L157,"None",1,1,FALSE)</f>
        <v>#NAME?</v>
      </c>
      <c r="T157" s="46"/>
      <c r="U157" s="47"/>
      <c r="V157" s="47"/>
      <c r="W157" s="47"/>
      <c r="X157" s="47"/>
    </row>
    <row r="158" spans="1:24" ht="89.25" x14ac:dyDescent="0.25">
      <c r="A158" s="70">
        <v>46026.628252314818</v>
      </c>
      <c r="B158" s="55">
        <v>172</v>
      </c>
      <c r="C158" s="21" t="s">
        <v>18</v>
      </c>
      <c r="D158" s="21" t="s">
        <v>19</v>
      </c>
      <c r="E158" s="21" t="s">
        <v>487</v>
      </c>
      <c r="F158" s="21" t="s">
        <v>480</v>
      </c>
      <c r="G158" s="32" t="s">
        <v>481</v>
      </c>
      <c r="H158" s="23" t="s">
        <v>482</v>
      </c>
      <c r="I158" s="32">
        <v>1400000</v>
      </c>
      <c r="J158" s="32">
        <v>719398</v>
      </c>
      <c r="K158" s="23">
        <v>45728</v>
      </c>
      <c r="L158" s="32">
        <v>42000</v>
      </c>
      <c r="M158" s="21" t="s">
        <v>484</v>
      </c>
      <c r="N158" s="45"/>
      <c r="O158" s="21" t="s">
        <v>488</v>
      </c>
      <c r="P158" s="28" t="s">
        <v>8</v>
      </c>
      <c r="Q158" s="29">
        <v>45881</v>
      </c>
      <c r="R158" s="55"/>
      <c r="S158" s="18" t="e">
        <f ca="1">_xll.AblebitsUDF.AblebitsSpellNumber(L158,"None",1,1,FALSE)</f>
        <v>#NAME?</v>
      </c>
      <c r="T158" s="46"/>
      <c r="U158" s="47"/>
      <c r="V158" s="47"/>
      <c r="W158" s="47"/>
      <c r="X158" s="47"/>
    </row>
    <row r="159" spans="1:24" ht="51" x14ac:dyDescent="0.25">
      <c r="A159" s="70">
        <v>46026.629432870373</v>
      </c>
      <c r="B159" s="55">
        <v>173</v>
      </c>
      <c r="C159" s="21" t="s">
        <v>18</v>
      </c>
      <c r="D159" s="21" t="s">
        <v>19</v>
      </c>
      <c r="E159" s="21" t="s">
        <v>487</v>
      </c>
      <c r="F159" s="21" t="s">
        <v>480</v>
      </c>
      <c r="G159" s="32" t="s">
        <v>481</v>
      </c>
      <c r="H159" s="23" t="s">
        <v>482</v>
      </c>
      <c r="I159" s="32">
        <v>1400000</v>
      </c>
      <c r="J159" s="32">
        <v>154054</v>
      </c>
      <c r="K159" s="23">
        <v>45700</v>
      </c>
      <c r="L159" s="32">
        <v>42000</v>
      </c>
      <c r="M159" s="21" t="s">
        <v>79</v>
      </c>
      <c r="N159" s="45"/>
      <c r="O159" s="21" t="s">
        <v>32</v>
      </c>
      <c r="P159" s="28" t="s">
        <v>8</v>
      </c>
      <c r="Q159" s="29">
        <v>45942</v>
      </c>
      <c r="R159" s="55"/>
      <c r="S159" s="18" t="e">
        <f ca="1">_xll.AblebitsUDF.AblebitsSpellNumber(L159,"None",1,1,FALSE)</f>
        <v>#NAME?</v>
      </c>
      <c r="T159" s="46"/>
      <c r="U159" s="47"/>
      <c r="V159" s="47"/>
      <c r="W159" s="47"/>
      <c r="X159" s="47"/>
    </row>
    <row r="160" spans="1:24" ht="38.25" x14ac:dyDescent="0.25">
      <c r="A160" s="70">
        <v>46026.630787037036</v>
      </c>
      <c r="B160" s="55">
        <v>174</v>
      </c>
      <c r="C160" s="21" t="s">
        <v>18</v>
      </c>
      <c r="D160" s="21" t="s">
        <v>19</v>
      </c>
      <c r="E160" s="21" t="s">
        <v>489</v>
      </c>
      <c r="F160" s="21" t="s">
        <v>480</v>
      </c>
      <c r="G160" s="32" t="s">
        <v>481</v>
      </c>
      <c r="H160" s="23">
        <v>45942</v>
      </c>
      <c r="I160" s="32">
        <v>80500</v>
      </c>
      <c r="J160" s="21">
        <v>4575</v>
      </c>
      <c r="K160" s="23">
        <v>45728</v>
      </c>
      <c r="L160" s="32">
        <v>2415</v>
      </c>
      <c r="M160" s="21" t="s">
        <v>359</v>
      </c>
      <c r="N160" s="21" t="s">
        <v>121</v>
      </c>
      <c r="O160" s="21" t="s">
        <v>483</v>
      </c>
      <c r="P160" s="28" t="s">
        <v>8</v>
      </c>
      <c r="Q160" s="29">
        <v>45881</v>
      </c>
      <c r="R160" s="55"/>
      <c r="S160" s="18" t="e">
        <f ca="1">_xll.AblebitsUDF.AblebitsSpellNumber(L160,"None",1,1,FALSE)</f>
        <v>#NAME?</v>
      </c>
      <c r="T160" s="46"/>
      <c r="U160" s="47"/>
      <c r="V160" s="47"/>
      <c r="W160" s="47"/>
      <c r="X160" s="47"/>
    </row>
    <row r="161" spans="1:24" ht="76.5" x14ac:dyDescent="0.25">
      <c r="A161" s="70">
        <v>46026.631851851853</v>
      </c>
      <c r="B161" s="55">
        <v>175</v>
      </c>
      <c r="C161" s="21" t="s">
        <v>18</v>
      </c>
      <c r="D161" s="21" t="s">
        <v>19</v>
      </c>
      <c r="E161" s="21" t="s">
        <v>489</v>
      </c>
      <c r="F161" s="21" t="s">
        <v>480</v>
      </c>
      <c r="G161" s="32" t="s">
        <v>481</v>
      </c>
      <c r="H161" s="23">
        <v>45942</v>
      </c>
      <c r="I161" s="32">
        <v>80500</v>
      </c>
      <c r="J161" s="32">
        <v>719391</v>
      </c>
      <c r="K161" s="23">
        <v>45728</v>
      </c>
      <c r="L161" s="32">
        <v>2415</v>
      </c>
      <c r="M161" s="21" t="s">
        <v>484</v>
      </c>
      <c r="N161" s="45"/>
      <c r="O161" s="21" t="s">
        <v>485</v>
      </c>
      <c r="P161" s="28" t="s">
        <v>8</v>
      </c>
      <c r="Q161" s="29">
        <v>45881</v>
      </c>
      <c r="R161" s="55"/>
      <c r="S161" s="18" t="e">
        <f ca="1">_xll.AblebitsUDF.AblebitsSpellNumber(L161,"None",1,1,FALSE)</f>
        <v>#NAME?</v>
      </c>
      <c r="T161" s="46"/>
      <c r="U161" s="47"/>
      <c r="V161" s="47"/>
      <c r="W161" s="47"/>
      <c r="X161" s="47"/>
    </row>
    <row r="162" spans="1:24" ht="51" x14ac:dyDescent="0.25">
      <c r="A162" s="70">
        <v>46026.6328125</v>
      </c>
      <c r="B162" s="55">
        <v>176</v>
      </c>
      <c r="C162" s="21" t="s">
        <v>18</v>
      </c>
      <c r="D162" s="21" t="s">
        <v>19</v>
      </c>
      <c r="E162" s="21" t="s">
        <v>489</v>
      </c>
      <c r="F162" s="21" t="s">
        <v>480</v>
      </c>
      <c r="G162" s="32" t="s">
        <v>481</v>
      </c>
      <c r="H162" s="23">
        <v>45942</v>
      </c>
      <c r="I162" s="32">
        <v>80500</v>
      </c>
      <c r="J162" s="32">
        <v>154050</v>
      </c>
      <c r="K162" s="23">
        <v>45700</v>
      </c>
      <c r="L162" s="32">
        <v>2415</v>
      </c>
      <c r="M162" s="21" t="s">
        <v>79</v>
      </c>
      <c r="N162" s="45"/>
      <c r="O162" s="21" t="s">
        <v>32</v>
      </c>
      <c r="P162" s="28" t="s">
        <v>8</v>
      </c>
      <c r="Q162" s="29">
        <v>45942</v>
      </c>
      <c r="R162" s="55"/>
      <c r="S162" s="18" t="e">
        <f ca="1">_xll.AblebitsUDF.AblebitsSpellNumber(L162,"None",1,1,FALSE)</f>
        <v>#NAME?</v>
      </c>
      <c r="T162" s="46"/>
      <c r="U162" s="47"/>
      <c r="V162" s="47"/>
      <c r="W162" s="47"/>
      <c r="X162" s="47"/>
    </row>
    <row r="163" spans="1:24" ht="51" x14ac:dyDescent="0.25">
      <c r="A163" s="70">
        <v>46026.637592592589</v>
      </c>
      <c r="B163" s="55">
        <v>177</v>
      </c>
      <c r="C163" s="21" t="s">
        <v>18</v>
      </c>
      <c r="D163" s="21" t="s">
        <v>19</v>
      </c>
      <c r="E163" s="21" t="s">
        <v>490</v>
      </c>
      <c r="F163" s="21" t="s">
        <v>480</v>
      </c>
      <c r="G163" s="32" t="s">
        <v>481</v>
      </c>
      <c r="H163" s="23">
        <v>45942</v>
      </c>
      <c r="I163" s="32">
        <v>162500</v>
      </c>
      <c r="J163" s="21">
        <v>4640</v>
      </c>
      <c r="K163" s="23">
        <v>46359</v>
      </c>
      <c r="L163" s="32">
        <v>1650</v>
      </c>
      <c r="M163" s="21" t="s">
        <v>359</v>
      </c>
      <c r="N163" s="21" t="s">
        <v>83</v>
      </c>
      <c r="O163" s="21" t="s">
        <v>85</v>
      </c>
      <c r="P163" s="28" t="s">
        <v>262</v>
      </c>
      <c r="Q163" s="28" t="s">
        <v>491</v>
      </c>
      <c r="R163" s="55"/>
      <c r="S163" s="18" t="e">
        <f ca="1">_xll.AblebitsUDF.AblebitsSpellNumber(L163,"None",1,1,FALSE)</f>
        <v>#NAME?</v>
      </c>
      <c r="T163" s="46"/>
      <c r="U163" s="47"/>
      <c r="V163" s="47"/>
      <c r="W163" s="47"/>
      <c r="X163" s="47"/>
    </row>
    <row r="164" spans="1:24" ht="51" x14ac:dyDescent="0.25">
      <c r="A164" s="70">
        <v>46026.639826388891</v>
      </c>
      <c r="B164" s="55">
        <v>178</v>
      </c>
      <c r="C164" s="21" t="s">
        <v>18</v>
      </c>
      <c r="D164" s="21" t="s">
        <v>19</v>
      </c>
      <c r="E164" s="21" t="s">
        <v>492</v>
      </c>
      <c r="F164" s="21" t="s">
        <v>480</v>
      </c>
      <c r="G164" s="32" t="s">
        <v>481</v>
      </c>
      <c r="H164" s="23">
        <v>45942</v>
      </c>
      <c r="I164" s="32">
        <v>242500</v>
      </c>
      <c r="J164" s="21">
        <v>4639</v>
      </c>
      <c r="K164" s="23">
        <v>46359</v>
      </c>
      <c r="L164" s="32">
        <v>2525</v>
      </c>
      <c r="M164" s="21" t="s">
        <v>359</v>
      </c>
      <c r="N164" s="21" t="s">
        <v>83</v>
      </c>
      <c r="O164" s="21" t="s">
        <v>85</v>
      </c>
      <c r="P164" s="28" t="s">
        <v>262</v>
      </c>
      <c r="Q164" s="28" t="s">
        <v>491</v>
      </c>
      <c r="R164" s="55"/>
      <c r="S164" s="18" t="e">
        <f ca="1">_xll.AblebitsUDF.AblebitsSpellNumber(L164,"None",1,1,FALSE)</f>
        <v>#NAME?</v>
      </c>
      <c r="T164" s="46"/>
      <c r="U164" s="47"/>
      <c r="V164" s="47"/>
      <c r="W164" s="47"/>
      <c r="X164" s="47"/>
    </row>
    <row r="165" spans="1:24" ht="51" x14ac:dyDescent="0.25">
      <c r="A165" s="70">
        <v>46026.648761574077</v>
      </c>
      <c r="B165" s="55">
        <v>179</v>
      </c>
      <c r="C165" s="21" t="s">
        <v>18</v>
      </c>
      <c r="D165" s="21" t="s">
        <v>19</v>
      </c>
      <c r="E165" s="21" t="s">
        <v>493</v>
      </c>
      <c r="F165" s="21" t="s">
        <v>480</v>
      </c>
      <c r="G165" s="32" t="s">
        <v>481</v>
      </c>
      <c r="H165" s="23" t="s">
        <v>482</v>
      </c>
      <c r="I165" s="32">
        <v>1705690</v>
      </c>
      <c r="J165" s="21" t="s">
        <v>494</v>
      </c>
      <c r="K165" s="23">
        <v>46084</v>
      </c>
      <c r="L165" s="32">
        <v>84750</v>
      </c>
      <c r="M165" s="21" t="s">
        <v>359</v>
      </c>
      <c r="N165" s="21" t="s">
        <v>495</v>
      </c>
      <c r="O165" s="21" t="s">
        <v>496</v>
      </c>
      <c r="P165" s="28" t="s">
        <v>262</v>
      </c>
      <c r="Q165" s="29">
        <v>46329</v>
      </c>
      <c r="R165" s="28" t="s">
        <v>497</v>
      </c>
      <c r="S165" s="18" t="e">
        <f ca="1">_xll.AblebitsUDF.AblebitsSpellNumber(L165,"None",1,1,FALSE)</f>
        <v>#NAME?</v>
      </c>
      <c r="T165" s="46"/>
      <c r="U165" s="47"/>
      <c r="V165" s="47"/>
      <c r="W165" s="47"/>
      <c r="X165" s="47"/>
    </row>
    <row r="166" spans="1:24" x14ac:dyDescent="0.25">
      <c r="A166" s="68"/>
      <c r="B166" s="16"/>
      <c r="C166" s="17"/>
      <c r="D166" s="17"/>
      <c r="E166" s="17"/>
      <c r="F166" s="17"/>
      <c r="G166" s="17"/>
      <c r="H166" s="57"/>
      <c r="I166" s="17"/>
      <c r="J166" s="17"/>
      <c r="K166" s="53"/>
      <c r="L166" s="17"/>
      <c r="M166" s="17"/>
      <c r="N166" s="17"/>
      <c r="O166" s="17"/>
      <c r="P166" s="68"/>
      <c r="Q166" s="68"/>
      <c r="R166" s="68"/>
      <c r="S166" s="18" t="e">
        <f ca="1">_xll.AblebitsUDF.AblebitsSpellNumber(L166,"None",1,1,FALSE)</f>
        <v>#NAME?</v>
      </c>
      <c r="T166" s="53"/>
    </row>
    <row r="167" spans="1:24" ht="51" x14ac:dyDescent="0.25">
      <c r="A167" s="70">
        <v>46026.547974537039</v>
      </c>
      <c r="B167" s="55">
        <v>180</v>
      </c>
      <c r="C167" s="21" t="s">
        <v>18</v>
      </c>
      <c r="D167" s="21" t="s">
        <v>19</v>
      </c>
      <c r="E167" s="21" t="s">
        <v>501</v>
      </c>
      <c r="F167" s="21" t="s">
        <v>480</v>
      </c>
      <c r="G167" s="32" t="s">
        <v>481</v>
      </c>
      <c r="H167" s="23" t="s">
        <v>482</v>
      </c>
      <c r="I167" s="32">
        <v>1311200</v>
      </c>
      <c r="J167" s="32">
        <v>383095</v>
      </c>
      <c r="K167" s="23">
        <v>45700</v>
      </c>
      <c r="L167" s="32">
        <v>39336</v>
      </c>
      <c r="M167" s="21" t="s">
        <v>359</v>
      </c>
      <c r="N167" s="21" t="s">
        <v>247</v>
      </c>
      <c r="O167" s="21" t="s">
        <v>499</v>
      </c>
      <c r="P167" s="28" t="s">
        <v>8</v>
      </c>
      <c r="Q167" s="29">
        <v>45789</v>
      </c>
      <c r="R167" s="55"/>
      <c r="S167" s="18" t="e">
        <f ca="1">_xll.AblebitsUDF.AblebitsSpellNumber(L167,"None",1,1,FALSE)</f>
        <v>#NAME?</v>
      </c>
      <c r="T167" s="46"/>
      <c r="U167" s="47"/>
      <c r="V167" s="47"/>
      <c r="W167" s="47"/>
      <c r="X167" s="47"/>
    </row>
    <row r="168" spans="1:24" ht="51" x14ac:dyDescent="0.25">
      <c r="A168" s="70">
        <v>46026.550671296296</v>
      </c>
      <c r="B168" s="55">
        <v>181</v>
      </c>
      <c r="C168" s="21" t="s">
        <v>18</v>
      </c>
      <c r="D168" s="21" t="s">
        <v>19</v>
      </c>
      <c r="E168" s="21" t="s">
        <v>493</v>
      </c>
      <c r="F168" s="21" t="s">
        <v>480</v>
      </c>
      <c r="G168" s="32" t="s">
        <v>500</v>
      </c>
      <c r="H168" s="23" t="s">
        <v>482</v>
      </c>
      <c r="I168" s="32">
        <v>1705690</v>
      </c>
      <c r="J168" s="32">
        <v>383096</v>
      </c>
      <c r="K168" s="23">
        <v>45700</v>
      </c>
      <c r="L168" s="32">
        <v>51171</v>
      </c>
      <c r="M168" s="21" t="s">
        <v>359</v>
      </c>
      <c r="N168" s="21" t="s">
        <v>247</v>
      </c>
      <c r="O168" s="21" t="s">
        <v>499</v>
      </c>
      <c r="P168" s="28" t="s">
        <v>8</v>
      </c>
      <c r="Q168" s="29">
        <v>45789</v>
      </c>
      <c r="R168" s="55"/>
      <c r="S168" s="18" t="e">
        <f ca="1">_xll.AblebitsUDF.AblebitsSpellNumber(L168,"None",1,1,FALSE)</f>
        <v>#NAME?</v>
      </c>
      <c r="T168" s="46"/>
      <c r="U168" s="47"/>
      <c r="V168" s="47"/>
      <c r="W168" s="47"/>
      <c r="X168" s="47"/>
    </row>
    <row r="169" spans="1:24" ht="51" x14ac:dyDescent="0.25">
      <c r="A169" s="70">
        <v>46026.553310185183</v>
      </c>
      <c r="B169" s="55">
        <v>182</v>
      </c>
      <c r="C169" s="21" t="s">
        <v>18</v>
      </c>
      <c r="D169" s="21" t="s">
        <v>19</v>
      </c>
      <c r="E169" s="21" t="s">
        <v>498</v>
      </c>
      <c r="F169" s="21" t="s">
        <v>480</v>
      </c>
      <c r="G169" s="32" t="s">
        <v>481</v>
      </c>
      <c r="H169" s="23" t="s">
        <v>482</v>
      </c>
      <c r="I169" s="32">
        <v>1100000</v>
      </c>
      <c r="J169" s="32">
        <v>383094</v>
      </c>
      <c r="K169" s="23">
        <v>45700</v>
      </c>
      <c r="L169" s="32">
        <v>33000</v>
      </c>
      <c r="M169" s="21" t="s">
        <v>359</v>
      </c>
      <c r="N169" s="21" t="s">
        <v>247</v>
      </c>
      <c r="O169" s="21" t="s">
        <v>499</v>
      </c>
      <c r="P169" s="28" t="s">
        <v>8</v>
      </c>
      <c r="Q169" s="29">
        <v>45789</v>
      </c>
      <c r="R169" s="55"/>
      <c r="S169" s="18" t="e">
        <f ca="1">_xll.AblebitsUDF.AblebitsSpellNumber(L169,"None",1,1,FALSE)</f>
        <v>#NAME?</v>
      </c>
      <c r="T169" s="46"/>
      <c r="U169" s="47"/>
      <c r="V169" s="47"/>
      <c r="W169" s="47"/>
      <c r="X169" s="47"/>
    </row>
    <row r="170" spans="1:24" ht="51" x14ac:dyDescent="0.25">
      <c r="A170" s="70">
        <v>46026.534166666665</v>
      </c>
      <c r="B170" s="55">
        <v>183</v>
      </c>
      <c r="C170" s="21" t="s">
        <v>18</v>
      </c>
      <c r="D170" s="21" t="s">
        <v>19</v>
      </c>
      <c r="E170" s="21" t="s">
        <v>501</v>
      </c>
      <c r="F170" s="21" t="s">
        <v>480</v>
      </c>
      <c r="G170" s="32" t="s">
        <v>481</v>
      </c>
      <c r="H170" s="23" t="s">
        <v>482</v>
      </c>
      <c r="I170" s="32">
        <v>1311200</v>
      </c>
      <c r="J170" s="36" t="s">
        <v>510</v>
      </c>
      <c r="K170" s="23">
        <v>45669</v>
      </c>
      <c r="L170" s="32">
        <v>39336</v>
      </c>
      <c r="M170" s="21" t="s">
        <v>359</v>
      </c>
      <c r="N170" s="21" t="s">
        <v>83</v>
      </c>
      <c r="O170" s="21" t="s">
        <v>496</v>
      </c>
      <c r="P170" s="28" t="s">
        <v>8</v>
      </c>
      <c r="Q170" s="29">
        <v>45728</v>
      </c>
      <c r="R170" s="55"/>
      <c r="S170" s="18" t="e">
        <f ca="1">_xll.AblebitsUDF.AblebitsSpellNumber(L170,"None",1,1,FALSE)</f>
        <v>#NAME?</v>
      </c>
      <c r="T170" s="46"/>
      <c r="U170" s="47"/>
      <c r="V170" s="47"/>
      <c r="W170" s="47"/>
      <c r="X170" s="47"/>
    </row>
    <row r="171" spans="1:24" ht="51" x14ac:dyDescent="0.25">
      <c r="A171" s="70">
        <v>46026.539398148147</v>
      </c>
      <c r="B171" s="55">
        <v>184</v>
      </c>
      <c r="C171" s="21" t="s">
        <v>18</v>
      </c>
      <c r="D171" s="21" t="s">
        <v>19</v>
      </c>
      <c r="E171" s="21" t="s">
        <v>493</v>
      </c>
      <c r="F171" s="21" t="s">
        <v>480</v>
      </c>
      <c r="G171" s="32" t="s">
        <v>481</v>
      </c>
      <c r="H171" s="23" t="s">
        <v>482</v>
      </c>
      <c r="I171" s="32">
        <v>1705690</v>
      </c>
      <c r="J171" s="36" t="s">
        <v>511</v>
      </c>
      <c r="K171" s="23">
        <v>45669</v>
      </c>
      <c r="L171" s="32">
        <v>51171</v>
      </c>
      <c r="M171" s="21" t="s">
        <v>359</v>
      </c>
      <c r="N171" s="21" t="s">
        <v>83</v>
      </c>
      <c r="O171" s="21" t="s">
        <v>496</v>
      </c>
      <c r="P171" s="28" t="s">
        <v>8</v>
      </c>
      <c r="Q171" s="29">
        <v>45728</v>
      </c>
      <c r="R171" s="55"/>
      <c r="S171" s="18" t="e">
        <f ca="1">_xll.AblebitsUDF.AblebitsSpellNumber(L171,"None",1,1,FALSE)</f>
        <v>#NAME?</v>
      </c>
      <c r="T171" s="46"/>
      <c r="U171" s="47"/>
      <c r="V171" s="47"/>
      <c r="W171" s="47"/>
      <c r="X171" s="47"/>
    </row>
    <row r="172" spans="1:24" ht="51" x14ac:dyDescent="0.25">
      <c r="A172" s="70">
        <v>46026.543483796297</v>
      </c>
      <c r="B172" s="55">
        <v>185</v>
      </c>
      <c r="C172" s="21" t="s">
        <v>18</v>
      </c>
      <c r="D172" s="21" t="s">
        <v>19</v>
      </c>
      <c r="E172" s="21" t="s">
        <v>498</v>
      </c>
      <c r="F172" s="21" t="s">
        <v>480</v>
      </c>
      <c r="G172" s="32" t="s">
        <v>481</v>
      </c>
      <c r="H172" s="23" t="s">
        <v>482</v>
      </c>
      <c r="I172" s="32">
        <v>1100000</v>
      </c>
      <c r="J172" s="36" t="s">
        <v>512</v>
      </c>
      <c r="K172" s="23">
        <v>45669</v>
      </c>
      <c r="L172" s="32">
        <v>33000</v>
      </c>
      <c r="M172" s="21" t="s">
        <v>359</v>
      </c>
      <c r="N172" s="21" t="s">
        <v>83</v>
      </c>
      <c r="O172" s="21" t="s">
        <v>496</v>
      </c>
      <c r="P172" s="28" t="s">
        <v>8</v>
      </c>
      <c r="Q172" s="29">
        <v>45728</v>
      </c>
      <c r="R172" s="55"/>
      <c r="S172" s="18" t="e">
        <f ca="1">_xll.AblebitsUDF.AblebitsSpellNumber(L172,"None",1,1,FALSE)</f>
        <v>#NAME?</v>
      </c>
      <c r="T172" s="46"/>
      <c r="U172" s="47"/>
      <c r="V172" s="47"/>
      <c r="W172" s="47"/>
      <c r="X172" s="47"/>
    </row>
    <row r="173" spans="1:24" ht="51" x14ac:dyDescent="0.25">
      <c r="A173" s="70">
        <v>46026.526261574072</v>
      </c>
      <c r="B173" s="55">
        <v>186</v>
      </c>
      <c r="C173" s="21" t="s">
        <v>18</v>
      </c>
      <c r="D173" s="21" t="s">
        <v>19</v>
      </c>
      <c r="E173" s="21" t="s">
        <v>502</v>
      </c>
      <c r="F173" s="21" t="s">
        <v>480</v>
      </c>
      <c r="G173" s="32" t="s">
        <v>481</v>
      </c>
      <c r="H173" s="23">
        <v>45942</v>
      </c>
      <c r="I173" s="32">
        <v>162500</v>
      </c>
      <c r="J173" s="21">
        <v>4521</v>
      </c>
      <c r="K173" s="23">
        <v>45912</v>
      </c>
      <c r="L173" s="32">
        <v>4875</v>
      </c>
      <c r="M173" s="21" t="s">
        <v>359</v>
      </c>
      <c r="N173" s="21" t="s">
        <v>83</v>
      </c>
      <c r="O173" s="21" t="s">
        <v>24</v>
      </c>
      <c r="P173" s="28" t="s">
        <v>8</v>
      </c>
      <c r="Q173" s="28" t="s">
        <v>331</v>
      </c>
      <c r="R173" s="55"/>
      <c r="S173" s="18" t="e">
        <f ca="1">_xll.AblebitsUDF.AblebitsSpellNumber(L173,"None",1,1,FALSE)</f>
        <v>#NAME?</v>
      </c>
      <c r="T173" s="46"/>
      <c r="U173" s="47"/>
      <c r="V173" s="47"/>
      <c r="W173" s="47"/>
      <c r="X173" s="47"/>
    </row>
    <row r="174" spans="1:24" ht="51" x14ac:dyDescent="0.25">
      <c r="A174" s="70">
        <v>46026.528229166666</v>
      </c>
      <c r="B174" s="55">
        <v>187</v>
      </c>
      <c r="C174" s="21" t="s">
        <v>18</v>
      </c>
      <c r="D174" s="21" t="s">
        <v>19</v>
      </c>
      <c r="E174" s="21" t="s">
        <v>502</v>
      </c>
      <c r="F174" s="21" t="s">
        <v>480</v>
      </c>
      <c r="G174" s="32" t="s">
        <v>481</v>
      </c>
      <c r="H174" s="23">
        <v>45942</v>
      </c>
      <c r="I174" s="32">
        <v>242500</v>
      </c>
      <c r="J174" s="21">
        <v>4521</v>
      </c>
      <c r="K174" s="23">
        <v>45912</v>
      </c>
      <c r="L174" s="32">
        <v>7275</v>
      </c>
      <c r="M174" s="21" t="s">
        <v>359</v>
      </c>
      <c r="N174" s="21" t="s">
        <v>83</v>
      </c>
      <c r="O174" s="21" t="s">
        <v>24</v>
      </c>
      <c r="P174" s="28" t="s">
        <v>8</v>
      </c>
      <c r="Q174" s="28" t="s">
        <v>331</v>
      </c>
      <c r="R174" s="55"/>
      <c r="S174" s="18" t="e">
        <f ca="1">_xll.AblebitsUDF.AblebitsSpellNumber(L174,"None",1,1,FALSE)</f>
        <v>#NAME?</v>
      </c>
      <c r="T174" s="46"/>
      <c r="U174" s="47"/>
      <c r="V174" s="47"/>
      <c r="W174" s="47"/>
      <c r="X174" s="47"/>
    </row>
    <row r="175" spans="1:24" ht="51" x14ac:dyDescent="0.25">
      <c r="A175" s="70">
        <v>46026.530173611114</v>
      </c>
      <c r="B175" s="55">
        <v>188</v>
      </c>
      <c r="C175" s="21" t="s">
        <v>18</v>
      </c>
      <c r="D175" s="21" t="s">
        <v>19</v>
      </c>
      <c r="E175" s="21" t="s">
        <v>502</v>
      </c>
      <c r="F175" s="21" t="s">
        <v>480</v>
      </c>
      <c r="G175" s="32" t="s">
        <v>481</v>
      </c>
      <c r="H175" s="23">
        <v>45942</v>
      </c>
      <c r="I175" s="32">
        <v>162500</v>
      </c>
      <c r="J175" s="21">
        <v>4522</v>
      </c>
      <c r="K175" s="23">
        <v>45912</v>
      </c>
      <c r="L175" s="32">
        <v>4875</v>
      </c>
      <c r="M175" s="21" t="s">
        <v>359</v>
      </c>
      <c r="N175" s="21" t="s">
        <v>83</v>
      </c>
      <c r="O175" s="21" t="s">
        <v>85</v>
      </c>
      <c r="P175" s="28" t="s">
        <v>8</v>
      </c>
      <c r="Q175" s="28" t="s">
        <v>331</v>
      </c>
      <c r="R175" s="55"/>
      <c r="S175" s="18" t="e">
        <f ca="1">_xll.AblebitsUDF.AblebitsSpellNumber(L175,"None",1,1,FALSE)</f>
        <v>#NAME?</v>
      </c>
      <c r="T175" s="46"/>
      <c r="U175" s="47"/>
      <c r="V175" s="47"/>
      <c r="W175" s="47"/>
      <c r="X175" s="47"/>
    </row>
    <row r="176" spans="1:24" ht="51" x14ac:dyDescent="0.25">
      <c r="A176" s="70">
        <v>46026.531828703701</v>
      </c>
      <c r="B176" s="55">
        <v>189</v>
      </c>
      <c r="C176" s="21" t="s">
        <v>18</v>
      </c>
      <c r="D176" s="21" t="s">
        <v>19</v>
      </c>
      <c r="E176" s="21" t="s">
        <v>502</v>
      </c>
      <c r="F176" s="21" t="s">
        <v>480</v>
      </c>
      <c r="G176" s="32" t="s">
        <v>481</v>
      </c>
      <c r="H176" s="23">
        <v>45942</v>
      </c>
      <c r="I176" s="32">
        <v>242500</v>
      </c>
      <c r="J176" s="21">
        <v>4522</v>
      </c>
      <c r="K176" s="23">
        <v>45912</v>
      </c>
      <c r="L176" s="32">
        <v>7275</v>
      </c>
      <c r="M176" s="21" t="s">
        <v>359</v>
      </c>
      <c r="N176" s="21" t="s">
        <v>83</v>
      </c>
      <c r="O176" s="21" t="s">
        <v>85</v>
      </c>
      <c r="P176" s="28" t="s">
        <v>8</v>
      </c>
      <c r="Q176" s="28" t="s">
        <v>331</v>
      </c>
      <c r="R176" s="55"/>
      <c r="S176" s="18" t="e">
        <f ca="1">_xll.AblebitsUDF.AblebitsSpellNumber(L176,"None",1,1,FALSE)</f>
        <v>#NAME?</v>
      </c>
      <c r="T176" s="46"/>
      <c r="U176" s="47"/>
      <c r="V176" s="47"/>
      <c r="W176" s="47"/>
      <c r="X176" s="47"/>
    </row>
    <row r="177" spans="1:24" ht="51" x14ac:dyDescent="0.25">
      <c r="A177" s="70">
        <v>45759.558958333335</v>
      </c>
      <c r="B177" s="55">
        <v>190</v>
      </c>
      <c r="C177" s="21" t="s">
        <v>18</v>
      </c>
      <c r="D177" s="21" t="s">
        <v>19</v>
      </c>
      <c r="E177" s="21" t="s">
        <v>81</v>
      </c>
      <c r="F177" s="21" t="s">
        <v>503</v>
      </c>
      <c r="G177" s="23">
        <v>45758</v>
      </c>
      <c r="H177" s="23" t="s">
        <v>324</v>
      </c>
      <c r="I177" s="32">
        <v>499950</v>
      </c>
      <c r="J177" s="21">
        <v>4569</v>
      </c>
      <c r="K177" s="32" t="s">
        <v>344</v>
      </c>
      <c r="L177" s="32">
        <v>14999</v>
      </c>
      <c r="M177" s="21" t="s">
        <v>359</v>
      </c>
      <c r="N177" s="21" t="s">
        <v>121</v>
      </c>
      <c r="O177" s="21" t="s">
        <v>504</v>
      </c>
      <c r="P177" s="28" t="s">
        <v>8</v>
      </c>
      <c r="Q177" s="28" t="s">
        <v>333</v>
      </c>
      <c r="R177" s="55"/>
      <c r="S177" s="18" t="e">
        <f ca="1">_xll.AblebitsUDF.AblebitsSpellNumber(L177,"None",1,1,FALSE)</f>
        <v>#NAME?</v>
      </c>
      <c r="T177" s="46"/>
      <c r="U177" s="47"/>
      <c r="V177" s="47"/>
      <c r="W177" s="47"/>
      <c r="X177" s="47"/>
    </row>
    <row r="178" spans="1:24" ht="38.25" x14ac:dyDescent="0.25">
      <c r="A178" s="70">
        <v>46026.555162037039</v>
      </c>
      <c r="B178" s="55">
        <v>191</v>
      </c>
      <c r="C178" s="21" t="s">
        <v>18</v>
      </c>
      <c r="D178" s="21" t="s">
        <v>19</v>
      </c>
      <c r="E178" s="21" t="s">
        <v>505</v>
      </c>
      <c r="F178" s="21" t="s">
        <v>480</v>
      </c>
      <c r="G178" s="32" t="s">
        <v>481</v>
      </c>
      <c r="H178" s="23" t="s">
        <v>482</v>
      </c>
      <c r="I178" s="32">
        <v>739471</v>
      </c>
      <c r="J178" s="21">
        <v>4579</v>
      </c>
      <c r="K178" s="23">
        <v>45728</v>
      </c>
      <c r="L178" s="32">
        <v>22184</v>
      </c>
      <c r="M178" s="21" t="s">
        <v>359</v>
      </c>
      <c r="N178" s="21" t="s">
        <v>121</v>
      </c>
      <c r="O178" s="21" t="s">
        <v>483</v>
      </c>
      <c r="P178" s="28" t="s">
        <v>8</v>
      </c>
      <c r="Q178" s="29">
        <v>45881</v>
      </c>
      <c r="R178" s="55"/>
      <c r="S178" s="18" t="e">
        <f ca="1">_xll.AblebitsUDF.AblebitsSpellNumber(L178,"None",1,1,FALSE)</f>
        <v>#NAME?</v>
      </c>
      <c r="T178" s="46"/>
      <c r="U178" s="47"/>
      <c r="V178" s="47"/>
      <c r="W178" s="47"/>
      <c r="X178" s="47"/>
    </row>
    <row r="179" spans="1:24" ht="38.25" x14ac:dyDescent="0.25">
      <c r="A179" s="70">
        <v>46026.560127314813</v>
      </c>
      <c r="B179" s="55">
        <v>192</v>
      </c>
      <c r="C179" s="21" t="s">
        <v>18</v>
      </c>
      <c r="D179" s="21" t="s">
        <v>19</v>
      </c>
      <c r="E179" s="21" t="s">
        <v>506</v>
      </c>
      <c r="F179" s="21" t="s">
        <v>480</v>
      </c>
      <c r="G179" s="32" t="s">
        <v>481</v>
      </c>
      <c r="H179" s="23" t="s">
        <v>482</v>
      </c>
      <c r="I179" s="32">
        <v>825000</v>
      </c>
      <c r="J179" s="21">
        <v>4580</v>
      </c>
      <c r="K179" s="23">
        <v>45728</v>
      </c>
      <c r="L179" s="32">
        <v>24750</v>
      </c>
      <c r="M179" s="21" t="s">
        <v>359</v>
      </c>
      <c r="N179" s="21" t="s">
        <v>121</v>
      </c>
      <c r="O179" s="21" t="s">
        <v>483</v>
      </c>
      <c r="P179" s="28" t="s">
        <v>8</v>
      </c>
      <c r="Q179" s="29">
        <v>45881</v>
      </c>
      <c r="R179" s="55"/>
      <c r="S179" s="18" t="e">
        <f ca="1">_xll.AblebitsUDF.AblebitsSpellNumber(L179,"None",1,1,FALSE)</f>
        <v>#NAME?</v>
      </c>
      <c r="T179" s="46"/>
      <c r="U179" s="47"/>
      <c r="V179" s="47"/>
      <c r="W179" s="47"/>
      <c r="X179" s="47"/>
    </row>
    <row r="180" spans="1:24" ht="51" x14ac:dyDescent="0.25">
      <c r="A180" s="70">
        <v>46026.564027777778</v>
      </c>
      <c r="B180" s="55">
        <v>193</v>
      </c>
      <c r="C180" s="21" t="s">
        <v>18</v>
      </c>
      <c r="D180" s="21" t="s">
        <v>19</v>
      </c>
      <c r="E180" s="21" t="s">
        <v>506</v>
      </c>
      <c r="F180" s="21" t="s">
        <v>480</v>
      </c>
      <c r="G180" s="32" t="s">
        <v>481</v>
      </c>
      <c r="H180" s="23" t="s">
        <v>482</v>
      </c>
      <c r="I180" s="32">
        <v>825000</v>
      </c>
      <c r="J180" s="32">
        <v>154055</v>
      </c>
      <c r="K180" s="23">
        <v>45700</v>
      </c>
      <c r="L180" s="32">
        <v>24750</v>
      </c>
      <c r="M180" s="21" t="s">
        <v>79</v>
      </c>
      <c r="N180" s="45"/>
      <c r="O180" s="21" t="s">
        <v>32</v>
      </c>
      <c r="P180" s="28" t="s">
        <v>8</v>
      </c>
      <c r="Q180" s="29">
        <v>45942</v>
      </c>
      <c r="R180" s="55"/>
      <c r="S180" s="18" t="e">
        <f ca="1">_xll.AblebitsUDF.AblebitsSpellNumber(L180,"None",1,1,FALSE)</f>
        <v>#NAME?</v>
      </c>
      <c r="T180" s="46"/>
      <c r="U180" s="47"/>
      <c r="V180" s="47"/>
      <c r="W180" s="47"/>
      <c r="X180" s="47"/>
    </row>
    <row r="181" spans="1:24" ht="51" x14ac:dyDescent="0.25">
      <c r="A181" s="70">
        <v>46026.55777777778</v>
      </c>
      <c r="B181" s="55">
        <v>194</v>
      </c>
      <c r="C181" s="21" t="s">
        <v>18</v>
      </c>
      <c r="D181" s="21" t="s">
        <v>19</v>
      </c>
      <c r="E181" s="21" t="s">
        <v>505</v>
      </c>
      <c r="F181" s="21" t="s">
        <v>480</v>
      </c>
      <c r="G181" s="32" t="s">
        <v>481</v>
      </c>
      <c r="H181" s="23" t="s">
        <v>482</v>
      </c>
      <c r="I181" s="32">
        <v>739471</v>
      </c>
      <c r="J181" s="32">
        <v>154053</v>
      </c>
      <c r="K181" s="23">
        <v>45700</v>
      </c>
      <c r="L181" s="32">
        <v>22184</v>
      </c>
      <c r="M181" s="21" t="s">
        <v>79</v>
      </c>
      <c r="N181" s="45"/>
      <c r="O181" s="21" t="s">
        <v>32</v>
      </c>
      <c r="P181" s="28" t="s">
        <v>8</v>
      </c>
      <c r="Q181" s="29">
        <v>45942</v>
      </c>
      <c r="R181" s="55"/>
      <c r="S181" s="18" t="e">
        <f ca="1">_xll.AblebitsUDF.AblebitsSpellNumber(L181,"None",1,1,FALSE)</f>
        <v>#NAME?</v>
      </c>
      <c r="T181" s="46"/>
      <c r="U181" s="47"/>
      <c r="V181" s="47"/>
      <c r="W181" s="47"/>
      <c r="X181" s="47"/>
    </row>
    <row r="182" spans="1:24" ht="51" x14ac:dyDescent="0.25">
      <c r="A182" s="70">
        <v>45759.554259259261</v>
      </c>
      <c r="B182" s="55">
        <v>195</v>
      </c>
      <c r="C182" s="21" t="s">
        <v>18</v>
      </c>
      <c r="D182" s="21" t="s">
        <v>19</v>
      </c>
      <c r="E182" s="21" t="s">
        <v>81</v>
      </c>
      <c r="F182" s="21" t="s">
        <v>503</v>
      </c>
      <c r="G182" s="23">
        <v>45758</v>
      </c>
      <c r="H182" s="23" t="s">
        <v>324</v>
      </c>
      <c r="I182" s="32">
        <v>499950</v>
      </c>
      <c r="J182" s="32">
        <v>154048</v>
      </c>
      <c r="K182" s="32" t="s">
        <v>353</v>
      </c>
      <c r="L182" s="32">
        <v>14999</v>
      </c>
      <c r="M182" s="21" t="s">
        <v>79</v>
      </c>
      <c r="N182" s="45"/>
      <c r="O182" s="21" t="s">
        <v>32</v>
      </c>
      <c r="P182" s="28" t="s">
        <v>8</v>
      </c>
      <c r="Q182" s="28" t="s">
        <v>333</v>
      </c>
      <c r="R182" s="55"/>
      <c r="S182" s="18" t="e">
        <f ca="1">_xll.AblebitsUDF.AblebitsSpellNumber(L182,"None",1,1,FALSE)</f>
        <v>#NAME?</v>
      </c>
      <c r="T182" s="46"/>
      <c r="U182" s="47"/>
      <c r="V182" s="47"/>
      <c r="W182" s="47"/>
      <c r="X182" s="47"/>
    </row>
    <row r="183" spans="1:24" ht="51" x14ac:dyDescent="0.25">
      <c r="A183" s="70">
        <v>45759.562928240739</v>
      </c>
      <c r="B183" s="55">
        <v>196</v>
      </c>
      <c r="C183" s="21" t="s">
        <v>18</v>
      </c>
      <c r="D183" s="21" t="s">
        <v>19</v>
      </c>
      <c r="E183" s="21" t="s">
        <v>81</v>
      </c>
      <c r="F183" s="21" t="s">
        <v>503</v>
      </c>
      <c r="G183" s="23">
        <v>45758</v>
      </c>
      <c r="H183" s="23" t="s">
        <v>507</v>
      </c>
      <c r="I183" s="32">
        <v>499950</v>
      </c>
      <c r="J183" s="32">
        <v>719344</v>
      </c>
      <c r="K183" s="32" t="s">
        <v>353</v>
      </c>
      <c r="L183" s="32">
        <v>14999</v>
      </c>
      <c r="M183" s="21" t="s">
        <v>484</v>
      </c>
      <c r="N183" s="45"/>
      <c r="O183" s="21" t="s">
        <v>508</v>
      </c>
      <c r="P183" s="28" t="s">
        <v>8</v>
      </c>
      <c r="Q183" s="28" t="s">
        <v>509</v>
      </c>
      <c r="R183" s="55"/>
      <c r="S183" s="18" t="e">
        <f ca="1">_xll.AblebitsUDF.AblebitsSpellNumber(L183,"None",1,1,FALSE)</f>
        <v>#NAME?</v>
      </c>
      <c r="T183" s="46"/>
      <c r="U183" s="47"/>
      <c r="V183" s="47"/>
      <c r="W183" s="47"/>
      <c r="X183" s="47"/>
    </row>
    <row r="184" spans="1:24" ht="76.5" x14ac:dyDescent="0.25">
      <c r="A184" s="70">
        <v>46026.556331018517</v>
      </c>
      <c r="B184" s="55">
        <v>197</v>
      </c>
      <c r="C184" s="21" t="s">
        <v>18</v>
      </c>
      <c r="D184" s="21" t="s">
        <v>19</v>
      </c>
      <c r="E184" s="21" t="s">
        <v>505</v>
      </c>
      <c r="F184" s="21" t="s">
        <v>480</v>
      </c>
      <c r="G184" s="32" t="s">
        <v>481</v>
      </c>
      <c r="H184" s="23" t="s">
        <v>482</v>
      </c>
      <c r="I184" s="32">
        <v>739471</v>
      </c>
      <c r="J184" s="32">
        <v>719396</v>
      </c>
      <c r="K184" s="23">
        <v>45728</v>
      </c>
      <c r="L184" s="32">
        <v>22184</v>
      </c>
      <c r="M184" s="21" t="s">
        <v>484</v>
      </c>
      <c r="N184" s="45"/>
      <c r="O184" s="21" t="s">
        <v>485</v>
      </c>
      <c r="P184" s="28" t="s">
        <v>8</v>
      </c>
      <c r="Q184" s="29">
        <v>45881</v>
      </c>
      <c r="R184" s="55"/>
      <c r="S184" s="18" t="e">
        <f ca="1">_xll.AblebitsUDF.AblebitsSpellNumber(L184,"None",1,1,FALSE)</f>
        <v>#NAME?</v>
      </c>
      <c r="T184" s="46"/>
      <c r="U184" s="47"/>
      <c r="V184" s="47"/>
      <c r="W184" s="47"/>
      <c r="X184" s="47"/>
    </row>
    <row r="185" spans="1:24" ht="76.5" x14ac:dyDescent="0.25">
      <c r="A185" s="70">
        <v>46026.562754629631</v>
      </c>
      <c r="B185" s="55">
        <v>198</v>
      </c>
      <c r="C185" s="21" t="s">
        <v>18</v>
      </c>
      <c r="D185" s="21" t="s">
        <v>19</v>
      </c>
      <c r="E185" s="21" t="s">
        <v>506</v>
      </c>
      <c r="F185" s="21" t="s">
        <v>480</v>
      </c>
      <c r="G185" s="32" t="s">
        <v>481</v>
      </c>
      <c r="H185" s="23" t="s">
        <v>482</v>
      </c>
      <c r="I185" s="32">
        <v>825000</v>
      </c>
      <c r="J185" s="32">
        <v>719397</v>
      </c>
      <c r="K185" s="23">
        <v>45728</v>
      </c>
      <c r="L185" s="32">
        <v>24750</v>
      </c>
      <c r="M185" s="21" t="s">
        <v>484</v>
      </c>
      <c r="N185" s="45"/>
      <c r="O185" s="21" t="s">
        <v>485</v>
      </c>
      <c r="P185" s="28" t="s">
        <v>8</v>
      </c>
      <c r="Q185" s="29">
        <v>45881</v>
      </c>
      <c r="R185" s="55"/>
      <c r="S185" s="18" t="e">
        <f ca="1">_xll.AblebitsUDF.AblebitsSpellNumber(L185,"None",1,1,FALSE)</f>
        <v>#NAME?</v>
      </c>
      <c r="T185" s="46"/>
      <c r="U185" s="47"/>
      <c r="V185" s="47"/>
      <c r="W185" s="47"/>
      <c r="X185" s="47"/>
    </row>
    <row r="186" spans="1:24" ht="25.5" x14ac:dyDescent="0.25">
      <c r="A186" s="28" t="s">
        <v>513</v>
      </c>
      <c r="B186" s="55">
        <v>199</v>
      </c>
      <c r="C186" s="21" t="s">
        <v>227</v>
      </c>
      <c r="D186" s="21" t="s">
        <v>228</v>
      </c>
      <c r="E186" s="21" t="s">
        <v>521</v>
      </c>
      <c r="F186" s="21" t="s">
        <v>522</v>
      </c>
      <c r="G186" s="32" t="s">
        <v>344</v>
      </c>
      <c r="H186" s="23">
        <v>45973</v>
      </c>
      <c r="I186" s="32">
        <v>300000</v>
      </c>
      <c r="J186" s="32">
        <v>612692</v>
      </c>
      <c r="K186" s="23">
        <v>46003</v>
      </c>
      <c r="L186" s="32">
        <v>13500</v>
      </c>
      <c r="M186" s="21" t="s">
        <v>109</v>
      </c>
      <c r="N186" s="45"/>
      <c r="O186" s="21" t="s">
        <v>516</v>
      </c>
      <c r="P186" s="28" t="s">
        <v>8</v>
      </c>
      <c r="Q186" s="29">
        <v>46204</v>
      </c>
      <c r="R186" s="28" t="s">
        <v>517</v>
      </c>
      <c r="S186" s="18" t="e">
        <f ca="1">_xll.AblebitsUDF.AblebitsSpellNumber(L186,"None",1,1,FALSE)</f>
        <v>#NAME?</v>
      </c>
      <c r="T186" s="46"/>
      <c r="U186" s="47"/>
      <c r="V186" s="47"/>
      <c r="W186" s="47"/>
      <c r="X186" s="47"/>
    </row>
    <row r="187" spans="1:24" ht="38.25" x14ac:dyDescent="0.25">
      <c r="A187" s="28" t="s">
        <v>518</v>
      </c>
      <c r="B187" s="55">
        <v>200</v>
      </c>
      <c r="C187" s="21" t="s">
        <v>227</v>
      </c>
      <c r="D187" s="21" t="s">
        <v>228</v>
      </c>
      <c r="E187" s="21" t="s">
        <v>514</v>
      </c>
      <c r="F187" s="21" t="s">
        <v>515</v>
      </c>
      <c r="G187" s="32" t="s">
        <v>344</v>
      </c>
      <c r="H187" s="23">
        <v>45973</v>
      </c>
      <c r="I187" s="32">
        <v>300000</v>
      </c>
      <c r="J187" s="32">
        <v>187690</v>
      </c>
      <c r="K187" s="23">
        <v>46054</v>
      </c>
      <c r="L187" s="32">
        <v>9000</v>
      </c>
      <c r="M187" s="21" t="s">
        <v>79</v>
      </c>
      <c r="N187" s="45"/>
      <c r="O187" s="21" t="s">
        <v>519</v>
      </c>
      <c r="P187" s="28" t="s">
        <v>8</v>
      </c>
      <c r="Q187" s="29">
        <v>46204</v>
      </c>
      <c r="R187" s="28" t="s">
        <v>520</v>
      </c>
      <c r="S187" s="18" t="e">
        <f ca="1">_xll.AblebitsUDF.AblebitsSpellNumber(L187,"None",1,1,FALSE)</f>
        <v>#NAME?</v>
      </c>
      <c r="T187" s="46"/>
      <c r="U187" s="47"/>
      <c r="V187" s="47"/>
      <c r="W187" s="47"/>
      <c r="X187" s="47"/>
    </row>
    <row r="188" spans="1:24" ht="38.25" x14ac:dyDescent="0.25">
      <c r="A188" s="70">
        <v>46056.630358796298</v>
      </c>
      <c r="B188" s="55">
        <v>201</v>
      </c>
      <c r="C188" s="21" t="s">
        <v>523</v>
      </c>
      <c r="D188" s="21" t="s">
        <v>315</v>
      </c>
      <c r="E188" s="21" t="s">
        <v>524</v>
      </c>
      <c r="F188" s="21" t="s">
        <v>525</v>
      </c>
      <c r="G188" s="32" t="s">
        <v>526</v>
      </c>
      <c r="H188" s="23">
        <v>46174</v>
      </c>
      <c r="I188" s="32">
        <v>1250000</v>
      </c>
      <c r="J188" s="21">
        <v>107</v>
      </c>
      <c r="K188" s="23">
        <v>46174</v>
      </c>
      <c r="L188" s="32">
        <v>37500</v>
      </c>
      <c r="M188" s="21" t="s">
        <v>46</v>
      </c>
      <c r="N188" s="45"/>
      <c r="O188" s="21" t="s">
        <v>527</v>
      </c>
      <c r="P188" s="28" t="s">
        <v>8</v>
      </c>
      <c r="Q188" s="28" t="s">
        <v>429</v>
      </c>
      <c r="R188" s="55"/>
      <c r="S188" s="18" t="e">
        <f ca="1">_xll.AblebitsUDF.AblebitsSpellNumber(L188,"None",1,1,FALSE)</f>
        <v>#NAME?</v>
      </c>
      <c r="T188" s="46"/>
      <c r="U188" s="47"/>
      <c r="V188" s="47"/>
      <c r="W188" s="47"/>
      <c r="X188" s="47"/>
    </row>
    <row r="189" spans="1:24" ht="25.5" x14ac:dyDescent="0.25">
      <c r="A189" s="70">
        <v>46056.633171296293</v>
      </c>
      <c r="B189" s="55">
        <v>202</v>
      </c>
      <c r="C189" s="21" t="s">
        <v>523</v>
      </c>
      <c r="D189" s="21" t="s">
        <v>315</v>
      </c>
      <c r="E189" s="21" t="s">
        <v>528</v>
      </c>
      <c r="F189" s="21" t="s">
        <v>525</v>
      </c>
      <c r="G189" s="32" t="s">
        <v>526</v>
      </c>
      <c r="H189" s="23">
        <v>46174</v>
      </c>
      <c r="I189" s="32">
        <v>350000</v>
      </c>
      <c r="J189" s="21">
        <v>109</v>
      </c>
      <c r="K189" s="23">
        <v>46174</v>
      </c>
      <c r="L189" s="32">
        <v>10500</v>
      </c>
      <c r="M189" s="21" t="s">
        <v>46</v>
      </c>
      <c r="N189" s="45"/>
      <c r="O189" s="21" t="s">
        <v>529</v>
      </c>
      <c r="P189" s="28" t="s">
        <v>8</v>
      </c>
      <c r="Q189" s="28" t="s">
        <v>530</v>
      </c>
      <c r="R189" s="55"/>
      <c r="S189" s="18" t="e">
        <f ca="1">_xll.AblebitsUDF.AblebitsSpellNumber(L189,"None",1,1,FALSE)</f>
        <v>#NAME?</v>
      </c>
      <c r="T189" s="46"/>
      <c r="U189" s="47"/>
      <c r="V189" s="47"/>
      <c r="W189" s="47"/>
      <c r="X189" s="47"/>
    </row>
    <row r="190" spans="1:24" ht="25.5" x14ac:dyDescent="0.25">
      <c r="A190" s="70">
        <v>46056.635185185187</v>
      </c>
      <c r="B190" s="55">
        <v>203</v>
      </c>
      <c r="C190" s="21" t="s">
        <v>523</v>
      </c>
      <c r="D190" s="21" t="s">
        <v>315</v>
      </c>
      <c r="E190" s="21" t="s">
        <v>531</v>
      </c>
      <c r="F190" s="21" t="s">
        <v>525</v>
      </c>
      <c r="G190" s="32" t="s">
        <v>526</v>
      </c>
      <c r="H190" s="23">
        <v>46174</v>
      </c>
      <c r="I190" s="32">
        <v>520000</v>
      </c>
      <c r="J190" s="21">
        <v>110</v>
      </c>
      <c r="K190" s="23">
        <v>46174</v>
      </c>
      <c r="L190" s="32">
        <v>15600</v>
      </c>
      <c r="M190" s="21" t="s">
        <v>46</v>
      </c>
      <c r="N190" s="45"/>
      <c r="O190" s="21" t="s">
        <v>532</v>
      </c>
      <c r="P190" s="28" t="s">
        <v>8</v>
      </c>
      <c r="Q190" s="28" t="s">
        <v>429</v>
      </c>
      <c r="R190" s="55"/>
      <c r="S190" s="18" t="e">
        <f ca="1">_xll.AblebitsUDF.AblebitsSpellNumber(L190,"None",1,1,FALSE)</f>
        <v>#NAME?</v>
      </c>
      <c r="T190" s="46"/>
      <c r="U190" s="47"/>
      <c r="V190" s="47"/>
      <c r="W190" s="47"/>
      <c r="X190" s="47"/>
    </row>
    <row r="191" spans="1:24" ht="25.5" x14ac:dyDescent="0.25">
      <c r="A191" s="70">
        <v>46056.647523148145</v>
      </c>
      <c r="B191" s="55">
        <v>204</v>
      </c>
      <c r="C191" s="21" t="s">
        <v>523</v>
      </c>
      <c r="D191" s="21" t="s">
        <v>315</v>
      </c>
      <c r="E191" s="21" t="s">
        <v>533</v>
      </c>
      <c r="F191" s="21" t="s">
        <v>534</v>
      </c>
      <c r="G191" s="32" t="s">
        <v>158</v>
      </c>
      <c r="H191" s="23" t="s">
        <v>419</v>
      </c>
      <c r="I191" s="32">
        <v>400000</v>
      </c>
      <c r="J191" s="32">
        <v>878889</v>
      </c>
      <c r="K191" s="32" t="s">
        <v>123</v>
      </c>
      <c r="L191" s="32">
        <v>12000</v>
      </c>
      <c r="M191" s="21" t="s">
        <v>359</v>
      </c>
      <c r="N191" s="45"/>
      <c r="O191" s="21" t="s">
        <v>535</v>
      </c>
      <c r="P191" s="28" t="s">
        <v>8</v>
      </c>
      <c r="Q191" s="29">
        <v>45697</v>
      </c>
      <c r="R191" s="55"/>
      <c r="S191" s="18" t="e">
        <f ca="1">_xll.AblebitsUDF.AblebitsSpellNumber(L191,"None",1,1,FALSE)</f>
        <v>#NAME?</v>
      </c>
      <c r="T191" s="46"/>
      <c r="U191" s="47"/>
      <c r="V191" s="47"/>
      <c r="W191" s="47"/>
      <c r="X191" s="47"/>
    </row>
    <row r="192" spans="1:24" ht="38.25" x14ac:dyDescent="0.25">
      <c r="A192" s="28" t="s">
        <v>536</v>
      </c>
      <c r="B192" s="55">
        <v>205</v>
      </c>
      <c r="C192" s="21" t="s">
        <v>314</v>
      </c>
      <c r="D192" s="21" t="s">
        <v>315</v>
      </c>
      <c r="E192" s="21" t="s">
        <v>537</v>
      </c>
      <c r="F192" s="21" t="s">
        <v>538</v>
      </c>
      <c r="G192" s="32" t="s">
        <v>338</v>
      </c>
      <c r="H192" s="23">
        <v>45881</v>
      </c>
      <c r="I192" s="32">
        <v>300000</v>
      </c>
      <c r="J192" s="32">
        <v>999456</v>
      </c>
      <c r="K192" s="23">
        <v>45881</v>
      </c>
      <c r="L192" s="32">
        <v>9000</v>
      </c>
      <c r="M192" s="21" t="s">
        <v>79</v>
      </c>
      <c r="N192" s="45"/>
      <c r="O192" s="21" t="s">
        <v>539</v>
      </c>
      <c r="P192" s="28" t="s">
        <v>8</v>
      </c>
      <c r="Q192" s="28" t="s">
        <v>331</v>
      </c>
      <c r="R192" s="55"/>
      <c r="S192" s="18" t="e">
        <f ca="1">_xll.AblebitsUDF.AblebitsSpellNumber(L192,"None",1,1,FALSE)</f>
        <v>#NAME?</v>
      </c>
      <c r="T192" s="46"/>
      <c r="U192" s="47"/>
      <c r="V192" s="47"/>
      <c r="W192" s="47"/>
      <c r="X192" s="47"/>
    </row>
    <row r="193" spans="1:24" ht="38.25" x14ac:dyDescent="0.25">
      <c r="A193" s="70">
        <v>46238.458599537036</v>
      </c>
      <c r="B193" s="55">
        <v>206</v>
      </c>
      <c r="C193" s="21" t="s">
        <v>33</v>
      </c>
      <c r="D193" s="21" t="s">
        <v>34</v>
      </c>
      <c r="E193" s="21" t="s">
        <v>540</v>
      </c>
      <c r="F193" s="21" t="s">
        <v>541</v>
      </c>
      <c r="G193" s="23">
        <v>46054</v>
      </c>
      <c r="H193" s="23" t="s">
        <v>443</v>
      </c>
      <c r="I193" s="32">
        <v>1000000</v>
      </c>
      <c r="J193" s="32">
        <v>469958</v>
      </c>
      <c r="K193" s="32" t="s">
        <v>452</v>
      </c>
      <c r="L193" s="32">
        <v>30000</v>
      </c>
      <c r="M193" s="21" t="s">
        <v>542</v>
      </c>
      <c r="N193" s="21"/>
      <c r="O193" s="21" t="s">
        <v>543</v>
      </c>
      <c r="P193" s="28" t="s">
        <v>8</v>
      </c>
      <c r="Q193" s="28" t="s">
        <v>544</v>
      </c>
      <c r="R193" s="55"/>
      <c r="S193" s="18" t="e">
        <f ca="1">_xll.AblebitsUDF.AblebitsSpellNumber(L193,"None",1,1,FALSE)</f>
        <v>#NAME?</v>
      </c>
      <c r="T193" s="46"/>
      <c r="U193" s="47"/>
      <c r="V193" s="47"/>
      <c r="W193" s="47"/>
      <c r="X193" s="47"/>
    </row>
    <row r="194" spans="1:24" ht="38.25" x14ac:dyDescent="0.25">
      <c r="A194" s="70">
        <v>46238.461215277777</v>
      </c>
      <c r="B194" s="55">
        <v>207</v>
      </c>
      <c r="C194" s="21" t="s">
        <v>33</v>
      </c>
      <c r="D194" s="21" t="s">
        <v>34</v>
      </c>
      <c r="E194" s="21" t="s">
        <v>540</v>
      </c>
      <c r="F194" s="21" t="s">
        <v>541</v>
      </c>
      <c r="G194" s="23">
        <v>46054</v>
      </c>
      <c r="H194" s="23" t="s">
        <v>443</v>
      </c>
      <c r="I194" s="32">
        <v>1000000</v>
      </c>
      <c r="J194" s="32">
        <v>564560</v>
      </c>
      <c r="K194" s="32" t="s">
        <v>457</v>
      </c>
      <c r="L194" s="32">
        <v>30000</v>
      </c>
      <c r="M194" s="21" t="s">
        <v>109</v>
      </c>
      <c r="N194" s="45"/>
      <c r="O194" s="21" t="s">
        <v>545</v>
      </c>
      <c r="P194" s="28" t="s">
        <v>8</v>
      </c>
      <c r="Q194" s="28" t="s">
        <v>544</v>
      </c>
      <c r="R194" s="55"/>
      <c r="S194" s="18" t="e">
        <f ca="1">_xll.AblebitsUDF.AblebitsSpellNumber(L194,"None",1,1,FALSE)</f>
        <v>#NAME?</v>
      </c>
      <c r="T194" s="46"/>
      <c r="U194" s="47"/>
      <c r="V194" s="47"/>
      <c r="W194" s="47"/>
      <c r="X194" s="47"/>
    </row>
    <row r="195" spans="1:24" ht="51" x14ac:dyDescent="0.25">
      <c r="A195" s="70">
        <v>46238.464444444442</v>
      </c>
      <c r="B195" s="55">
        <v>208</v>
      </c>
      <c r="C195" s="21" t="s">
        <v>33</v>
      </c>
      <c r="D195" s="21" t="s">
        <v>34</v>
      </c>
      <c r="E195" s="21" t="s">
        <v>540</v>
      </c>
      <c r="F195" s="21" t="s">
        <v>541</v>
      </c>
      <c r="G195" s="23">
        <v>46054</v>
      </c>
      <c r="H195" s="23" t="s">
        <v>443</v>
      </c>
      <c r="I195" s="32">
        <v>1000000</v>
      </c>
      <c r="J195" s="21">
        <v>47716</v>
      </c>
      <c r="K195" s="32" t="s">
        <v>546</v>
      </c>
      <c r="L195" s="32">
        <v>30000</v>
      </c>
      <c r="M195" s="21" t="s">
        <v>42</v>
      </c>
      <c r="N195" s="45"/>
      <c r="O195" s="21" t="s">
        <v>547</v>
      </c>
      <c r="P195" s="28" t="s">
        <v>8</v>
      </c>
      <c r="Q195" s="28" t="s">
        <v>548</v>
      </c>
      <c r="R195" s="55"/>
      <c r="S195" s="18" t="e">
        <f ca="1">_xll.AblebitsUDF.AblebitsSpellNumber(L195,"None",1,1,FALSE)</f>
        <v>#NAME?</v>
      </c>
      <c r="T195" s="46"/>
      <c r="U195" s="47"/>
      <c r="V195" s="47"/>
      <c r="W195" s="47"/>
      <c r="X195" s="47"/>
    </row>
    <row r="196" spans="1:24" ht="51" x14ac:dyDescent="0.25">
      <c r="A196" s="70">
        <v>46238.467581018522</v>
      </c>
      <c r="B196" s="55">
        <v>209</v>
      </c>
      <c r="C196" s="21" t="s">
        <v>33</v>
      </c>
      <c r="D196" s="21" t="s">
        <v>34</v>
      </c>
      <c r="E196" s="21" t="s">
        <v>540</v>
      </c>
      <c r="F196" s="21" t="s">
        <v>541</v>
      </c>
      <c r="G196" s="23">
        <v>46054</v>
      </c>
      <c r="H196" s="23" t="s">
        <v>443</v>
      </c>
      <c r="I196" s="32">
        <v>1000000</v>
      </c>
      <c r="J196" s="21">
        <v>750</v>
      </c>
      <c r="K196" s="32" t="s">
        <v>457</v>
      </c>
      <c r="L196" s="32">
        <v>30000</v>
      </c>
      <c r="M196" s="21" t="s">
        <v>76</v>
      </c>
      <c r="N196" s="17"/>
      <c r="O196" s="21" t="s">
        <v>549</v>
      </c>
      <c r="P196" s="28" t="s">
        <v>8</v>
      </c>
      <c r="Q196" s="28" t="s">
        <v>544</v>
      </c>
      <c r="R196" s="55"/>
      <c r="S196" s="18" t="e">
        <f ca="1">_xll.AblebitsUDF.AblebitsSpellNumber(L196,"None",1,1,FALSE)</f>
        <v>#NAME?</v>
      </c>
      <c r="T196" s="46"/>
      <c r="U196" s="47"/>
      <c r="V196" s="47"/>
      <c r="W196" s="47"/>
      <c r="X196" s="47"/>
    </row>
    <row r="197" spans="1:24" ht="63.75" x14ac:dyDescent="0.25">
      <c r="A197" s="70">
        <v>46238.469965277778</v>
      </c>
      <c r="B197" s="55">
        <v>210</v>
      </c>
      <c r="C197" s="21" t="s">
        <v>33</v>
      </c>
      <c r="D197" s="21" t="s">
        <v>34</v>
      </c>
      <c r="E197" s="21" t="s">
        <v>540</v>
      </c>
      <c r="F197" s="21" t="s">
        <v>541</v>
      </c>
      <c r="G197" s="23">
        <v>46054</v>
      </c>
      <c r="H197" s="23" t="s">
        <v>443</v>
      </c>
      <c r="I197" s="32">
        <v>1000000</v>
      </c>
      <c r="J197" s="21">
        <v>14</v>
      </c>
      <c r="K197" s="32" t="s">
        <v>550</v>
      </c>
      <c r="L197" s="32">
        <v>30000</v>
      </c>
      <c r="M197" s="21" t="s">
        <v>83</v>
      </c>
      <c r="N197" s="17"/>
      <c r="O197" s="21" t="s">
        <v>551</v>
      </c>
      <c r="P197" s="28" t="s">
        <v>8</v>
      </c>
      <c r="Q197" s="29">
        <v>46206</v>
      </c>
      <c r="R197" s="55"/>
      <c r="S197" s="18" t="e">
        <f ca="1">_xll.AblebitsUDF.AblebitsSpellNumber(L197,"None",1,1,FALSE)</f>
        <v>#NAME?</v>
      </c>
      <c r="T197" s="46"/>
      <c r="U197" s="47"/>
      <c r="V197" s="47"/>
      <c r="W197" s="47"/>
      <c r="X197" s="47"/>
    </row>
    <row r="198" spans="1:24" ht="38.25" x14ac:dyDescent="0.25">
      <c r="A198" s="70">
        <v>46238.472372685188</v>
      </c>
      <c r="B198" s="55">
        <v>211</v>
      </c>
      <c r="C198" s="21" t="s">
        <v>33</v>
      </c>
      <c r="D198" s="21" t="s">
        <v>34</v>
      </c>
      <c r="E198" s="21" t="s">
        <v>540</v>
      </c>
      <c r="F198" s="21" t="s">
        <v>541</v>
      </c>
      <c r="G198" s="23">
        <v>46054</v>
      </c>
      <c r="H198" s="23" t="s">
        <v>443</v>
      </c>
      <c r="I198" s="32">
        <v>1000000</v>
      </c>
      <c r="J198" s="21">
        <v>42093</v>
      </c>
      <c r="K198" s="32" t="s">
        <v>552</v>
      </c>
      <c r="L198" s="32">
        <v>30000</v>
      </c>
      <c r="M198" s="21" t="s">
        <v>553</v>
      </c>
      <c r="N198" s="17"/>
      <c r="O198" s="21" t="s">
        <v>554</v>
      </c>
      <c r="P198" s="28" t="s">
        <v>8</v>
      </c>
      <c r="Q198" s="28" t="s">
        <v>548</v>
      </c>
      <c r="R198" s="55"/>
      <c r="S198" s="18" t="e">
        <f ca="1">_xll.AblebitsUDF.AblebitsSpellNumber(L198,"None",1,1,FALSE)</f>
        <v>#NAME?</v>
      </c>
      <c r="T198" s="46"/>
      <c r="U198" s="47"/>
      <c r="V198" s="47"/>
      <c r="W198" s="47"/>
      <c r="X198" s="47"/>
    </row>
    <row r="199" spans="1:24" ht="63.75" x14ac:dyDescent="0.25">
      <c r="A199" s="70">
        <v>46238.483078703706</v>
      </c>
      <c r="B199" s="55">
        <v>212</v>
      </c>
      <c r="C199" s="21" t="s">
        <v>33</v>
      </c>
      <c r="D199" s="21" t="s">
        <v>34</v>
      </c>
      <c r="E199" s="21" t="s">
        <v>555</v>
      </c>
      <c r="F199" s="21" t="s">
        <v>556</v>
      </c>
      <c r="G199" s="32" t="s">
        <v>344</v>
      </c>
      <c r="H199" s="23">
        <v>45973</v>
      </c>
      <c r="I199" s="32">
        <v>2240000</v>
      </c>
      <c r="J199" s="32">
        <v>988477</v>
      </c>
      <c r="K199" s="23">
        <v>45942</v>
      </c>
      <c r="L199" s="32">
        <v>67200</v>
      </c>
      <c r="M199" s="21" t="s">
        <v>76</v>
      </c>
      <c r="N199" s="17"/>
      <c r="O199" s="21" t="s">
        <v>557</v>
      </c>
      <c r="P199" s="28" t="s">
        <v>8</v>
      </c>
      <c r="Q199" s="29">
        <v>46003</v>
      </c>
      <c r="R199" s="28" t="s">
        <v>558</v>
      </c>
      <c r="S199" s="18" t="e">
        <f ca="1">_xll.AblebitsUDF.AblebitsSpellNumber(L199,"None",1,1,FALSE)</f>
        <v>#NAME?</v>
      </c>
      <c r="T199" s="46"/>
      <c r="U199" s="47"/>
      <c r="V199" s="47"/>
      <c r="W199" s="47"/>
      <c r="X199" s="47"/>
    </row>
    <row r="200" spans="1:24" ht="51" x14ac:dyDescent="0.25">
      <c r="A200" s="70">
        <v>46238.485856481479</v>
      </c>
      <c r="B200" s="55">
        <v>213</v>
      </c>
      <c r="C200" s="21" t="s">
        <v>33</v>
      </c>
      <c r="D200" s="21" t="s">
        <v>34</v>
      </c>
      <c r="E200" s="21" t="s">
        <v>555</v>
      </c>
      <c r="F200" s="21" t="s">
        <v>556</v>
      </c>
      <c r="G200" s="32" t="s">
        <v>344</v>
      </c>
      <c r="H200" s="23">
        <v>45973</v>
      </c>
      <c r="I200" s="32">
        <v>2240000</v>
      </c>
      <c r="J200" s="32">
        <v>514549</v>
      </c>
      <c r="K200" s="23">
        <v>45973</v>
      </c>
      <c r="L200" s="32">
        <v>67200</v>
      </c>
      <c r="M200" s="21" t="s">
        <v>68</v>
      </c>
      <c r="N200" s="17"/>
      <c r="O200" s="21" t="s">
        <v>559</v>
      </c>
      <c r="P200" s="28" t="s">
        <v>8</v>
      </c>
      <c r="Q200" s="28" t="s">
        <v>331</v>
      </c>
      <c r="R200" s="55"/>
      <c r="S200" s="18" t="e">
        <f ca="1">_xll.AblebitsUDF.AblebitsSpellNumber(L200,"None",1,1,FALSE)</f>
        <v>#NAME?</v>
      </c>
      <c r="T200" s="46"/>
      <c r="U200" s="47"/>
      <c r="V200" s="47"/>
      <c r="W200" s="47"/>
      <c r="X200" s="47"/>
    </row>
    <row r="201" spans="1:24" ht="76.5" x14ac:dyDescent="0.25">
      <c r="A201" s="28" t="s">
        <v>560</v>
      </c>
      <c r="B201" s="55">
        <v>214</v>
      </c>
      <c r="C201" s="21" t="s">
        <v>382</v>
      </c>
      <c r="D201" s="21" t="s">
        <v>383</v>
      </c>
      <c r="E201" s="21" t="s">
        <v>422</v>
      </c>
      <c r="F201" s="21" t="s">
        <v>423</v>
      </c>
      <c r="G201" s="23">
        <v>45941</v>
      </c>
      <c r="H201" s="23" t="s">
        <v>419</v>
      </c>
      <c r="I201" s="32">
        <v>80000</v>
      </c>
      <c r="J201" s="21">
        <v>60216</v>
      </c>
      <c r="K201" s="23">
        <v>45728</v>
      </c>
      <c r="L201" s="32">
        <v>2400</v>
      </c>
      <c r="M201" s="21" t="s">
        <v>359</v>
      </c>
      <c r="N201" s="21" t="s">
        <v>435</v>
      </c>
      <c r="O201" s="21" t="s">
        <v>561</v>
      </c>
      <c r="P201" s="28" t="s">
        <v>8</v>
      </c>
      <c r="Q201" s="55"/>
      <c r="R201" s="55"/>
      <c r="S201" s="18" t="e">
        <f ca="1">_xll.AblebitsUDF.AblebitsSpellNumber(L201,"None",1,1,FALSE)</f>
        <v>#NAME?</v>
      </c>
      <c r="T201" s="46"/>
      <c r="U201" s="47"/>
      <c r="V201" s="47"/>
      <c r="W201" s="47"/>
      <c r="X201" s="47"/>
    </row>
    <row r="202" spans="1:24" ht="76.5" x14ac:dyDescent="0.25">
      <c r="A202" s="28" t="s">
        <v>562</v>
      </c>
      <c r="B202" s="55">
        <v>215</v>
      </c>
      <c r="C202" s="21" t="s">
        <v>382</v>
      </c>
      <c r="D202" s="21" t="s">
        <v>383</v>
      </c>
      <c r="E202" s="21" t="s">
        <v>426</v>
      </c>
      <c r="F202" s="21" t="s">
        <v>427</v>
      </c>
      <c r="G202" s="23">
        <v>45941</v>
      </c>
      <c r="H202" s="23" t="s">
        <v>419</v>
      </c>
      <c r="I202" s="32">
        <v>80000</v>
      </c>
      <c r="J202" s="21">
        <v>60215</v>
      </c>
      <c r="K202" s="23">
        <v>45728</v>
      </c>
      <c r="L202" s="32">
        <v>2400</v>
      </c>
      <c r="M202" s="21" t="s">
        <v>359</v>
      </c>
      <c r="N202" s="21" t="s">
        <v>435</v>
      </c>
      <c r="O202" s="21" t="s">
        <v>561</v>
      </c>
      <c r="P202" s="28" t="s">
        <v>8</v>
      </c>
      <c r="Q202" s="55"/>
      <c r="R202" s="55"/>
      <c r="S202" s="18" t="e">
        <f ca="1">_xll.AblebitsUDF.AblebitsSpellNumber(L202,"None",1,1,FALSE)</f>
        <v>#NAME?</v>
      </c>
      <c r="T202" s="46"/>
      <c r="U202" s="47"/>
      <c r="V202" s="47"/>
      <c r="W202" s="47"/>
      <c r="X202" s="47"/>
    </row>
    <row r="203" spans="1:24" ht="51" x14ac:dyDescent="0.25">
      <c r="A203" s="28" t="s">
        <v>563</v>
      </c>
      <c r="B203" s="55">
        <v>216</v>
      </c>
      <c r="C203" s="21" t="s">
        <v>564</v>
      </c>
      <c r="D203" s="21" t="s">
        <v>565</v>
      </c>
      <c r="E203" s="21" t="s">
        <v>566</v>
      </c>
      <c r="F203" s="21" t="s">
        <v>567</v>
      </c>
      <c r="G203" s="32" t="s">
        <v>526</v>
      </c>
      <c r="H203" s="23" t="s">
        <v>482</v>
      </c>
      <c r="I203" s="32">
        <v>1713198</v>
      </c>
      <c r="J203" s="21">
        <v>21666</v>
      </c>
      <c r="K203" s="23">
        <v>46235</v>
      </c>
      <c r="L203" s="32">
        <v>26081</v>
      </c>
      <c r="M203" s="21" t="s">
        <v>359</v>
      </c>
      <c r="N203" s="21" t="s">
        <v>6</v>
      </c>
      <c r="O203" s="21" t="s">
        <v>568</v>
      </c>
      <c r="P203" s="28" t="s">
        <v>8</v>
      </c>
      <c r="Q203" s="29">
        <v>45725</v>
      </c>
      <c r="R203" s="55"/>
      <c r="S203" s="18" t="e">
        <f ca="1">_xll.AblebitsUDF.AblebitsSpellNumber(L203,"None",1,1,FALSE)</f>
        <v>#NAME?</v>
      </c>
      <c r="T203" s="46"/>
      <c r="U203" s="47"/>
      <c r="V203" s="47"/>
      <c r="W203" s="47"/>
      <c r="X203" s="47"/>
    </row>
    <row r="204" spans="1:24" ht="51" x14ac:dyDescent="0.25">
      <c r="A204" s="28" t="s">
        <v>569</v>
      </c>
      <c r="B204" s="55">
        <v>217</v>
      </c>
      <c r="C204" s="21" t="s">
        <v>564</v>
      </c>
      <c r="D204" s="21" t="s">
        <v>565</v>
      </c>
      <c r="E204" s="21" t="s">
        <v>570</v>
      </c>
      <c r="F204" s="21" t="s">
        <v>567</v>
      </c>
      <c r="G204" s="32" t="s">
        <v>526</v>
      </c>
      <c r="H204" s="23" t="s">
        <v>482</v>
      </c>
      <c r="I204" s="32">
        <v>1713198</v>
      </c>
      <c r="J204" s="21">
        <v>86804</v>
      </c>
      <c r="K204" s="32" t="s">
        <v>507</v>
      </c>
      <c r="L204" s="32">
        <v>26081</v>
      </c>
      <c r="M204" s="21" t="s">
        <v>359</v>
      </c>
      <c r="N204" s="21" t="s">
        <v>6</v>
      </c>
      <c r="O204" s="21" t="s">
        <v>571</v>
      </c>
      <c r="P204" s="28" t="s">
        <v>8</v>
      </c>
      <c r="Q204" s="28" t="s">
        <v>572</v>
      </c>
      <c r="R204" s="55"/>
      <c r="S204" s="18" t="e">
        <f ca="1">_xll.AblebitsUDF.AblebitsSpellNumber(L204,"None",1,1,FALSE)</f>
        <v>#NAME?</v>
      </c>
      <c r="T204" s="46"/>
      <c r="U204" s="47"/>
      <c r="V204" s="47"/>
      <c r="W204" s="47"/>
      <c r="X204" s="47"/>
    </row>
    <row r="205" spans="1:24" ht="38.25" x14ac:dyDescent="0.25">
      <c r="A205" s="28" t="s">
        <v>573</v>
      </c>
      <c r="B205" s="55">
        <v>218</v>
      </c>
      <c r="C205" s="21" t="s">
        <v>564</v>
      </c>
      <c r="D205" s="21" t="s">
        <v>565</v>
      </c>
      <c r="E205" s="21" t="s">
        <v>574</v>
      </c>
      <c r="F205" s="21" t="s">
        <v>567</v>
      </c>
      <c r="G205" s="23">
        <v>46003</v>
      </c>
      <c r="H205" s="23" t="s">
        <v>482</v>
      </c>
      <c r="I205" s="32">
        <v>1713198</v>
      </c>
      <c r="J205" s="32">
        <v>26081</v>
      </c>
      <c r="K205" s="32" t="s">
        <v>575</v>
      </c>
      <c r="L205" s="32">
        <v>26081</v>
      </c>
      <c r="M205" s="21" t="s">
        <v>359</v>
      </c>
      <c r="N205" s="21" t="s">
        <v>6</v>
      </c>
      <c r="O205" s="21" t="s">
        <v>576</v>
      </c>
      <c r="P205" s="28" t="s">
        <v>8</v>
      </c>
      <c r="Q205" s="28" t="s">
        <v>572</v>
      </c>
      <c r="R205" s="55"/>
      <c r="S205" s="18" t="e">
        <f ca="1">_xll.AblebitsUDF.AblebitsSpellNumber(L205,"None",1,1,FALSE)</f>
        <v>#NAME?</v>
      </c>
      <c r="T205" s="46"/>
      <c r="U205" s="47"/>
      <c r="V205" s="47"/>
      <c r="W205" s="47"/>
      <c r="X205" s="47"/>
    </row>
    <row r="206" spans="1:24" ht="64.5" customHeight="1" x14ac:dyDescent="0.25">
      <c r="A206" s="68"/>
      <c r="B206" s="16">
        <v>219</v>
      </c>
      <c r="C206" s="58" t="s">
        <v>33</v>
      </c>
      <c r="D206" s="21" t="s">
        <v>578</v>
      </c>
      <c r="E206" s="21" t="s">
        <v>582</v>
      </c>
      <c r="F206" s="17" t="s">
        <v>577</v>
      </c>
      <c r="G206" s="59">
        <v>45945</v>
      </c>
      <c r="H206" s="57">
        <v>45966</v>
      </c>
      <c r="I206" s="32">
        <v>1800000</v>
      </c>
      <c r="J206" s="60" t="s">
        <v>579</v>
      </c>
      <c r="K206" s="61">
        <v>45964</v>
      </c>
      <c r="L206" s="32">
        <v>54000</v>
      </c>
      <c r="M206" s="21" t="s">
        <v>580</v>
      </c>
      <c r="N206" s="21" t="s">
        <v>580</v>
      </c>
      <c r="O206" s="21" t="s">
        <v>584</v>
      </c>
      <c r="P206" s="28" t="s">
        <v>8</v>
      </c>
      <c r="Q206" s="68"/>
      <c r="R206" s="68"/>
      <c r="S206" s="53" t="s">
        <v>581</v>
      </c>
      <c r="T206" s="53"/>
    </row>
    <row r="207" spans="1:24" ht="51" x14ac:dyDescent="0.25">
      <c r="A207" s="68"/>
      <c r="B207" s="16">
        <v>220</v>
      </c>
      <c r="C207" s="58" t="s">
        <v>33</v>
      </c>
      <c r="D207" s="21" t="s">
        <v>578</v>
      </c>
      <c r="E207" s="21" t="s">
        <v>582</v>
      </c>
      <c r="F207" s="17" t="s">
        <v>577</v>
      </c>
      <c r="G207" s="59">
        <v>45945</v>
      </c>
      <c r="H207" s="57">
        <v>45966</v>
      </c>
      <c r="I207" s="32">
        <v>1800000</v>
      </c>
      <c r="J207" s="62">
        <v>500012</v>
      </c>
      <c r="K207" s="59">
        <v>45971</v>
      </c>
      <c r="L207" s="32">
        <v>54000</v>
      </c>
      <c r="M207" s="21" t="s">
        <v>161</v>
      </c>
      <c r="N207" s="21" t="s">
        <v>161</v>
      </c>
      <c r="O207" s="21" t="s">
        <v>583</v>
      </c>
      <c r="P207" s="28" t="s">
        <v>8</v>
      </c>
      <c r="Q207" s="68"/>
      <c r="R207" s="68"/>
      <c r="S207" s="53" t="s">
        <v>581</v>
      </c>
      <c r="T207" s="53"/>
    </row>
  </sheetData>
  <autoFilter ref="A1:AA207" xr:uid="{45DAEE03-254C-4981-9A1F-D9BFC04B64E8}"/>
  <phoneticPr fontId="13" type="noConversion"/>
  <hyperlinks>
    <hyperlink ref="C206" r:id="rId1" xr:uid="{9072FFD2-46A5-4BEF-BD83-F3550A96896B}"/>
    <hyperlink ref="C207" r:id="rId2" xr:uid="{78FAD3E4-A968-42DB-82A7-61C4D31CCBD6}"/>
  </hyperlinks>
  <pageMargins left="0.7" right="0.7" top="0.75" bottom="0.75" header="0.3" footer="0.3"/>
  <pageSetup paperSize="9" orientation="portrait" r:id="rId3"/>
  <ignoredErrors>
    <ignoredError sqref="J170:J172 J206 J40:J4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DASLANIYA</dc:creator>
  <cp:lastModifiedBy>VIJAY DASLANIYA</cp:lastModifiedBy>
  <dcterms:created xsi:type="dcterms:W3CDTF">2025-08-06T08:44:59Z</dcterms:created>
  <dcterms:modified xsi:type="dcterms:W3CDTF">2026-07-29T06:27:50Z</dcterms:modified>
</cp:coreProperties>
</file>