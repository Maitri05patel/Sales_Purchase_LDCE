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neDrive - KNOWLEDGE CONSORTIUM OF GUJARAT\Desktop\New folder\Format for Summary\"/>
    </mc:Choice>
  </mc:AlternateContent>
  <xr:revisionPtr revIDLastSave="0" documentId="13_ncr:1_{E9F0A238-BC52-4F81-88F9-85897BBA9ED1}" xr6:coauthVersionLast="47" xr6:coauthVersionMax="47" xr10:uidLastSave="{00000000-0000-0000-0000-000000000000}"/>
  <bookViews>
    <workbookView xWindow="-120" yWindow="-120" windowWidth="29040" windowHeight="15720" tabRatio="732" firstSheet="2" activeTab="3" xr2:uid="{00000000-000D-0000-FFFF-FFFF00000000}"/>
  </bookViews>
  <sheets>
    <sheet name="Summary" sheetId="5" state="hidden" r:id="rId1"/>
    <sheet name="Equip-NI-2025-26" sheetId="10" state="hidden" r:id="rId2"/>
    <sheet name="Sheet3" sheetId="25" r:id="rId3"/>
    <sheet name="Statement 1 (Non-IT Equip)" sheetId="8" r:id="rId4"/>
    <sheet name="Sheet1" sheetId="11" r:id="rId5"/>
    <sheet name="DLPC Result" sheetId="15" r:id="rId6"/>
    <sheet name="All Summary" sheetId="16" r:id="rId7"/>
    <sheet name="Furniture-2025-26" sheetId="17" state="hidden" r:id="rId8"/>
    <sheet name="IT-Equipment" sheetId="19" r:id="rId9"/>
    <sheet name="Grant" sheetId="18" state="hidden" r:id="rId10"/>
    <sheet name="DPC Files after Diwali" sheetId="22" state="hidden" r:id="rId11"/>
    <sheet name="Sheet2" sheetId="20" state="hidden" r:id="rId12"/>
    <sheet name="DPC Files after Diwali (2)" sheetId="23" r:id="rId13"/>
    <sheet name="DPC-February-2026" sheetId="24" state="hidden" r:id="rId14"/>
    <sheet name="Conti. Office Exp etc.." sheetId="26" state="hidden" r:id="rId15"/>
    <sheet name="Statement 2 (IT Equipment)-U.G" sheetId="3" state="hidden" r:id="rId16"/>
    <sheet name="Statement 3 (Furniture)-U.G" sheetId="4" state="hidden" r:id="rId17"/>
    <sheet name="Statement-4 (Books)-U.G" sheetId="6" state="hidden" r:id="rId18"/>
    <sheet name="Statement 5 Maintanance-UG" sheetId="2" state="hidden" r:id="rId19"/>
  </sheets>
  <definedNames>
    <definedName name="_xlnm._FilterDatabase" localSheetId="6" hidden="1">'All Summary'!$A$3:$U$26</definedName>
    <definedName name="_xlnm._FilterDatabase" localSheetId="5" hidden="1">'DLPC Result'!$B$1:$M$91</definedName>
    <definedName name="_xlnm._FilterDatabase" localSheetId="7" hidden="1">'Furniture-2025-26'!$A$2:$E$2</definedName>
    <definedName name="_xlnm._FilterDatabase" localSheetId="3" hidden="1">'Statement 1 (Non-IT Equip)'!$A$3:$Z$329</definedName>
    <definedName name="_xlnm._FilterDatabase" localSheetId="15" hidden="1">'Statement 2 (IT Equipment)-U.G'!$A$7:$I$28</definedName>
    <definedName name="_xlnm._FilterDatabase" localSheetId="18" hidden="1">'Statement 5 Maintanance-UG'!$A$6:$Z$19</definedName>
    <definedName name="_xlnm.Print_Area" localSheetId="6">'All Summary'!$A$1:$O$48</definedName>
    <definedName name="_xlnm.Print_Area" localSheetId="5">'DLPC Result'!$A$1:$M$91</definedName>
    <definedName name="_xlnm.Print_Area" localSheetId="1">'Equip-NI-2025-26'!$A$1:$L$34</definedName>
    <definedName name="_xlnm.Print_Area" localSheetId="7">'Furniture-2025-26'!$A$1:$E$19</definedName>
    <definedName name="_xlnm.Print_Area" localSheetId="9">Grant!$A$1:$W$13</definedName>
    <definedName name="_xlnm.Print_Area" localSheetId="8">'IT-Equipment'!$A$1:$L$5</definedName>
    <definedName name="_xlnm.Print_Area" localSheetId="11">Sheet2!$A$20:$C$46</definedName>
    <definedName name="_xlnm.Print_Area" localSheetId="15">'Statement 2 (IT Equipment)-U.G'!$A$1:$I$30</definedName>
    <definedName name="_xlnm.Print_Area" localSheetId="16">'Statement 3 (Furniture)-U.G'!$A$1:$H$52</definedName>
    <definedName name="_xlnm.Print_Area" localSheetId="18">'Statement 5 Maintanance-UG'!$A$1:$F$66</definedName>
    <definedName name="_xlnm.Print_Area" localSheetId="17">'Statement-4 (Books)-U.G'!$A$1:$D$31</definedName>
    <definedName name="_xlnm.Print_Area" localSheetId="0">Summary!$A$1:$K$14</definedName>
    <definedName name="_xlnm.Print_Titles" localSheetId="5">'DLPC Result'!$1:$2</definedName>
    <definedName name="_xlnm.Print_Titles" localSheetId="3">'Statement 1 (Non-IT Equip)'!$3:$4</definedName>
    <definedName name="_xlnm.Print_Titles" localSheetId="15">'Statement 2 (IT Equipment)-U.G'!$7:$8</definedName>
    <definedName name="_xlnm.Print_Titles" localSheetId="16">'Statement 3 (Furniture)-U.G'!$7:$8</definedName>
    <definedName name="_xlnm.Print_Titles" localSheetId="18">'Statement 5 Maintanance-UG'!$6:$7</definedName>
  </definedNames>
  <calcPr calcId="191028"/>
  <pivotCaches>
    <pivotCache cacheId="0" r:id="rId20"/>
    <pivotCache cacheId="1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16" l="1"/>
  <c r="K31" i="16"/>
  <c r="K32" i="16"/>
  <c r="K33" i="16"/>
  <c r="K34" i="16"/>
  <c r="O23" i="16"/>
  <c r="Q25" i="16" s="1"/>
  <c r="T184" i="8"/>
  <c r="J34" i="16" l="1"/>
  <c r="I32" i="16"/>
  <c r="G21" i="16"/>
  <c r="I21" i="16"/>
  <c r="L21" i="16" s="1"/>
  <c r="J25" i="16"/>
  <c r="E16" i="17"/>
  <c r="N36" i="16" s="1"/>
  <c r="N39" i="16"/>
  <c r="D32" i="26"/>
  <c r="C29" i="26"/>
  <c r="C24" i="26"/>
  <c r="C19" i="26"/>
  <c r="O21" i="16"/>
  <c r="N23" i="16"/>
  <c r="N38" i="16"/>
  <c r="C40" i="20"/>
  <c r="O27" i="16"/>
  <c r="O20" i="16"/>
  <c r="K46" i="16"/>
  <c r="O16" i="16"/>
  <c r="O19" i="16"/>
  <c r="O7" i="16"/>
  <c r="O18" i="16"/>
  <c r="H47" i="16"/>
  <c r="O13" i="16"/>
  <c r="G28" i="16"/>
  <c r="O12" i="16"/>
  <c r="O10" i="16"/>
  <c r="C4" i="8"/>
  <c r="M4" i="8"/>
  <c r="P4" i="8"/>
  <c r="I7" i="16"/>
  <c r="G7" i="16"/>
  <c r="E329" i="8"/>
  <c r="E328" i="8"/>
  <c r="O5" i="16"/>
  <c r="O4" i="16"/>
  <c r="I18" i="16"/>
  <c r="I17" i="16"/>
  <c r="L17" i="16" s="1"/>
  <c r="I16" i="16"/>
  <c r="L16" i="16" s="1"/>
  <c r="I13" i="16"/>
  <c r="G16" i="16"/>
  <c r="E327" i="8"/>
  <c r="L99" i="15"/>
  <c r="L98" i="15"/>
  <c r="K10" i="16"/>
  <c r="E326" i="8"/>
  <c r="E325" i="8"/>
  <c r="E8" i="24"/>
  <c r="K2" i="15"/>
  <c r="I12" i="16"/>
  <c r="I10" i="16"/>
  <c r="I4" i="16"/>
  <c r="T179" i="8"/>
  <c r="T180" i="8"/>
  <c r="T181" i="8"/>
  <c r="T182" i="8"/>
  <c r="T183" i="8"/>
  <c r="T186" i="8"/>
  <c r="T178" i="8"/>
  <c r="G12" i="16"/>
  <c r="E324" i="8"/>
  <c r="E7" i="24"/>
  <c r="O6" i="16"/>
  <c r="K18" i="16"/>
  <c r="H13" i="16"/>
  <c r="C5" i="24"/>
  <c r="E3" i="24"/>
  <c r="E2" i="24"/>
  <c r="E4" i="24"/>
  <c r="E323" i="8"/>
  <c r="L4" i="16"/>
  <c r="G4" i="8"/>
  <c r="E322" i="8"/>
  <c r="L8" i="16"/>
  <c r="L9" i="16"/>
  <c r="L11" i="16"/>
  <c r="L14" i="16"/>
  <c r="L15" i="16"/>
  <c r="H7" i="16"/>
  <c r="A63" i="15"/>
  <c r="A64" i="15" s="1"/>
  <c r="A66" i="15" s="1"/>
  <c r="A67" i="15" s="1"/>
  <c r="A68" i="15" s="1"/>
  <c r="A69" i="15" s="1"/>
  <c r="A70" i="15" s="1"/>
  <c r="A71" i="15" s="1"/>
  <c r="A72" i="15" s="1"/>
  <c r="A73" i="15" s="1"/>
  <c r="A74" i="15" s="1"/>
  <c r="A76" i="15" s="1"/>
  <c r="A77" i="15" s="1"/>
  <c r="A78" i="15" s="1"/>
  <c r="A79" i="15" s="1"/>
  <c r="A80" i="15" s="1"/>
  <c r="A81" i="15" s="1"/>
  <c r="F24" i="23"/>
  <c r="F15" i="23"/>
  <c r="F25" i="23" s="1"/>
  <c r="F27" i="22"/>
  <c r="F17" i="22"/>
  <c r="I5" i="16"/>
  <c r="L5" i="16" s="1"/>
  <c r="L18" i="16"/>
  <c r="I19" i="16"/>
  <c r="L19" i="16" s="1"/>
  <c r="L10" i="16"/>
  <c r="L7" i="16" l="1"/>
  <c r="H23" i="16"/>
  <c r="G4" i="16"/>
  <c r="E21" i="16"/>
  <c r="E321" i="8"/>
  <c r="E319" i="8"/>
  <c r="E318" i="8"/>
  <c r="C46" i="20"/>
  <c r="F26" i="22"/>
  <c r="E317" i="8"/>
  <c r="E316" i="8"/>
  <c r="C27" i="20"/>
  <c r="A42" i="15"/>
  <c r="A43" i="15" s="1"/>
  <c r="E9" i="8"/>
  <c r="B2" i="15"/>
  <c r="F2" i="15"/>
  <c r="D2" i="15"/>
  <c r="O30" i="16" l="1"/>
  <c r="O34" i="16" s="1"/>
  <c r="I30" i="16"/>
  <c r="N48" i="16"/>
  <c r="O2" i="15"/>
  <c r="A44" i="15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E315" i="8"/>
  <c r="G8" i="16"/>
  <c r="I20" i="16"/>
  <c r="L20" i="16" s="1"/>
  <c r="L12" i="16"/>
  <c r="I6" i="16"/>
  <c r="L6" i="16" s="1"/>
  <c r="E314" i="8"/>
  <c r="E313" i="8"/>
  <c r="E164" i="8"/>
  <c r="T12" i="18"/>
  <c r="S12" i="18"/>
  <c r="Q12" i="18"/>
  <c r="P12" i="18"/>
  <c r="N12" i="18"/>
  <c r="M12" i="18"/>
  <c r="K12" i="18"/>
  <c r="J12" i="18"/>
  <c r="H12" i="18"/>
  <c r="G12" i="18"/>
  <c r="E12" i="18"/>
  <c r="D12" i="18"/>
  <c r="O36" i="15"/>
  <c r="G10" i="16"/>
  <c r="E311" i="8"/>
  <c r="D16" i="17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I34" i="16" l="1"/>
  <c r="A2" i="15"/>
  <c r="Q1" i="8"/>
  <c r="G17" i="16"/>
  <c r="G18" i="16"/>
  <c r="S5" i="18" l="1"/>
  <c r="M5" i="18"/>
  <c r="J5" i="18"/>
  <c r="G5" i="18"/>
  <c r="D5" i="18"/>
  <c r="G20" i="16"/>
  <c r="E285" i="8"/>
  <c r="E240" i="8"/>
  <c r="E267" i="8"/>
  <c r="E266" i="8"/>
  <c r="G13" i="16"/>
  <c r="E274" i="8"/>
  <c r="E275" i="8"/>
  <c r="E276" i="8"/>
  <c r="E277" i="8"/>
  <c r="E278" i="8"/>
  <c r="E279" i="8"/>
  <c r="E280" i="8"/>
  <c r="E281" i="8"/>
  <c r="E282" i="8"/>
  <c r="E283" i="8"/>
  <c r="E284" i="8"/>
  <c r="E273" i="8"/>
  <c r="E272" i="8"/>
  <c r="E271" i="8"/>
  <c r="E270" i="8"/>
  <c r="E269" i="8"/>
  <c r="L13" i="16"/>
  <c r="L23" i="16" s="1"/>
  <c r="E62" i="8"/>
  <c r="E169" i="8"/>
  <c r="D17" i="16"/>
  <c r="E265" i="8" l="1"/>
  <c r="E264" i="8"/>
  <c r="E263" i="8"/>
  <c r="E262" i="8"/>
  <c r="E261" i="8"/>
  <c r="E260" i="8"/>
  <c r="E259" i="8"/>
  <c r="E258" i="8"/>
  <c r="E247" i="8"/>
  <c r="E246" i="8"/>
  <c r="E245" i="8"/>
  <c r="E244" i="8"/>
  <c r="E243" i="8"/>
  <c r="E242" i="8"/>
  <c r="E241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J23" i="16"/>
  <c r="G4" i="19"/>
  <c r="E4" i="19"/>
  <c r="E223" i="8"/>
  <c r="E222" i="8"/>
  <c r="A222" i="8"/>
  <c r="H4" i="19" l="1"/>
  <c r="I4" i="19" s="1"/>
  <c r="E221" i="8"/>
  <c r="D220" i="8"/>
  <c r="G5" i="16"/>
  <c r="D11" i="19"/>
  <c r="E3" i="19"/>
  <c r="G3" i="19" s="1"/>
  <c r="H3" i="19" s="1"/>
  <c r="I3" i="19" s="1"/>
  <c r="E2" i="19"/>
  <c r="G2" i="19" s="1"/>
  <c r="H2" i="19" l="1"/>
  <c r="G5" i="19"/>
  <c r="D33" i="18"/>
  <c r="D30" i="18"/>
  <c r="D23" i="18"/>
  <c r="P14" i="18"/>
  <c r="V9" i="18"/>
  <c r="U8" i="18"/>
  <c r="U12" i="18" s="1"/>
  <c r="T8" i="18"/>
  <c r="R8" i="18"/>
  <c r="R12" i="18" s="1"/>
  <c r="O8" i="18"/>
  <c r="N8" i="18"/>
  <c r="M8" i="18"/>
  <c r="L8" i="18"/>
  <c r="K8" i="18"/>
  <c r="J8" i="18"/>
  <c r="I8" i="18"/>
  <c r="H8" i="18"/>
  <c r="G8" i="18"/>
  <c r="F8" i="18"/>
  <c r="E8" i="18"/>
  <c r="D8" i="18"/>
  <c r="O7" i="18"/>
  <c r="O12" i="18" s="1"/>
  <c r="N7" i="18"/>
  <c r="M7" i="18"/>
  <c r="L7" i="18"/>
  <c r="L12" i="18" s="1"/>
  <c r="K7" i="18"/>
  <c r="J7" i="18"/>
  <c r="I7" i="18"/>
  <c r="I12" i="18" s="1"/>
  <c r="H7" i="18"/>
  <c r="G7" i="18"/>
  <c r="F7" i="18"/>
  <c r="E7" i="18"/>
  <c r="D7" i="18"/>
  <c r="Q4" i="18"/>
  <c r="Q7" i="18" s="1"/>
  <c r="P4" i="18"/>
  <c r="I2" i="19" l="1"/>
  <c r="I5" i="19" s="1"/>
  <c r="H5" i="19"/>
  <c r="F12" i="18"/>
  <c r="D13" i="18"/>
  <c r="J13" i="18"/>
  <c r="G13" i="18"/>
  <c r="S13" i="18"/>
  <c r="P7" i="18"/>
  <c r="P5" i="18"/>
  <c r="W7" i="18"/>
  <c r="P8" i="18"/>
  <c r="V8" i="18" s="1"/>
  <c r="Q8" i="18"/>
  <c r="W8" i="18" s="1"/>
  <c r="V4" i="18"/>
  <c r="W4" i="18"/>
  <c r="W12" i="18" l="1"/>
  <c r="V7" i="18"/>
  <c r="V12" i="18" s="1"/>
  <c r="M13" i="18"/>
  <c r="V5" i="18"/>
  <c r="V13" i="18" l="1"/>
  <c r="P13" i="18"/>
  <c r="C5" i="17"/>
  <c r="D21" i="16"/>
  <c r="G19" i="10"/>
  <c r="M23" i="16"/>
  <c r="C23" i="16"/>
  <c r="K23" i="16"/>
  <c r="D20" i="16"/>
  <c r="G19" i="16"/>
  <c r="G23" i="16" s="1"/>
  <c r="D18" i="16"/>
  <c r="E16" i="16"/>
  <c r="D16" i="16"/>
  <c r="D15" i="16"/>
  <c r="D14" i="16"/>
  <c r="D13" i="16"/>
  <c r="D12" i="16"/>
  <c r="B10" i="16"/>
  <c r="B23" i="16" s="1"/>
  <c r="D9" i="16"/>
  <c r="D8" i="16"/>
  <c r="D7" i="16"/>
  <c r="D6" i="16"/>
  <c r="D5" i="16"/>
  <c r="E4" i="16"/>
  <c r="D4" i="16"/>
  <c r="E219" i="8"/>
  <c r="E218" i="8"/>
  <c r="K29" i="10"/>
  <c r="K28" i="10"/>
  <c r="E23" i="16" l="1"/>
  <c r="D23" i="16"/>
  <c r="D10" i="16"/>
  <c r="I23" i="16"/>
  <c r="G9" i="10"/>
  <c r="L9" i="10"/>
  <c r="L3" i="10"/>
  <c r="G18" i="10"/>
  <c r="E5" i="10"/>
  <c r="E3" i="10"/>
  <c r="E22" i="10" s="1"/>
  <c r="E15" i="10"/>
  <c r="E11" i="10"/>
  <c r="E9" i="10"/>
  <c r="E6" i="10"/>
  <c r="B33" i="10"/>
  <c r="I22" i="10"/>
  <c r="L19" i="10"/>
  <c r="L11" i="10"/>
  <c r="L5" i="10"/>
  <c r="K22" i="10"/>
  <c r="J19" i="10"/>
  <c r="J22" i="10" s="1"/>
  <c r="L22" i="10"/>
  <c r="E173" i="8"/>
  <c r="H31" i="10"/>
  <c r="H18" i="10"/>
  <c r="H19" i="10"/>
  <c r="E199" i="8"/>
  <c r="G11" i="10"/>
  <c r="G4" i="10"/>
  <c r="E211" i="8"/>
  <c r="E212" i="8"/>
  <c r="E213" i="8"/>
  <c r="E214" i="8"/>
  <c r="E215" i="8"/>
  <c r="E200" i="8"/>
  <c r="E201" i="8"/>
  <c r="E202" i="8"/>
  <c r="E203" i="8"/>
  <c r="E204" i="8"/>
  <c r="E205" i="8"/>
  <c r="E206" i="8"/>
  <c r="E207" i="8"/>
  <c r="E208" i="8"/>
  <c r="E210" i="8"/>
  <c r="G7" i="10"/>
  <c r="G3" i="10"/>
  <c r="E10" i="8"/>
  <c r="E198" i="8"/>
  <c r="H9" i="10"/>
  <c r="H11" i="10"/>
  <c r="H5" i="10"/>
  <c r="E168" i="8"/>
  <c r="E170" i="8"/>
  <c r="E171" i="8"/>
  <c r="D14" i="10"/>
  <c r="E197" i="8"/>
  <c r="D12" i="10"/>
  <c r="G51" i="11"/>
  <c r="O24" i="16" l="1"/>
  <c r="J26" i="16" s="1"/>
  <c r="J24" i="16"/>
  <c r="G27" i="16" s="1"/>
  <c r="H22" i="10"/>
  <c r="G22" i="10"/>
  <c r="E191" i="8"/>
  <c r="E190" i="8"/>
  <c r="E189" i="8"/>
  <c r="E188" i="8"/>
  <c r="E185" i="8"/>
  <c r="E184" i="8"/>
  <c r="E182" i="8"/>
  <c r="E178" i="8"/>
  <c r="E181" i="8"/>
  <c r="E186" i="8"/>
  <c r="E179" i="8"/>
  <c r="E187" i="8"/>
  <c r="G52" i="11"/>
  <c r="E163" i="8" l="1"/>
  <c r="E162" i="8"/>
  <c r="E177" i="8"/>
  <c r="E176" i="8"/>
  <c r="E175" i="8"/>
  <c r="E174" i="8"/>
  <c r="E172" i="8"/>
  <c r="E151" i="8"/>
  <c r="E167" i="8"/>
  <c r="E209" i="8"/>
  <c r="E166" i="8"/>
  <c r="E148" i="8"/>
  <c r="E134" i="8"/>
  <c r="C22" i="10"/>
  <c r="D20" i="10"/>
  <c r="D19" i="10"/>
  <c r="D15" i="10"/>
  <c r="B9" i="10"/>
  <c r="D9" i="10" s="1"/>
  <c r="D6" i="10"/>
  <c r="D11" i="10"/>
  <c r="D7" i="10"/>
  <c r="D3" i="10"/>
  <c r="D8" i="10"/>
  <c r="D5" i="10"/>
  <c r="D17" i="10"/>
  <c r="D4" i="10"/>
  <c r="D16" i="10"/>
  <c r="D13" i="10"/>
  <c r="B22" i="10" l="1"/>
  <c r="D22" i="10" s="1"/>
  <c r="E156" i="8" l="1"/>
  <c r="E157" i="8"/>
  <c r="E158" i="8"/>
  <c r="E155" i="8"/>
  <c r="E150" i="8"/>
  <c r="E147" i="8"/>
  <c r="E146" i="8"/>
  <c r="E145" i="8"/>
  <c r="E143" i="8"/>
  <c r="E142" i="8"/>
  <c r="E139" i="8"/>
  <c r="A136" i="8"/>
  <c r="A137" i="8" s="1"/>
  <c r="A28" i="4" l="1"/>
  <c r="A29" i="4"/>
  <c r="A30" i="4"/>
  <c r="A31" i="4"/>
  <c r="A32" i="4"/>
  <c r="A33" i="4"/>
  <c r="A34" i="4"/>
  <c r="A35" i="4"/>
  <c r="A36" i="4"/>
  <c r="A37" i="4"/>
  <c r="A38" i="4"/>
  <c r="A39" i="4"/>
  <c r="A40" i="4" s="1"/>
  <c r="A41" i="4" s="1"/>
  <c r="A42" i="4" s="1"/>
  <c r="A43" i="4" s="1"/>
  <c r="A44" i="4" s="1"/>
  <c r="A27" i="4"/>
  <c r="A26" i="4"/>
  <c r="A22" i="4"/>
  <c r="A23" i="4" s="1"/>
  <c r="E5" i="8"/>
  <c r="E6" i="8"/>
  <c r="E7" i="8"/>
  <c r="E8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7" i="8"/>
  <c r="E48" i="8"/>
  <c r="E52" i="8"/>
  <c r="E64" i="8"/>
  <c r="E63" i="8"/>
  <c r="E65" i="8"/>
  <c r="E76" i="8"/>
  <c r="E66" i="8"/>
  <c r="E67" i="8"/>
  <c r="E68" i="8"/>
  <c r="E69" i="8"/>
  <c r="E70" i="8"/>
  <c r="E71" i="8"/>
  <c r="E72" i="8"/>
  <c r="E73" i="8"/>
  <c r="E74" i="8"/>
  <c r="E115" i="8"/>
  <c r="E75" i="8"/>
  <c r="E77" i="8"/>
  <c r="E78" i="8"/>
  <c r="E79" i="8"/>
  <c r="E80" i="8"/>
  <c r="E81" i="8"/>
  <c r="E82" i="8"/>
  <c r="E87" i="8"/>
  <c r="E88" i="8"/>
  <c r="E89" i="8"/>
  <c r="E90" i="8"/>
  <c r="E91" i="8"/>
  <c r="E93" i="8"/>
  <c r="E103" i="8"/>
  <c r="E104" i="8"/>
  <c r="E105" i="8"/>
  <c r="E106" i="8"/>
  <c r="E107" i="8"/>
  <c r="E108" i="8"/>
  <c r="E109" i="8"/>
  <c r="E110" i="8"/>
  <c r="E114" i="8"/>
  <c r="E119" i="8"/>
  <c r="E128" i="8"/>
  <c r="E129" i="8"/>
  <c r="E130" i="8"/>
  <c r="E132" i="8"/>
  <c r="E133" i="8"/>
  <c r="E131" i="8"/>
  <c r="E4" i="8" l="1"/>
  <c r="N1" i="8" s="1"/>
  <c r="D24" i="3"/>
  <c r="H24" i="3"/>
  <c r="D6" i="6"/>
  <c r="D27" i="6"/>
  <c r="C27" i="6"/>
  <c r="G45" i="4" l="1"/>
  <c r="C45" i="4"/>
  <c r="E44" i="4"/>
  <c r="E43" i="4"/>
  <c r="E42" i="4"/>
  <c r="E41" i="4"/>
  <c r="E40" i="4"/>
  <c r="E39" i="4"/>
  <c r="E38" i="4"/>
  <c r="E37" i="4"/>
  <c r="E36" i="4"/>
  <c r="E34" i="4"/>
  <c r="E33" i="4"/>
  <c r="E32" i="4"/>
  <c r="E31" i="4"/>
  <c r="E30" i="4"/>
  <c r="E29" i="4"/>
  <c r="E28" i="4"/>
  <c r="E26" i="4"/>
  <c r="G24" i="4"/>
  <c r="C24" i="4"/>
  <c r="E23" i="4"/>
  <c r="E22" i="4"/>
  <c r="E35" i="4"/>
  <c r="E27" i="4"/>
  <c r="E21" i="4"/>
  <c r="E20" i="4"/>
  <c r="A20" i="4"/>
  <c r="A21" i="4" s="1"/>
  <c r="E19" i="4"/>
  <c r="E18" i="4"/>
  <c r="E17" i="4"/>
  <c r="E16" i="4"/>
  <c r="E15" i="4"/>
  <c r="E14" i="4"/>
  <c r="E13" i="4"/>
  <c r="E12" i="4"/>
  <c r="E11" i="4"/>
  <c r="E10" i="4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E45" i="4" l="1"/>
  <c r="G9" i="5" s="1"/>
  <c r="E24" i="4"/>
  <c r="F9" i="5" s="1"/>
  <c r="F24" i="3"/>
  <c r="I6" i="3" s="1"/>
  <c r="A54" i="2"/>
  <c r="A55" i="2" s="1"/>
  <c r="A56" i="2" s="1"/>
  <c r="A57" i="2" s="1"/>
  <c r="A58" i="2" s="1"/>
  <c r="A59" i="2" s="1"/>
  <c r="A60" i="2" s="1"/>
  <c r="H9" i="5" l="1"/>
  <c r="H6" i="4"/>
  <c r="E9" i="5"/>
  <c r="E61" i="2"/>
  <c r="F5" i="2" l="1"/>
  <c r="J9" i="5"/>
  <c r="D9" i="5" l="1"/>
  <c r="K9" i="5" s="1"/>
  <c r="K6" i="5" s="1"/>
  <c r="A60" i="8" l="1"/>
  <c r="A63" i="8" l="1"/>
  <c r="A138" i="8" l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6" i="8"/>
  <c r="A64" i="8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120" i="8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89" i="8" l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7" i="8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tc={1CE98340-25AD-4DE2-811B-D447A16B175D}</author>
  </authors>
  <commentList>
    <comment ref="A231" authorId="0" shapeId="0" xr:uid="{1CE98340-25AD-4DE2-811B-D447A16B175D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Check with GPR-27/11/77</t>
        </r>
      </text>
    </comment>
  </commentList>
</comments>
</file>

<file path=xl/sharedStrings.xml><?xml version="1.0" encoding="utf-8"?>
<sst xmlns="http://schemas.openxmlformats.org/spreadsheetml/2006/main" count="4745" uniqueCount="1233">
  <si>
    <t>Commissionerate of Technical Education, Gujarat State, Gandhinagar</t>
  </si>
  <si>
    <t>New Item for the Year 2025-26</t>
  </si>
  <si>
    <t>Summary</t>
  </si>
  <si>
    <t>Name of Institute: L.D College of Engineering, Ahmedabad</t>
  </si>
  <si>
    <r>
      <t xml:space="preserve">Type of Course: </t>
    </r>
    <r>
      <rPr>
        <b/>
        <sz val="14"/>
        <rFont val="Verdana"/>
        <family val="2"/>
      </rPr>
      <t xml:space="preserve">U.G </t>
    </r>
    <r>
      <rPr>
        <b/>
        <sz val="10"/>
        <rFont val="Verdana"/>
        <family val="2"/>
      </rPr>
      <t xml:space="preserve">            </t>
    </r>
  </si>
  <si>
    <t>Principal Name:</t>
  </si>
  <si>
    <t>Dr N N BUPTANI</t>
  </si>
  <si>
    <t xml:space="preserve">Mobile No:- </t>
  </si>
  <si>
    <t>Amount in Rs.</t>
  </si>
  <si>
    <t>Course Type
(Diploma/UG/PG)</t>
  </si>
  <si>
    <t>Non-IT Equipments</t>
  </si>
  <si>
    <t>Total amount for Non-IT Equipments</t>
  </si>
  <si>
    <t>Total amount for IT Equipments</t>
  </si>
  <si>
    <t xml:space="preserve">Furniture </t>
  </si>
  <si>
    <t xml:space="preserve">Total amount for Furniture </t>
  </si>
  <si>
    <t>Total amount for Books</t>
  </si>
  <si>
    <t>Total amount for Maintainance</t>
  </si>
  <si>
    <t>Grand Total</t>
  </si>
  <si>
    <t>Less than 
Rs.5.00 Lakh</t>
  </si>
  <si>
    <t>More than 
Rs.5.00 Lakh</t>
  </si>
  <si>
    <t>U.G</t>
  </si>
  <si>
    <t>Institute Seal</t>
  </si>
  <si>
    <t>Principal Sign</t>
  </si>
  <si>
    <t>નોંધ:-Diploma, UG અને PG અભ્યાસક્રમ માટે અલગ અલગ પત્રકો તૈયાર કરી માહિતી આપવી.</t>
  </si>
  <si>
    <t>LDCE-Vikashlakshi Equipment demand-2025-26 (Except IT equipment &amp; Furniture)</t>
  </si>
  <si>
    <t>Dept.</t>
  </si>
  <si>
    <t xml:space="preserve">U.G </t>
  </si>
  <si>
    <t>P.G</t>
  </si>
  <si>
    <t>Total Demand</t>
  </si>
  <si>
    <t>Commited Budget to be spent</t>
  </si>
  <si>
    <t>Process</t>
  </si>
  <si>
    <t>Order Placed</t>
  </si>
  <si>
    <t>Under DLPC-Eqp.</t>
  </si>
  <si>
    <t>Under DPC-Eqp.</t>
  </si>
  <si>
    <t>Not Approved</t>
  </si>
  <si>
    <t>Bill Amount</t>
  </si>
  <si>
    <t>Applied Mechanics</t>
  </si>
  <si>
    <t>Automobile</t>
  </si>
  <si>
    <t>Biomedical</t>
  </si>
  <si>
    <t>Chemical</t>
  </si>
  <si>
    <t>Civil</t>
  </si>
  <si>
    <t>Computer Eng</t>
  </si>
  <si>
    <t>Electrical</t>
  </si>
  <si>
    <t>EC</t>
  </si>
  <si>
    <t>Environment</t>
  </si>
  <si>
    <t>IC</t>
  </si>
  <si>
    <t>IT</t>
  </si>
  <si>
    <t>Library</t>
  </si>
  <si>
    <t>Mechanical</t>
  </si>
  <si>
    <t>Plastic Tech</t>
  </si>
  <si>
    <t>Rubber</t>
  </si>
  <si>
    <t>S &amp; H</t>
  </si>
  <si>
    <t>Textile</t>
  </si>
  <si>
    <t>Common Purchase (Central Store)</t>
  </si>
  <si>
    <t>Institute Services</t>
  </si>
  <si>
    <t>Unde DPC</t>
  </si>
  <si>
    <t xml:space="preserve"> Order released for services</t>
  </si>
  <si>
    <t>Name of Equipment</t>
  </si>
  <si>
    <t>L1 Amount</t>
  </si>
  <si>
    <t>Party</t>
  </si>
  <si>
    <t>Name of Service</t>
  </si>
  <si>
    <t>Air Conditioners-67 Nos.</t>
  </si>
  <si>
    <t>Vedanta  Equipment Pvt. Ltd.</t>
  </si>
  <si>
    <t>Central Store</t>
  </si>
  <si>
    <t xml:space="preserve">1. Fire Safety for Hostel </t>
  </si>
  <si>
    <t>Miniature Rotor Spinning M/c</t>
  </si>
  <si>
    <t>T4 Textultants Pvt. Ltd.</t>
  </si>
  <si>
    <t>2  AMC-Hostel- RO</t>
  </si>
  <si>
    <t>Miniature Ring frame</t>
  </si>
  <si>
    <t>Testile</t>
  </si>
  <si>
    <t>3. AMC-Institute-HK</t>
  </si>
  <si>
    <t>Sound Level Meter</t>
  </si>
  <si>
    <t>Technovision Analytical</t>
  </si>
  <si>
    <t>IC, Civil. Chemical, Environment</t>
  </si>
  <si>
    <t>4  AMC-Hostel HK</t>
  </si>
  <si>
    <t>Manpower Outsourcing</t>
  </si>
  <si>
    <t>Hindusthan Services</t>
  </si>
  <si>
    <t>Electronics Workbench</t>
  </si>
  <si>
    <t>Premier Enterprise</t>
  </si>
  <si>
    <t>EC,IC,Biomedical</t>
  </si>
  <si>
    <t>Status</t>
  </si>
  <si>
    <t xml:space="preserve">Bill submitted </t>
  </si>
  <si>
    <t>Product /Service</t>
  </si>
  <si>
    <t>Equipment</t>
  </si>
  <si>
    <t>Row Labels</t>
  </si>
  <si>
    <t xml:space="preserve">Sum of Total Amount
(Rs.) </t>
  </si>
  <si>
    <t>Sum of Bill  Net Amount</t>
  </si>
  <si>
    <t>Central Store-Equipment</t>
  </si>
  <si>
    <t>I.C</t>
  </si>
  <si>
    <t>Rubber Tech</t>
  </si>
  <si>
    <t>S&amp;H</t>
  </si>
  <si>
    <t>L.D College of Engineering, Ahmedabad</t>
  </si>
  <si>
    <t>Price diff</t>
  </si>
  <si>
    <t>Panalty</t>
  </si>
  <si>
    <t>Procurement Status- F.Y-2025-26</t>
  </si>
  <si>
    <t>Sr.</t>
  </si>
  <si>
    <t>Name of Item</t>
  </si>
  <si>
    <t>Qty.
Required</t>
  </si>
  <si>
    <t>Approx. Rate
(Rs.)</t>
  </si>
  <si>
    <t xml:space="preserve">Total Amount
(Rs.) </t>
  </si>
  <si>
    <t>Department /
Discipline</t>
  </si>
  <si>
    <t>Avalable Qty.</t>
  </si>
  <si>
    <t>Detailed Justification</t>
  </si>
  <si>
    <t>Available on   GeM? (Yes or No)</t>
  </si>
  <si>
    <t>U.G/P.G</t>
  </si>
  <si>
    <t>Remarks</t>
  </si>
  <si>
    <t>Bill  Net Amount</t>
  </si>
  <si>
    <t>Bill No.</t>
  </si>
  <si>
    <t>Date</t>
  </si>
  <si>
    <t>S.D</t>
  </si>
  <si>
    <t>Rs.</t>
  </si>
  <si>
    <t>All Filter</t>
  </si>
  <si>
    <t>Total</t>
  </si>
  <si>
    <t>Slump test apparatus with tamping rod</t>
  </si>
  <si>
    <t>Basic requiremnet at UG and PG level research and testing</t>
  </si>
  <si>
    <t>yes</t>
  </si>
  <si>
    <t>Steel Fabricators</t>
  </si>
  <si>
    <t>DP</t>
  </si>
  <si>
    <t>GEM-63696205</t>
  </si>
  <si>
    <t>N.A</t>
  </si>
  <si>
    <t>Nonconcurrent coplanar force apparatus</t>
  </si>
  <si>
    <t>Basic requiremnet at UG level</t>
  </si>
  <si>
    <t>Rejected</t>
  </si>
  <si>
    <t>Weighing scale 5 kg with 1 gm resolution</t>
  </si>
  <si>
    <t>B.R Chemical Suppliers, Jodhpur</t>
  </si>
  <si>
    <t>GEM-62062887</t>
  </si>
  <si>
    <t>Weighing scale 10 kg with 10 gm resolution</t>
  </si>
  <si>
    <t>Apolo scale industry, Agra</t>
  </si>
  <si>
    <t>GEM-63342027</t>
  </si>
  <si>
    <t>Two Hinged Arch Apparatus</t>
  </si>
  <si>
    <t>Engineering Models &amp; Equipment,Roorkee</t>
  </si>
  <si>
    <t>DLPC-6</t>
  </si>
  <si>
    <t>Pending</t>
  </si>
  <si>
    <t>Three Hinged Arch Apparatus</t>
  </si>
  <si>
    <t>Concrete permeability apparatus</t>
  </si>
  <si>
    <t>Action pending</t>
  </si>
  <si>
    <t>Portable concrete core cutter</t>
  </si>
  <si>
    <t>Intellitest Solutions Pvt. Ltd., Faridabad</t>
  </si>
  <si>
    <t>DLPC-5</t>
  </si>
  <si>
    <t>ICICI bank</t>
  </si>
  <si>
    <t>Viscometer</t>
  </si>
  <si>
    <t>UG course</t>
  </si>
  <si>
    <t>YES</t>
  </si>
  <si>
    <t>Spark plug tester and cleaner</t>
  </si>
  <si>
    <t>Rotary and inline fuel pump</t>
  </si>
  <si>
    <t>Air compressor 5HP</t>
  </si>
  <si>
    <t>Bid Published</t>
  </si>
  <si>
    <t>Raspberry pi kit with 8 GB storage</t>
  </si>
  <si>
    <t>Electronic weighing scale (min. 1000kg)</t>
  </si>
  <si>
    <t>Maruti Weightech Pvt. Ltd.</t>
  </si>
  <si>
    <t>GEM-67230898</t>
  </si>
  <si>
    <t>SCISSOR LIFT</t>
  </si>
  <si>
    <t>Pantron Automation Pvt. Ltd.</t>
  </si>
  <si>
    <t>GEM-70289864</t>
  </si>
  <si>
    <t>Exempted</t>
  </si>
  <si>
    <t>Gas analyzer ( 5 gas)</t>
  </si>
  <si>
    <t>GEM-71614380</t>
  </si>
  <si>
    <t>Biomedical Sensor Interface Trainer Kit</t>
  </si>
  <si>
    <t>Required as per GTU syllabus</t>
  </si>
  <si>
    <t>Yes</t>
  </si>
  <si>
    <t>Royale Electronics Sales &amp; Services</t>
  </si>
  <si>
    <t>DLPC-1</t>
  </si>
  <si>
    <t>GEM-64369436</t>
  </si>
  <si>
    <t>0554825IPG000054</t>
  </si>
  <si>
    <t>ESP32 IoT Development Trainer Kit</t>
  </si>
  <si>
    <t>Prajakta Enterprise</t>
  </si>
  <si>
    <t>GEM-64167332</t>
  </si>
  <si>
    <t>004418</t>
  </si>
  <si>
    <t>PIC Development Board Trainer Kit</t>
  </si>
  <si>
    <t>GEM-64167341</t>
  </si>
  <si>
    <t>004419</t>
  </si>
  <si>
    <t>Orange Pi 5 Plus 32GB Development Kit</t>
  </si>
  <si>
    <t>NVIDIA Jetson Orin Nano 8GB Developer Kit</t>
  </si>
  <si>
    <t xml:space="preserve">For Project Work </t>
  </si>
  <si>
    <t>Jetson AGX Orin Developer Kit</t>
  </si>
  <si>
    <t>Heating Mental 500ml</t>
  </si>
  <si>
    <t>UG course (Regular Lab)</t>
  </si>
  <si>
    <t>Heating Mental 2 lit</t>
  </si>
  <si>
    <t>Heating Mental 1lit</t>
  </si>
  <si>
    <t>Bimettalic Thermometer</t>
  </si>
  <si>
    <t>Magnetic stirrer with heating</t>
  </si>
  <si>
    <t>M/s Scinos Research &amp; Synthesis, Ahmedabad</t>
  </si>
  <si>
    <t>GEM-62387604</t>
  </si>
  <si>
    <t>Vacuum filtration apparatus with pump</t>
  </si>
  <si>
    <t>Scinos Research &amp; Synthesis, Ahmedabad</t>
  </si>
  <si>
    <t>GEM-70993018</t>
  </si>
  <si>
    <t>NA</t>
  </si>
  <si>
    <t>Muffle furnace</t>
  </si>
  <si>
    <t>High temperature oil bath (1000 ml capacity)</t>
  </si>
  <si>
    <t>Scinos Research &amp; Synthesis,Ahmedabad</t>
  </si>
  <si>
    <t>GEM-71499657</t>
  </si>
  <si>
    <t>TDS meter</t>
  </si>
  <si>
    <t>Digital pH meter</t>
  </si>
  <si>
    <t>Tej Corporation, Punjab</t>
  </si>
  <si>
    <t>GEM-71480391</t>
  </si>
  <si>
    <t>Conductivity meter</t>
  </si>
  <si>
    <t>High temperature oil bath (500 ml capacity)</t>
  </si>
  <si>
    <t>GEM-71233182</t>
  </si>
  <si>
    <t>Syringe Infusion Pump</t>
  </si>
  <si>
    <t>Refractometer</t>
  </si>
  <si>
    <t>UG course (Analytical Lab)</t>
  </si>
  <si>
    <t>Probe Sonicator</t>
  </si>
  <si>
    <t>UG course (Research Lab)</t>
  </si>
  <si>
    <t>Ravi Scientific Industries</t>
  </si>
  <si>
    <t>GEM-70114791</t>
  </si>
  <si>
    <t>0387NDDG00013426</t>
  </si>
  <si>
    <t>Digital Infrared Thermometer</t>
  </si>
  <si>
    <t>required for BE civil students</t>
  </si>
  <si>
    <t>Flakiness  Index Gauge</t>
  </si>
  <si>
    <t>Elongation Index Gauge</t>
  </si>
  <si>
    <t>Mercury Manometer</t>
  </si>
  <si>
    <t>Impact Test for Aggregate</t>
  </si>
  <si>
    <t>BOD INCUBATOR</t>
  </si>
  <si>
    <t xml:space="preserve">Venturimeter </t>
  </si>
  <si>
    <t xml:space="preserve">Orifice and Mouthpiece Apparatus </t>
  </si>
  <si>
    <t xml:space="preserve">Bernoulli's Apparatus </t>
  </si>
  <si>
    <t>Six gas analyser</t>
  </si>
  <si>
    <t>Portable Vacuum cleaner</t>
  </si>
  <si>
    <t>For cleaning of IT eqipments</t>
  </si>
  <si>
    <t>DSLR Camera</t>
  </si>
  <si>
    <t>As per GTU syllabus</t>
  </si>
  <si>
    <t>Bldc ceiling Fan with led light and remote control</t>
  </si>
  <si>
    <t xml:space="preserve">UG course, Minor course of EV and PG course </t>
  </si>
  <si>
    <t>Not available on GeM as per requirement</t>
  </si>
  <si>
    <t>Bldc pedstal Fan with  remote control</t>
  </si>
  <si>
    <t>SMD rework station</t>
  </si>
  <si>
    <t>Champion Interconnects, Mumbai</t>
  </si>
  <si>
    <t>GEM-64295212</t>
  </si>
  <si>
    <t>Digital multimeter</t>
  </si>
  <si>
    <t>Handicapped electric tricycle</t>
  </si>
  <si>
    <t>UG course, Minor course of EV and PG course</t>
  </si>
  <si>
    <t>Item Not Available</t>
  </si>
  <si>
    <t>Electric two wheeler</t>
  </si>
  <si>
    <t>Bid cancelled</t>
  </si>
  <si>
    <t>Cancelled due to RTO Registration Issue</t>
  </si>
  <si>
    <t>Electrical Insulation mat (1000 mm X 2000 mm)</t>
  </si>
  <si>
    <t>For student safety purpose working with live terminals in electrical labs.</t>
  </si>
  <si>
    <t>V.S Cables, Rajsthan</t>
  </si>
  <si>
    <t>GEM-62185339</t>
  </si>
  <si>
    <t>Infrared Thermal Imaging Camera - handly for pictures</t>
  </si>
  <si>
    <t xml:space="preserve">Electrical </t>
  </si>
  <si>
    <t>UG course, Minor course of EV and PG course incudes the thermal management system of EV and storage system</t>
  </si>
  <si>
    <t>L1 Price 1.5 times estimated price</t>
  </si>
  <si>
    <t>colony counter</t>
  </si>
  <si>
    <t>UG course, and for research purpose</t>
  </si>
  <si>
    <t>N.K Enterprises</t>
  </si>
  <si>
    <t>GEM-62986916</t>
  </si>
  <si>
    <t>Ceramic Heating Element</t>
  </si>
  <si>
    <t>Medical Centrifuge</t>
  </si>
  <si>
    <t>Perfect Scientific Works</t>
  </si>
  <si>
    <t>GEM-63212633</t>
  </si>
  <si>
    <t>Water Bath</t>
  </si>
  <si>
    <t>Gurukripa Enterprises, Ahmedabad</t>
  </si>
  <si>
    <t>DLPC-3</t>
  </si>
  <si>
    <t>GEM-68141826</t>
  </si>
  <si>
    <t>Laboratory stirrer</t>
  </si>
  <si>
    <t>GEM-68141792</t>
  </si>
  <si>
    <t>Colorimeter</t>
  </si>
  <si>
    <t>Magnetic Stirrer</t>
  </si>
  <si>
    <t>U.G &amp; P.G</t>
  </si>
  <si>
    <t>GEM-68141721</t>
  </si>
  <si>
    <t>Turbidity meter</t>
  </si>
  <si>
    <t>GEM-68141762</t>
  </si>
  <si>
    <t>Laboratory Incubator</t>
  </si>
  <si>
    <t>M/S Hightech Instruments, Chandigarh</t>
  </si>
  <si>
    <t>GEM-68435505</t>
  </si>
  <si>
    <t>Flame photometer</t>
  </si>
  <si>
    <t>Batra Trading Co., Ambala</t>
  </si>
  <si>
    <t>GEM-68728576</t>
  </si>
  <si>
    <t>Hand Held Gps</t>
  </si>
  <si>
    <t>Laminar Air flow</t>
  </si>
  <si>
    <t>Creative Lab world, Delhi</t>
  </si>
  <si>
    <t>GEM-68518534</t>
  </si>
  <si>
    <t>Laboratory Refrigerator</t>
  </si>
  <si>
    <t>Advance Biotech Solutions Pvt. Ltd, Delhi</t>
  </si>
  <si>
    <t>GEM-68001940</t>
  </si>
  <si>
    <t xml:space="preserve">High Quality Water Purification system </t>
  </si>
  <si>
    <t>Air Blower</t>
  </si>
  <si>
    <t>For cleaning of computer and laboratory</t>
  </si>
  <si>
    <t>WATER DISPENSAR</t>
  </si>
  <si>
    <t>General purpose use</t>
  </si>
  <si>
    <t>Vaccum Cleaner</t>
  </si>
  <si>
    <t>IOT Trainer Kit</t>
  </si>
  <si>
    <t>subject syllabus</t>
  </si>
  <si>
    <t>Reynolds Apparatus</t>
  </si>
  <si>
    <t>Presently available equipment is not repairable. UG course requirement</t>
  </si>
  <si>
    <t>Impact Of Jet Apparatus,</t>
  </si>
  <si>
    <t>Gurukripa Enterprises, Bharuch</t>
  </si>
  <si>
    <t>DLPC-2</t>
  </si>
  <si>
    <t>GEM-66293068</t>
  </si>
  <si>
    <t>Shell and tube heat exchanger</t>
  </si>
  <si>
    <t>UG course requirement</t>
  </si>
  <si>
    <t>Sample Mounting press</t>
  </si>
  <si>
    <t>Abrasive cut-off wheel</t>
  </si>
  <si>
    <t>Automatic polishing machine</t>
  </si>
  <si>
    <t>KAPLAN TURBINE TEST RIG</t>
  </si>
  <si>
    <t>Under writeoff</t>
  </si>
  <si>
    <r>
      <rPr>
        <sz val="11"/>
        <color rgb="FF404040"/>
        <rFont val="Verdana"/>
        <family val="2"/>
      </rPr>
      <t>PELTON WHEEL TURBINE TEST RIG</t>
    </r>
  </si>
  <si>
    <t>Ether Engineers, Ambala</t>
  </si>
  <si>
    <t>GEM-71117366</t>
  </si>
  <si>
    <t>Spark tester</t>
  </si>
  <si>
    <t>Required as per syllabus</t>
  </si>
  <si>
    <t>Ring and Ball Appartus</t>
  </si>
  <si>
    <t>Aniline Point Appratus</t>
  </si>
  <si>
    <t>Not approved</t>
  </si>
  <si>
    <t>Roorkee Equipments</t>
  </si>
  <si>
    <t>Not Approved, L1 Vendor EMD exception not valid-DLPC-1</t>
  </si>
  <si>
    <t>Planetary Mixer</t>
  </si>
  <si>
    <t>LCD display Moisture Analyzer</t>
  </si>
  <si>
    <t>Portable Surface Roughness Tester</t>
  </si>
  <si>
    <t>GSM Cutter</t>
  </si>
  <si>
    <t>Electronic weighing scale - 600 gram , 0.01 g (10 mg)</t>
  </si>
  <si>
    <t>Magnetic Stirrer with hot Plate</t>
  </si>
  <si>
    <t>Digital Moisture Meter</t>
  </si>
  <si>
    <t>Tearing Strength Tester</t>
  </si>
  <si>
    <t>Hot Air Oven - Digital</t>
  </si>
  <si>
    <t>As per GTU syllabus (Old machine not working)</t>
  </si>
  <si>
    <t>Water Heating Bath</t>
  </si>
  <si>
    <t xml:space="preserve">Trolley </t>
  </si>
  <si>
    <t>Various dept.</t>
  </si>
  <si>
    <t>Required for multiple dept.</t>
  </si>
  <si>
    <t>Trolley Mic</t>
  </si>
  <si>
    <t>Bluetooth Mic with Speaker</t>
  </si>
  <si>
    <t>Teaching Assistant Mic</t>
  </si>
  <si>
    <t>Projector Screen</t>
  </si>
  <si>
    <t>Compression testing machine</t>
  </si>
  <si>
    <t>EIE Instruments Pvt. Ltd., Ahmedabad</t>
  </si>
  <si>
    <t>DPC</t>
  </si>
  <si>
    <t>GEM-72018586</t>
  </si>
  <si>
    <t>047762</t>
  </si>
  <si>
    <t>Atomic absorption Spectrophotometer (UV- Visible Double Beam Spectrophotometer)</t>
  </si>
  <si>
    <t>Under DPC</t>
  </si>
  <si>
    <t>Labtronik,Ahmedabad</t>
  </si>
  <si>
    <t>TOTAL SATATION</t>
  </si>
  <si>
    <t>CIVIL</t>
  </si>
  <si>
    <t>VR/AR Headsets</t>
  </si>
  <si>
    <t>PCB prototyping machine</t>
  </si>
  <si>
    <t>Dinesh Scientific,Haryana</t>
  </si>
  <si>
    <t>GEM-71175160</t>
  </si>
  <si>
    <t>Received</t>
  </si>
  <si>
    <t>Electrical machine trainer</t>
  </si>
  <si>
    <t>Araby Technologies,Pune</t>
  </si>
  <si>
    <t>GEM-69563159</t>
  </si>
  <si>
    <t>Infrared Thermal imaging Camera with video recording</t>
  </si>
  <si>
    <t>Water quality analyzer for ions</t>
  </si>
  <si>
    <t>Labdart Instruments Pvt. Ltd.</t>
  </si>
  <si>
    <t>Micro hardness tester</t>
  </si>
  <si>
    <t>Vertical Milling Machine</t>
  </si>
  <si>
    <t>High end Metallurgical Microscope</t>
  </si>
  <si>
    <t>95R1</t>
  </si>
  <si>
    <t xml:space="preserve">Brooke Field Viscometer </t>
  </si>
  <si>
    <t>Lasany International,Haryana</t>
  </si>
  <si>
    <t>GEM-71255476</t>
  </si>
  <si>
    <t>Socks Knitting Machine</t>
  </si>
  <si>
    <t>Circular Knitting Machine- Sinkerbody</t>
  </si>
  <si>
    <t>Circular Knitting Machine- RIB</t>
  </si>
  <si>
    <t>Circular Knitting Machine- Interlock</t>
  </si>
  <si>
    <t>Computerized Tensile strength Tester for Textile</t>
  </si>
  <si>
    <t>Automatic Tensile Strength Tester 500 kg +1000kg(Strio &amp; Grab + Lea + Tear + Tenacity + Seam Slippage + Peal bond Strength + Stretch Recovery)</t>
  </si>
  <si>
    <t>Mag Solvics Pvt. Ltd.</t>
  </si>
  <si>
    <t>GEM-66891026</t>
  </si>
  <si>
    <t>055163</t>
  </si>
  <si>
    <t>MSE</t>
  </si>
  <si>
    <t>Raschel warp knitting Machine</t>
  </si>
  <si>
    <t>Tricot Warp Knitting Machine</t>
  </si>
  <si>
    <t>Wall Mount Fan</t>
  </si>
  <si>
    <t>PA system</t>
  </si>
  <si>
    <t>Ceiling Fan</t>
  </si>
  <si>
    <t>Water Cooler with RO</t>
  </si>
  <si>
    <t>Smart podium</t>
  </si>
  <si>
    <t>Copier machine</t>
  </si>
  <si>
    <t>Air conditioner for laboratory</t>
  </si>
  <si>
    <t>Hot Plate (with Stirrer)</t>
  </si>
  <si>
    <t>Dewar Vessel</t>
  </si>
  <si>
    <t>Required for ME cryogenics system</t>
  </si>
  <si>
    <t>Peristaltic Pump</t>
  </si>
  <si>
    <t>PG and Research Work</t>
  </si>
  <si>
    <t>High precision Weighing Balance</t>
  </si>
  <si>
    <t>PG and Analytical Lab</t>
  </si>
  <si>
    <t>Apple Weighinfra Limited</t>
  </si>
  <si>
    <t>DLPC-7</t>
  </si>
  <si>
    <t>GEM-77015609</t>
  </si>
  <si>
    <t>Ultra low temperature deep freezer</t>
  </si>
  <si>
    <t>Flat bed knitting machine</t>
  </si>
  <si>
    <t>PG course, and for research purpose</t>
  </si>
  <si>
    <t>Cancelled</t>
  </si>
  <si>
    <t>Universal Laboratory Padding Mangle</t>
  </si>
  <si>
    <t>Rotary Vacuum Evaporator</t>
  </si>
  <si>
    <t>Fume Hood</t>
  </si>
  <si>
    <t>Narang Scientific Works Pvt. Ltd., New Delhi</t>
  </si>
  <si>
    <t>GEM-69832077</t>
  </si>
  <si>
    <t>Laser Cutting Machine</t>
  </si>
  <si>
    <t>Required for ME CAD/CAM</t>
  </si>
  <si>
    <t>FTIR Spectroscope</t>
  </si>
  <si>
    <t>Atomic Absorption Spectrophotometer</t>
  </si>
  <si>
    <t>Miniature handloom machine</t>
  </si>
  <si>
    <t xml:space="preserve">Add on </t>
  </si>
  <si>
    <t>Hindustan weaving looms, Azamgarh</t>
  </si>
  <si>
    <t>GEM-69347947</t>
  </si>
  <si>
    <t>Air conditioner for library</t>
  </si>
  <si>
    <t>in the interest of Student-Gymkhana</t>
  </si>
  <si>
    <t>Order placed</t>
  </si>
  <si>
    <t>Gymkhana</t>
  </si>
  <si>
    <t>Air conditioner for laboratory-finalized to Procure</t>
  </si>
  <si>
    <t>GEM-71599823</t>
  </si>
  <si>
    <t>House keeping for Hostel</t>
  </si>
  <si>
    <t>Hostel-Services</t>
  </si>
  <si>
    <t xml:space="preserve">Services required </t>
  </si>
  <si>
    <t>Service</t>
  </si>
  <si>
    <t>Gujarat Services</t>
  </si>
  <si>
    <t>CTE</t>
  </si>
  <si>
    <t>House keeping for Institute</t>
  </si>
  <si>
    <t>Institute-Services</t>
  </si>
  <si>
    <t>paid</t>
  </si>
  <si>
    <t>AMC for Fire System &amp; Fire NOC for Hostel</t>
  </si>
  <si>
    <t>Gen X technologies</t>
  </si>
  <si>
    <t>DPC-1</t>
  </si>
  <si>
    <t>AMC for Canteen/Mess services for Hostel</t>
  </si>
  <si>
    <t>Manpower Outsourcing services-30 Persons</t>
  </si>
  <si>
    <t>AMC for RO plant for Hostel</t>
  </si>
  <si>
    <t>Pure oxidant Tech. Pvt.Ltd.</t>
  </si>
  <si>
    <t>Multi Output DC Power Supply</t>
  </si>
  <si>
    <t>For UG and PG Lab</t>
  </si>
  <si>
    <t>Batra trading Co., Haryana</t>
  </si>
  <si>
    <t>GEM-67047923</t>
  </si>
  <si>
    <t>Digital Electronics Kits (With Additional Cards)</t>
  </si>
  <si>
    <t>Kitek  Technologies &amp; All tech</t>
  </si>
  <si>
    <t>Shrinkage Measurement Template &amp; Scale Universal</t>
  </si>
  <si>
    <t>GEM-61978420</t>
  </si>
  <si>
    <t>Fabric Stiffness Tester</t>
  </si>
  <si>
    <t>GEM-61894717</t>
  </si>
  <si>
    <t>Sound level meter</t>
  </si>
  <si>
    <t>GEM-67085474</t>
  </si>
  <si>
    <t>012162</t>
  </si>
  <si>
    <t>Axis, Common</t>
  </si>
  <si>
    <t>Tachometer</t>
  </si>
  <si>
    <t>Verma Enterprises</t>
  </si>
  <si>
    <t>GEM-62065469</t>
  </si>
  <si>
    <t>Beesley's Balance</t>
  </si>
  <si>
    <t>GEM-61996415</t>
  </si>
  <si>
    <t>Inverted Mettalurgical Microscope</t>
  </si>
  <si>
    <t>For U.G Lab</t>
  </si>
  <si>
    <t>For U.G / P.G Lab</t>
  </si>
  <si>
    <t>Kinetics of Dissolution of Benzoic Acid</t>
  </si>
  <si>
    <t>BOQ</t>
  </si>
  <si>
    <t>Technology Exchange Services Pvt. Ltd.</t>
  </si>
  <si>
    <t>GEM-67861931</t>
  </si>
  <si>
    <t xml:space="preserve">Cascade Continuously Stirred Tank Reactor (Compressed Air  Feed System) </t>
  </si>
  <si>
    <t>GEM-67554640</t>
  </si>
  <si>
    <t>Fluidized bed reactor</t>
  </si>
  <si>
    <t>GEM-67862239</t>
  </si>
  <si>
    <t>Combined Flow Reactor (Peristaltic Pump Feed System)</t>
  </si>
  <si>
    <t>GEM-67863170</t>
  </si>
  <si>
    <t>Control Valve Characteristic</t>
  </si>
  <si>
    <t>GEM-68578543</t>
  </si>
  <si>
    <t>Computerised Pressure Control Trainer</t>
  </si>
  <si>
    <t>GEM-67862674</t>
  </si>
  <si>
    <t>Computerized Distillation Control Trainer</t>
  </si>
  <si>
    <t>GEM-68579108</t>
  </si>
  <si>
    <t>Computerized Reaction Control Trainer</t>
  </si>
  <si>
    <t>GEM-68577284</t>
  </si>
  <si>
    <t>Packed bed recycle reactor with Peristatic Pump</t>
  </si>
  <si>
    <t>GEM-67863519</t>
  </si>
  <si>
    <t>Controlled Atmospheric Furnace</t>
  </si>
  <si>
    <t>Ether Engineers</t>
  </si>
  <si>
    <t>GEM-70962590</t>
  </si>
  <si>
    <t>003522</t>
  </si>
  <si>
    <t>HDFC Bank</t>
  </si>
  <si>
    <t>Dignostic Instrumentation Educational Kits</t>
  </si>
  <si>
    <t>Monarch Sales, Vadodara</t>
  </si>
  <si>
    <t>GEM-69828029</t>
  </si>
  <si>
    <t>0554826IPG000063</t>
  </si>
  <si>
    <t>Indian Bank</t>
  </si>
  <si>
    <t>Body Composition Analyzer</t>
  </si>
  <si>
    <t>Laser and fiber optics Trainer Kit</t>
  </si>
  <si>
    <t>Mechmatics Engineering Pvt. Ltd, Ahmedabad</t>
  </si>
  <si>
    <t>GEM-69863946</t>
  </si>
  <si>
    <t>Indus bank</t>
  </si>
  <si>
    <t>Blood Pressure Monitor with ECG Measurement System</t>
  </si>
  <si>
    <t xml:space="preserve">3D Printer </t>
  </si>
  <si>
    <t>Wol 3D India Limited, Mumbai</t>
  </si>
  <si>
    <t>GEM-67878931</t>
  </si>
  <si>
    <t>95R</t>
  </si>
  <si>
    <t>UV visible Spectrophotometer</t>
  </si>
  <si>
    <t>Required as per  syllabus</t>
  </si>
  <si>
    <t>GEM-66463745</t>
  </si>
  <si>
    <t>ICI Pilling Tester - 2 Boxes</t>
  </si>
  <si>
    <t>GEM-64551268</t>
  </si>
  <si>
    <t>Pallet truck( 3 tonn)</t>
  </si>
  <si>
    <t>Stacker &amp; Movers (I) Pvt. Ltd.</t>
  </si>
  <si>
    <t>GEM-63600506</t>
  </si>
  <si>
    <t>Ultrasonic Distance Meter</t>
  </si>
  <si>
    <t>Newton's ring experiments set up (Full Assembly )</t>
  </si>
  <si>
    <t>GEM-72766631</t>
  </si>
  <si>
    <t>Michelson Interferometer Standard Model</t>
  </si>
  <si>
    <t>GEM-72766917</t>
  </si>
  <si>
    <t>Kundt's Tube Apparatus</t>
  </si>
  <si>
    <t>GEM-72767434</t>
  </si>
  <si>
    <t>Torsional Pendulum</t>
  </si>
  <si>
    <t>Wintronix, Ahmedabad</t>
  </si>
  <si>
    <t>GEM-72039293</t>
  </si>
  <si>
    <t>004634</t>
  </si>
  <si>
    <t xml:space="preserve">Yong's modulus apparatus to study uniform- nonuniform bending, depression, elevation of beam </t>
  </si>
  <si>
    <t>GEM-72767941</t>
  </si>
  <si>
    <t>Diode LASER (Red and Green Diode LASER) assembly</t>
  </si>
  <si>
    <t>GEM-71010239</t>
  </si>
  <si>
    <t>Uniform and non uniform bending of beam</t>
  </si>
  <si>
    <t>004635</t>
  </si>
  <si>
    <t>Superonductivity Experiement kit</t>
  </si>
  <si>
    <t>GEM-72206694</t>
  </si>
  <si>
    <t>Measuring Scale Wooden-100 cm</t>
  </si>
  <si>
    <t>The Central Scientific Sup. Co.</t>
  </si>
  <si>
    <t>GEM-62128470</t>
  </si>
  <si>
    <t>Laser Distance Meter</t>
  </si>
  <si>
    <t xml:space="preserve">Not Supply </t>
  </si>
  <si>
    <t>Goyal Engg. &amp; Electrical, Rajsthan</t>
  </si>
  <si>
    <t>Determination of Energy Band gap in Semi conductor Diode</t>
  </si>
  <si>
    <t>NVIS Technologies Pvt. Ltd.</t>
  </si>
  <si>
    <t>Apparatus for Hook's Law verification</t>
  </si>
  <si>
    <t>GEM-71009969</t>
  </si>
  <si>
    <t>004617</t>
  </si>
  <si>
    <t>Cantilever depression</t>
  </si>
  <si>
    <t>GEM-72040367</t>
  </si>
  <si>
    <t>004636</t>
  </si>
  <si>
    <t xml:space="preserve">Spectrometer -Goniometer </t>
  </si>
  <si>
    <t>GEM-72766407</t>
  </si>
  <si>
    <t>Measurement of Wavelength of LASER</t>
  </si>
  <si>
    <t>GEM-71471966</t>
  </si>
  <si>
    <t>040884</t>
  </si>
  <si>
    <t>Axis bank</t>
  </si>
  <si>
    <t>Plastic Flat Pallet of Rectangular Shape</t>
  </si>
  <si>
    <t>Add on</t>
  </si>
  <si>
    <t>M/S Smart Supply</t>
  </si>
  <si>
    <t>GEM-63168714</t>
  </si>
  <si>
    <t>Safelift Pallet Truck (3000 KG)</t>
  </si>
  <si>
    <t>Devansh Enterprisess</t>
  </si>
  <si>
    <t>GEM-62809145</t>
  </si>
  <si>
    <t>Miniature Rotor Spinning</t>
  </si>
  <si>
    <t>GEM-73160603</t>
  </si>
  <si>
    <t>009149</t>
  </si>
  <si>
    <t>GEM-73161828</t>
  </si>
  <si>
    <t>009152</t>
  </si>
  <si>
    <t>AMC for RO &amp; Water Cooler</t>
  </si>
  <si>
    <t>Jyoti Enterprises, Ahmedabad</t>
  </si>
  <si>
    <t>Tube lights</t>
  </si>
  <si>
    <t>Consumable</t>
  </si>
  <si>
    <t>A B Pal Electronics Pvt. Ltd., Delhi</t>
  </si>
  <si>
    <t>GEM-66426336</t>
  </si>
  <si>
    <t>Expempted</t>
  </si>
  <si>
    <t>Burst Strength tester</t>
  </si>
  <si>
    <t>EIE Instruments Pvt. Ltd</t>
  </si>
  <si>
    <t>GEM-73016693</t>
  </si>
  <si>
    <t>Electro Pneumatic Trainer</t>
  </si>
  <si>
    <t>Technology Excahnge Services Pvt.Ltd., Ahmedabad</t>
  </si>
  <si>
    <t>GEM-72737404</t>
  </si>
  <si>
    <t>95R3</t>
  </si>
  <si>
    <t>Horizontal Autoclave</t>
  </si>
  <si>
    <t>Mark Enterprises, Nashik</t>
  </si>
  <si>
    <t>Compact weather Station</t>
  </si>
  <si>
    <t>Bid Cancelled</t>
  </si>
  <si>
    <t>02 (Add-On List)</t>
  </si>
  <si>
    <t>RL Network Response</t>
  </si>
  <si>
    <t>Monarch Sales</t>
  </si>
  <si>
    <t>GEM-65624455</t>
  </si>
  <si>
    <t>03 (Add-On List)</t>
  </si>
  <si>
    <t>Half-wave Voltage Doubler circuit</t>
  </si>
  <si>
    <t>GEM-65631035</t>
  </si>
  <si>
    <t>04 (Add-On List)</t>
  </si>
  <si>
    <t>Full-wave Voltage Doubler circuit</t>
  </si>
  <si>
    <t>Royal Electronics Sales &amp; Services</t>
  </si>
  <si>
    <t>GEM-66730074</t>
  </si>
  <si>
    <t>05 (Add-On List)</t>
  </si>
  <si>
    <t>Voltage Tripler Circuit</t>
  </si>
  <si>
    <t>GEM-65630020</t>
  </si>
  <si>
    <t>06 (Add-On List)</t>
  </si>
  <si>
    <t>FET (BFW10/BFW11)</t>
  </si>
  <si>
    <t>GEM-65629264</t>
  </si>
  <si>
    <t>07 (Add-On List)</t>
  </si>
  <si>
    <t>VI Characteristics BJT CB config</t>
  </si>
  <si>
    <t>GEM-66693930</t>
  </si>
  <si>
    <t>08 (Add-On List)</t>
  </si>
  <si>
    <t>BJT CE config</t>
  </si>
  <si>
    <t>GEM-65627819</t>
  </si>
  <si>
    <t>11 (Add-On List)</t>
  </si>
  <si>
    <t>1-Phase Full-Wave Centre-Tap Rectifier w/ Filters</t>
  </si>
  <si>
    <t>GEM-66693766</t>
  </si>
  <si>
    <t>12 (Add-On List)</t>
  </si>
  <si>
    <t>1-Phase Full-Wave Bridge Rectifier w/ Filters</t>
  </si>
  <si>
    <t>GEM-65627341</t>
  </si>
  <si>
    <t>13 (Add-On List)</t>
  </si>
  <si>
    <t>Voltage Quadruple Circuit</t>
  </si>
  <si>
    <t>GEM-66729790</t>
  </si>
  <si>
    <t>14 (Add-On List)</t>
  </si>
  <si>
    <t>Zener Diode as Voltage Regulator</t>
  </si>
  <si>
    <t>GEM-65629745</t>
  </si>
  <si>
    <t>15 (Add-On List)</t>
  </si>
  <si>
    <t>Fixed bias circuit for BJT</t>
  </si>
  <si>
    <t>GEM-66728915</t>
  </si>
  <si>
    <t>16 (Add-On List)</t>
  </si>
  <si>
    <t>Voltage divider bias circuit for BJT</t>
  </si>
  <si>
    <t>GEM-66728798</t>
  </si>
  <si>
    <t>17 (Add-On List)</t>
  </si>
  <si>
    <t>CE amplifier (Class-A)</t>
  </si>
  <si>
    <t>GEM-66729159</t>
  </si>
  <si>
    <t>18 (Add-On List)</t>
  </si>
  <si>
    <t>Full-wave &amp; Half wave Voltage Doubler circuit</t>
  </si>
  <si>
    <t>GEM-67414388</t>
  </si>
  <si>
    <t>25 (Add-On List)</t>
  </si>
  <si>
    <t>RLC Network Response</t>
  </si>
  <si>
    <t>GEM-65624130</t>
  </si>
  <si>
    <t>26 (Add-On List)</t>
  </si>
  <si>
    <t>1-Phase half wave controlled rectifier with “R/RL” load, with free wheeling diode</t>
  </si>
  <si>
    <t>Highness INC</t>
  </si>
  <si>
    <t>GEM-66695126</t>
  </si>
  <si>
    <t>27 (Add-On List)</t>
  </si>
  <si>
    <t>1-Phase full wave fully controlled rectifier using one SCR with “R” load</t>
  </si>
  <si>
    <t>GEM-66694831</t>
  </si>
  <si>
    <t>28 (Add-On List)</t>
  </si>
  <si>
    <t>Clipping &amp; Clamping circuits using diodes</t>
  </si>
  <si>
    <t>GEM-65624739</t>
  </si>
  <si>
    <t>29 (Add-On List)</t>
  </si>
  <si>
    <t>All rectifier types with filters</t>
  </si>
  <si>
    <t>GEM-66728649</t>
  </si>
  <si>
    <t>34 (Add-On List)</t>
  </si>
  <si>
    <t>1 phasse half bridge Inverter by MOSFET</t>
  </si>
  <si>
    <t>GEM-66694399</t>
  </si>
  <si>
    <t>35 (Add-On List)</t>
  </si>
  <si>
    <t>1 Phase Bridge Inverter by MOSFET</t>
  </si>
  <si>
    <t>GEM-66694509</t>
  </si>
  <si>
    <t>36 (add-on list)</t>
  </si>
  <si>
    <t>3-Phase half wave controlled rectifier with “R / RL” load, with free wheeling diode.</t>
  </si>
  <si>
    <t>Order in Cart</t>
  </si>
  <si>
    <t>GEM-67867037</t>
  </si>
  <si>
    <t>37 (add-on list)</t>
  </si>
  <si>
    <t>3-Phase full wave half controlled bridge rectifier with “R / RL” load, with free wheeling diode.</t>
  </si>
  <si>
    <t>GEM-67865862</t>
  </si>
  <si>
    <t>38 (add-on list)</t>
  </si>
  <si>
    <t>Three-Phase (AC Regulator) AC power control using Triac</t>
  </si>
  <si>
    <t>GEM-67865516</t>
  </si>
  <si>
    <t>39 (add-on list)</t>
  </si>
  <si>
    <t>1-Phase Dual Converter</t>
  </si>
  <si>
    <t>GEM-67863609</t>
  </si>
  <si>
    <t>40 (add-on list)</t>
  </si>
  <si>
    <t>Step down chopper trainer using MOSFET / IGBT</t>
  </si>
  <si>
    <t>GEM-67863833</t>
  </si>
  <si>
    <t>41 (add-on list)</t>
  </si>
  <si>
    <t>Step up chopper trainer using MOSFET / IGBT</t>
  </si>
  <si>
    <t>GEM-67864223</t>
  </si>
  <si>
    <t>42 (add-on list)</t>
  </si>
  <si>
    <t>Step up / down chopper trainer using MOSFET / IGBT</t>
  </si>
  <si>
    <t>GEM-67864466</t>
  </si>
  <si>
    <t>43 (add-on list)</t>
  </si>
  <si>
    <t>General Purpose AC/DC Network</t>
  </si>
  <si>
    <t>GEM-67866779</t>
  </si>
  <si>
    <t>44 (add-on list)</t>
  </si>
  <si>
    <t>1 phase to 1 phase cycloconverter</t>
  </si>
  <si>
    <t>GEM-67864908</t>
  </si>
  <si>
    <t>45 (add-on list)</t>
  </si>
  <si>
    <t>Speed control of DC &amp; 1-Phase AC motor using SCR (Universal sewing motor)</t>
  </si>
  <si>
    <t>GEM-67863074</t>
  </si>
  <si>
    <t>49 (Add-On-List)</t>
  </si>
  <si>
    <t>Battery Characteristics Training Solutions Lithium polymer (Lipo) battery</t>
  </si>
  <si>
    <t>50 (Add-On-List)</t>
  </si>
  <si>
    <t xml:space="preserve">Lead - Acid Battery Characteristics </t>
  </si>
  <si>
    <t>51 (Add-On-List)</t>
  </si>
  <si>
    <t xml:space="preserve">Li-ion Battery Characteristics </t>
  </si>
  <si>
    <t>52 (Add-On-List)</t>
  </si>
  <si>
    <t>Battery Characteristics Training Systems Lithium Iron Phosphate</t>
  </si>
  <si>
    <t>53 (Add-On-List)</t>
  </si>
  <si>
    <t xml:space="preserve">Regenerative Charging and Braking </t>
  </si>
  <si>
    <t>54 (Add-On-List)</t>
  </si>
  <si>
    <t>Battery Management Training Systems</t>
  </si>
  <si>
    <t>55 (Add-On-List)</t>
  </si>
  <si>
    <t>Electrical Vehicle Training System - 438</t>
  </si>
  <si>
    <t>56 (Add-On-List)</t>
  </si>
  <si>
    <t>PMSM Motor Training System</t>
  </si>
  <si>
    <t>57 (Add-On-List)</t>
  </si>
  <si>
    <t>Numerical Parallel Feeder Protection</t>
  </si>
  <si>
    <t>GEM-72279630</t>
  </si>
  <si>
    <t>58 (Add-On-List)</t>
  </si>
  <si>
    <t>Switch Reductance Motor Training System</t>
  </si>
  <si>
    <t>VPL Infootech &amp; consultant, Delhi</t>
  </si>
  <si>
    <t>GEM-69454649</t>
  </si>
  <si>
    <t>Copier Machine</t>
  </si>
  <si>
    <t>Battery Tester</t>
  </si>
  <si>
    <t>Intella Education Pvt. Ltd., Delhi</t>
  </si>
  <si>
    <t>GEM-65571505</t>
  </si>
  <si>
    <t>Inside LCD Display Callipers</t>
  </si>
  <si>
    <t>Ubixa Pvt. Ltd., Maharashtra</t>
  </si>
  <si>
    <t>GEM-65455179</t>
  </si>
  <si>
    <t>S.S Incremental Optical Rotary Encoder</t>
  </si>
  <si>
    <t>Polestar, U.P</t>
  </si>
  <si>
    <t>GEM-65362998</t>
  </si>
  <si>
    <t>Small Angle Grinder</t>
  </si>
  <si>
    <t>Bhagvat Enterprise, Punjab</t>
  </si>
  <si>
    <t>GEM-65149992</t>
  </si>
  <si>
    <t>Process Control Trainer - Flow, Level with Pneumatic Control Valve</t>
  </si>
  <si>
    <t>Process Control Trainer-Pressure, Temperature, Flow.</t>
  </si>
  <si>
    <t>Process Instrumentation Trainer</t>
  </si>
  <si>
    <t>All tech Electronics, Ahmedabad</t>
  </si>
  <si>
    <t>Microprocessor and Microcontroller Trainer Kits</t>
  </si>
  <si>
    <t>Basic Electronics and Measurement Kits</t>
  </si>
  <si>
    <t>Advance Microcontroller Trainer Kits</t>
  </si>
  <si>
    <t>GEM-71896487</t>
  </si>
  <si>
    <t>0554826IPG000083</t>
  </si>
  <si>
    <t>Transducer and Measurement Trainer Kits</t>
  </si>
  <si>
    <t>4 AXIS Articulated Robot ARM Work-Cell with Conveyor, Pick &amp; Place (MATLAB compatible)</t>
  </si>
  <si>
    <t>DC Motor Kit</t>
  </si>
  <si>
    <t>GEM-72206886</t>
  </si>
  <si>
    <t>004640</t>
  </si>
  <si>
    <t>HDFC</t>
  </si>
  <si>
    <t>Advanced hardware-software kit for Machine Learning</t>
  </si>
  <si>
    <t>GEM-72206395</t>
  </si>
  <si>
    <t>004639</t>
  </si>
  <si>
    <t>Electric Circuit Analysis Experiment Kit</t>
  </si>
  <si>
    <t>Cubix Automation Pvt. Ltd, Pune</t>
  </si>
  <si>
    <t>Abrasion cum Pilling Tester - Martindale Type</t>
  </si>
  <si>
    <t>GEM-70343000</t>
  </si>
  <si>
    <t>Water Cooler for Admin offfice</t>
  </si>
  <si>
    <t>Thor Industries, Haryana</t>
  </si>
  <si>
    <t>GEM-64749355</t>
  </si>
  <si>
    <t>95R4</t>
  </si>
  <si>
    <t>Moving Die Rheometer (MDR)</t>
  </si>
  <si>
    <t>Stech Engineers, Maharashtra</t>
  </si>
  <si>
    <t>Carbon Black Dispersion Analyzer</t>
  </si>
  <si>
    <t>GEM-72942524</t>
  </si>
  <si>
    <t>Lab Mixing Mill (2 roll) Rubber and Thermoplastic Elastomer (Hot and Cold)</t>
  </si>
  <si>
    <t>Fatigue Testing machine for rubber</t>
  </si>
  <si>
    <t>Melt Flow Index or Melt flow rate (MFI) Digital</t>
  </si>
  <si>
    <t>Vicat Softening Point (VSP) and Heat Deflection Temperature (HDT) APPARATUS</t>
  </si>
  <si>
    <t>vaccum type Rubber Compression Moulding Machine</t>
  </si>
  <si>
    <t>Izod and  Charpy Impact Tester Digital</t>
  </si>
  <si>
    <t>GEM-73017148</t>
  </si>
  <si>
    <t>UV light Accelerated Weathering Tester (Digital)</t>
  </si>
  <si>
    <t>Environmental Stress Cracking Resistance(ESCR) for rubber</t>
  </si>
  <si>
    <t>Scratch Hardness Tester</t>
  </si>
  <si>
    <t>Flammability Tester (UL-94)</t>
  </si>
  <si>
    <t>Dumbbell Cuting Press with ASTM D412 all die types</t>
  </si>
  <si>
    <t>IRHD hardness Tester Digital</t>
  </si>
  <si>
    <t>Rebound Resilience Tester</t>
  </si>
  <si>
    <t>Dynamic Mechanical Analyzer</t>
  </si>
  <si>
    <t>Hot foil stamping Machine</t>
  </si>
  <si>
    <t>Flammability Tester</t>
  </si>
  <si>
    <t>Falling dart Impact tester for films</t>
  </si>
  <si>
    <t>Vertical Hydraulic Injection Moulding Machine</t>
  </si>
  <si>
    <t>Pad Printing Machine</t>
  </si>
  <si>
    <t>Lab scale Blow Moulding Machine WITH MOULDS and auxillary attachments</t>
  </si>
  <si>
    <t>Lab scale Compression Molding Machine with Mold</t>
  </si>
  <si>
    <t>Lab Scale Twin Screw Extruder with all auxillary attachments</t>
  </si>
  <si>
    <t>Augmented Reality Welding Simulator</t>
  </si>
  <si>
    <t>Simbott Technologies LLP</t>
  </si>
  <si>
    <t>59 (add-on list)</t>
  </si>
  <si>
    <t>Electrical Vehicle Motors and Drives Workbench without DAQ</t>
  </si>
  <si>
    <t>Eletric Drill</t>
  </si>
  <si>
    <t>SAN Square Enterprises</t>
  </si>
  <si>
    <t>GEM-66104622</t>
  </si>
  <si>
    <t>Cordless Brushed Electric Drill</t>
  </si>
  <si>
    <t>OIBC Bearing Pvt. Ltd.</t>
  </si>
  <si>
    <t>GEM-66198511</t>
  </si>
  <si>
    <t>Electric Grinder</t>
  </si>
  <si>
    <t>SAF Services Pvt. Ltd.</t>
  </si>
  <si>
    <t>GEM-65527456</t>
  </si>
  <si>
    <t>High Pressure Continuous Flow Reactor</t>
  </si>
  <si>
    <t>Indo Aerogels and Membranes</t>
  </si>
  <si>
    <t>GEM-72672487</t>
  </si>
  <si>
    <t>Peerumal &amp; sons</t>
  </si>
  <si>
    <t>GEM-65655412</t>
  </si>
  <si>
    <t>Micro/Semimicro/Analytical weighing balance</t>
  </si>
  <si>
    <t>Maruti weihtech Pvt. Ltd.</t>
  </si>
  <si>
    <t>GEM-72727289</t>
  </si>
  <si>
    <t>Hightech Instruments, Chandigarh</t>
  </si>
  <si>
    <t>GEM-71802642</t>
  </si>
  <si>
    <t>EPABX System</t>
  </si>
  <si>
    <t>Office Exp</t>
  </si>
  <si>
    <t>ASPIRETECHNO GLOBAL PRIVATE LIMITED</t>
  </si>
  <si>
    <t>GEM-68245760</t>
  </si>
  <si>
    <t>GEM-71802846</t>
  </si>
  <si>
    <t>GO3D INNOVATION LLP</t>
  </si>
  <si>
    <t>GEM-72449105</t>
  </si>
  <si>
    <t>Pressure regulator for gases</t>
  </si>
  <si>
    <t>Hisar Enterprises, Hisar, Haryana</t>
  </si>
  <si>
    <t>GEM-70783806</t>
  </si>
  <si>
    <t>Sonophoto Chemical Reactor</t>
  </si>
  <si>
    <t>Dakshin, Mumbai</t>
  </si>
  <si>
    <r>
      <t>Supercritical Fluid Extraction System</t>
    </r>
    <r>
      <rPr>
        <b/>
        <sz val="11"/>
        <color rgb="FF000000"/>
        <rFont val="Shruti"/>
        <family val="2"/>
      </rPr>
      <t xml:space="preserve"> </t>
    </r>
  </si>
  <si>
    <t>Amar Equipment</t>
  </si>
  <si>
    <t>Micro flow Reactor</t>
  </si>
  <si>
    <r>
      <t xml:space="preserve">INDO AEROGELS AND MEMBRANES </t>
    </r>
    <r>
      <rPr>
        <sz val="11"/>
        <color rgb="FF000000"/>
        <rFont val="Shruti"/>
        <family val="2"/>
      </rPr>
      <t xml:space="preserve"> </t>
    </r>
  </si>
  <si>
    <t>Weighing Scale</t>
  </si>
  <si>
    <t>Libra Scale Industries, Ranchi</t>
  </si>
  <si>
    <t>GEM-69554894</t>
  </si>
  <si>
    <t>Floor type Tower AC</t>
  </si>
  <si>
    <t>Nexus Enterprise,Delhi</t>
  </si>
  <si>
    <t>DLPC</t>
  </si>
  <si>
    <t>GEM-69708936</t>
  </si>
  <si>
    <t>U-Tube Manometer</t>
  </si>
  <si>
    <t>Shalini Kumani,Nawada</t>
  </si>
  <si>
    <t>GEM-70892636</t>
  </si>
  <si>
    <t xml:space="preserve"> F.Y-2025-26: LDCE-Status of Procurement </t>
  </si>
  <si>
    <t>All Amount in Rs.</t>
  </si>
  <si>
    <t>Values</t>
  </si>
  <si>
    <t xml:space="preserve">Estimated Cost 
</t>
  </si>
  <si>
    <t>Sum of L1 Amount</t>
  </si>
  <si>
    <t>Bid Published Total</t>
  </si>
  <si>
    <t>Evolution in process</t>
  </si>
  <si>
    <t>Under DPC Total</t>
  </si>
  <si>
    <t>Bid cancelled Total</t>
  </si>
  <si>
    <t>Order placed Total</t>
  </si>
  <si>
    <t>Not approved Total</t>
  </si>
  <si>
    <t>Penalty</t>
  </si>
  <si>
    <t>Bill submitted  Total</t>
  </si>
  <si>
    <t>Actual Bill submitted after penalty</t>
  </si>
  <si>
    <t>Equipment Total</t>
  </si>
  <si>
    <t>Sr.No.</t>
  </si>
  <si>
    <t>Approved</t>
  </si>
  <si>
    <t>I.C.</t>
  </si>
  <si>
    <t>Under DLPC</t>
  </si>
  <si>
    <t>Pantron Automation Pvt. Ltd, Delhi</t>
  </si>
  <si>
    <t>Lasany International, Haryana</t>
  </si>
  <si>
    <t>LDCE-Purchase Expenditure-2025-26 as on 31/03/2026</t>
  </si>
  <si>
    <t>A</t>
  </si>
  <si>
    <t>B</t>
  </si>
  <si>
    <t>C</t>
  </si>
  <si>
    <t>D</t>
  </si>
  <si>
    <t>E</t>
  </si>
  <si>
    <t>F = B- C</t>
  </si>
  <si>
    <t>G</t>
  </si>
  <si>
    <t>H</t>
  </si>
  <si>
    <t>I</t>
  </si>
  <si>
    <t>Dept. (Equipment Demand)</t>
  </si>
  <si>
    <t>Total Demand 
@ New Item-Eq.</t>
  </si>
  <si>
    <t>Dept. Commitment @ meeting 05-02-26</t>
  </si>
  <si>
    <t>Diff. Commitment minus Order placed</t>
  </si>
  <si>
    <t>Not Supply/ Rejected</t>
  </si>
  <si>
    <t>89000-TED-11</t>
  </si>
  <si>
    <t>Computer Engg.</t>
  </si>
  <si>
    <t>236500-TED-11</t>
  </si>
  <si>
    <t>Total Expenditure as on 28-03-2026 till Sr.no.192 of bill reg.</t>
  </si>
  <si>
    <t>last  Textile</t>
  </si>
  <si>
    <t>Admin approval limit</t>
  </si>
  <si>
    <t>Grand total of  L1</t>
  </si>
  <si>
    <t>Bid / Direct Purchase In process</t>
  </si>
  <si>
    <t>Pending upcoming bills from Order Placed</t>
  </si>
  <si>
    <t>Error</t>
  </si>
  <si>
    <t>Out of Total Expenditure</t>
  </si>
  <si>
    <t>TED-11-Eq.</t>
  </si>
  <si>
    <t>Price diff.  L1 vs Processed</t>
  </si>
  <si>
    <t>TED-5-Eq.</t>
  </si>
  <si>
    <t>Exp.</t>
  </si>
  <si>
    <t>Admin Approval</t>
  </si>
  <si>
    <t>% utilization</t>
  </si>
  <si>
    <t>New item Exp.</t>
  </si>
  <si>
    <t>IT Equipment</t>
  </si>
  <si>
    <t>Textile NTTM</t>
  </si>
  <si>
    <t xml:space="preserve">Books </t>
  </si>
  <si>
    <t>AMC for Services</t>
  </si>
  <si>
    <t>Furniture</t>
  </si>
  <si>
    <t>Contingency</t>
  </si>
  <si>
    <t>Total New item Exp.</t>
  </si>
  <si>
    <t>All Expenditure</t>
  </si>
  <si>
    <t>Books-TED-5 apart from above summary</t>
  </si>
  <si>
    <t>Textile Engg- NTTM Fund  apart from above summary</t>
  </si>
  <si>
    <t>Furniture, TED-5</t>
  </si>
  <si>
    <t>IT equipment</t>
  </si>
  <si>
    <t>Office Expense/ Contingency/ Consumable</t>
  </si>
  <si>
    <t>Grand total all Purchase</t>
  </si>
  <si>
    <t>LDCE-New Item-2025-26-Furniture Purchased</t>
  </si>
  <si>
    <t>Description</t>
  </si>
  <si>
    <t>Qty.</t>
  </si>
  <si>
    <t>Estimated Amount</t>
  </si>
  <si>
    <t>Seminar chair</t>
  </si>
  <si>
    <t>Computer Chair, Revolving Chair for Cl-1 &amp; Cl-3</t>
  </si>
  <si>
    <t>Class room Bench-3 Seater &amp; 2-Seater</t>
  </si>
  <si>
    <t>Steel Cupboard Major, Minor, Laboratory Cupboard &amp; Library Cupboard</t>
  </si>
  <si>
    <t>Revolving Chair Class-2 &amp; Executive Chair</t>
  </si>
  <si>
    <t>Steel filing Cabinet</t>
  </si>
  <si>
    <t>Visitor Chair</t>
  </si>
  <si>
    <t>Computer table &amp; Office table for Cl-1,2 &amp; 3</t>
  </si>
  <si>
    <t>Class room table</t>
  </si>
  <si>
    <t>Lab Stool , Wooden &amp; Steel</t>
  </si>
  <si>
    <t>Open Rack for Library</t>
  </si>
  <si>
    <t xml:space="preserve">Compactor </t>
  </si>
  <si>
    <t>Class Room Board &amp; Notice Board</t>
  </si>
  <si>
    <t>Qty</t>
  </si>
  <si>
    <t>Rate per unit</t>
  </si>
  <si>
    <t>Total Amount As per AT</t>
  </si>
  <si>
    <t>Bill to be paid to the party</t>
  </si>
  <si>
    <t>GIL service charge</t>
  </si>
  <si>
    <t>Grand total Bill paid</t>
  </si>
  <si>
    <t>Po Date</t>
  </si>
  <si>
    <t>Due date for Supply &amp; Installation</t>
  </si>
  <si>
    <t>Installation Complition</t>
  </si>
  <si>
    <t>Bill.No.</t>
  </si>
  <si>
    <t>Bill. Date.</t>
  </si>
  <si>
    <t>A4 Multifunction laser  Printer</t>
  </si>
  <si>
    <t>As per AT</t>
  </si>
  <si>
    <t>intime</t>
  </si>
  <si>
    <t>Printmark Technologies Pvt. Ltd.</t>
  </si>
  <si>
    <t>PMT/GJ25-26/0052</t>
  </si>
  <si>
    <t>A4 Mmono Inkjet  Printer</t>
  </si>
  <si>
    <t>Earth Syscom Pvt. Ltd.</t>
  </si>
  <si>
    <t>SI/ES/SEP25/0098</t>
  </si>
  <si>
    <t>A4 duuplex Scanner</t>
  </si>
  <si>
    <t>SI/ES/OCT25/0035</t>
  </si>
  <si>
    <t>GIL Service Charge for 12 Nos. Print mark Printers</t>
  </si>
  <si>
    <t>Sep=2526-H-42</t>
  </si>
  <si>
    <t>GIL Service Charge for 12 Nos. Canon Printers</t>
  </si>
  <si>
    <t>Oct-2526-H-2</t>
  </si>
  <si>
    <t>Oct-2526-H-76</t>
  </si>
  <si>
    <t>Under Process</t>
  </si>
  <si>
    <t>Estimated  Cost</t>
  </si>
  <si>
    <t xml:space="preserve">Projector sets </t>
  </si>
  <si>
    <t xml:space="preserve"> F.Y-2025-26-L.D COLLEGE OF ENGINEERING, AHMEDABAD , NEW ITEMS GRANT DETAILS</t>
  </si>
  <si>
    <t>Rs. In Lakh</t>
  </si>
  <si>
    <t>NI-Equipment</t>
  </si>
  <si>
    <t>NI-Furniture</t>
  </si>
  <si>
    <t>NI-Books</t>
  </si>
  <si>
    <t>NI-Maintenance</t>
  </si>
  <si>
    <t>Total (Except IT HW &amp; SW)</t>
  </si>
  <si>
    <t>IT-HW &amp; SW</t>
  </si>
  <si>
    <t>Grand total</t>
  </si>
  <si>
    <t>Budget Head---------&gt;</t>
  </si>
  <si>
    <t>TED-5</t>
  </si>
  <si>
    <t>TED-11</t>
  </si>
  <si>
    <t>Administrative approval Rs. In Lakh</t>
  </si>
  <si>
    <t>Total (TED-5+TED-11)</t>
  </si>
  <si>
    <t>Grant allocated-21/05/2025</t>
  </si>
  <si>
    <t>Grant allocated-01/07/2025</t>
  </si>
  <si>
    <t>Grant allocated-16/10/2025</t>
  </si>
  <si>
    <t>Total Grant Allocated</t>
  </si>
  <si>
    <t>Summary of Expenditure:</t>
  </si>
  <si>
    <t>Rs. In lakh</t>
  </si>
  <si>
    <t>Budget head</t>
  </si>
  <si>
    <t>Books</t>
  </si>
  <si>
    <t>Conti. /Consumable/Office expenses</t>
  </si>
  <si>
    <t>Ansys software renewal under DEDF</t>
  </si>
  <si>
    <t>Not Executed Orders</t>
  </si>
  <si>
    <t xml:space="preserve">Disqualified in DLPC </t>
  </si>
  <si>
    <t>Not Supplied/Not Executed</t>
  </si>
  <si>
    <t>Books Expenditure</t>
  </si>
  <si>
    <t>Total DPC Not approved (Eq &amp; Fur) &amp; Manpower out sourcing/ Housekeeping for Hostel</t>
  </si>
  <si>
    <t>L D College of Engineering, Ahmedabad</t>
  </si>
  <si>
    <t xml:space="preserve">Files submitted to DTE for  DPC </t>
  </si>
  <si>
    <r>
      <rPr>
        <b/>
        <sz val="9"/>
        <rFont val="Times New Roman"/>
        <family val="1"/>
      </rPr>
      <t>Sr No</t>
    </r>
  </si>
  <si>
    <r>
      <rPr>
        <b/>
        <sz val="9"/>
        <rFont val="Times New Roman"/>
        <family val="1"/>
      </rPr>
      <t>Particulars</t>
    </r>
  </si>
  <si>
    <r>
      <rPr>
        <b/>
        <sz val="9"/>
        <rFont val="Times New Roman"/>
        <family val="1"/>
      </rPr>
      <t>Department</t>
    </r>
  </si>
  <si>
    <t>E-Sarkar No</t>
  </si>
  <si>
    <t>Date of Submission</t>
  </si>
  <si>
    <t>L1 Value</t>
  </si>
  <si>
    <r>
      <rPr>
        <sz val="9"/>
        <rFont val="Times New Roman"/>
        <family val="1"/>
      </rPr>
      <t>Shifting of Four Departments to New Buidling</t>
    </r>
  </si>
  <si>
    <r>
      <rPr>
        <sz val="9"/>
        <rFont val="Times New Roman"/>
        <family val="1"/>
      </rPr>
      <t>Central Store</t>
    </r>
  </si>
  <si>
    <r>
      <rPr>
        <sz val="9"/>
        <rFont val="Times New Roman"/>
        <family val="1"/>
      </rPr>
      <t>5894/e-tappal/01/2026</t>
    </r>
  </si>
  <si>
    <r>
      <rPr>
        <sz val="9"/>
        <rFont val="Times New Roman"/>
        <family val="1"/>
      </rPr>
      <t>Compression Testing Machine</t>
    </r>
  </si>
  <si>
    <r>
      <rPr>
        <sz val="9"/>
        <rFont val="Times New Roman"/>
        <family val="1"/>
      </rPr>
      <t>Applied Mechan</t>
    </r>
    <r>
      <rPr>
        <sz val="9"/>
        <rFont val="Times New Roman"/>
        <family val="1"/>
      </rPr>
      <t>ics</t>
    </r>
  </si>
  <si>
    <r>
      <rPr>
        <sz val="9"/>
        <color rgb="FF212121"/>
        <rFont val="Times New Roman"/>
        <family val="1"/>
      </rPr>
      <t>2955/e-tappal/01/2026</t>
    </r>
  </si>
  <si>
    <r>
      <rPr>
        <sz val="9"/>
        <rFont val="Times New Roman"/>
        <family val="1"/>
      </rPr>
      <t>Furniture Computer Table &amp; Office Table For Class - 1,2,3</t>
    </r>
  </si>
  <si>
    <r>
      <rPr>
        <sz val="9"/>
        <rFont val="Times New Roman"/>
        <family val="1"/>
      </rPr>
      <t>224250/e-tappal/12/2025</t>
    </r>
  </si>
  <si>
    <r>
      <rPr>
        <sz val="9"/>
        <rFont val="Times New Roman"/>
        <family val="1"/>
      </rPr>
      <t>Furniture Classroom Desking 2 &amp; 3 Seater</t>
    </r>
  </si>
  <si>
    <r>
      <rPr>
        <sz val="9"/>
        <rFont val="Times New Roman"/>
        <family val="1"/>
      </rPr>
      <t>181931/e-tappal/12/2025</t>
    </r>
  </si>
  <si>
    <r>
      <rPr>
        <sz val="9"/>
        <rFont val="Times New Roman"/>
        <family val="1"/>
      </rPr>
      <t>Electronics Workbench</t>
    </r>
  </si>
  <si>
    <r>
      <rPr>
        <sz val="9"/>
        <rFont val="Times New Roman"/>
        <family val="1"/>
      </rPr>
      <t>EC, IC, BM</t>
    </r>
  </si>
  <si>
    <r>
      <rPr>
        <sz val="9"/>
        <rFont val="Times New Roman"/>
        <family val="1"/>
      </rPr>
      <t>277353/e-tappal/10/2025</t>
    </r>
  </si>
  <si>
    <t>Transducer &amp; Measurment Trainer Kits</t>
  </si>
  <si>
    <t>72186/e-tappal/01/2026</t>
  </si>
  <si>
    <t>72276/e-tappal/01/2026</t>
  </si>
  <si>
    <t>102836/e-tappal/01/2026</t>
  </si>
  <si>
    <t>Microprocessor &amp; Micro Controller Trainer Kits</t>
  </si>
  <si>
    <t>Process Control Trainer, Pressure, Temp. , Flow</t>
  </si>
  <si>
    <t>4 Axis Articulated Robot Arm ( MATLAB Compitable)</t>
  </si>
  <si>
    <t>Process Control Trainer, Flow , Level with Pneumatic Control Valve</t>
  </si>
  <si>
    <t>Basic Electronics &amp; Measurement Kits</t>
  </si>
  <si>
    <t>Files Under NTTM Fund</t>
  </si>
  <si>
    <r>
      <rPr>
        <sz val="10"/>
        <rFont val="Times New Roman"/>
        <family val="1"/>
      </rPr>
      <t>Thermogravymetric analyzer</t>
    </r>
  </si>
  <si>
    <t>264462/e-tappal/11/2025</t>
  </si>
  <si>
    <r>
      <rPr>
        <sz val="10"/>
        <rFont val="Times New Roman"/>
        <family val="1"/>
      </rPr>
      <t>FTIR</t>
    </r>
  </si>
  <si>
    <t>30996/e-tappal/11/2025</t>
  </si>
  <si>
    <r>
      <rPr>
        <sz val="10"/>
        <rFont val="Times New Roman"/>
        <family val="1"/>
      </rPr>
      <t>Thermal conductivity tester</t>
    </r>
  </si>
  <si>
    <t>139151/e-tappal/11/2025</t>
  </si>
  <si>
    <r>
      <rPr>
        <sz val="10"/>
        <rFont val="Times New Roman"/>
        <family val="1"/>
      </rPr>
      <t>Porometer</t>
    </r>
  </si>
  <si>
    <t>139152/e-tappal/11/2025</t>
  </si>
  <si>
    <r>
      <rPr>
        <sz val="10"/>
        <rFont val="Times New Roman"/>
        <family val="1"/>
      </rPr>
      <t>16 layer orthogonal weaving loom</t>
    </r>
  </si>
  <si>
    <t>139697/e-tappal/11/2025</t>
  </si>
  <si>
    <r>
      <rPr>
        <sz val="10"/>
        <rFont val="Times New Roman"/>
        <family val="1"/>
      </rPr>
      <t>Differential scanning calorimeter</t>
    </r>
  </si>
  <si>
    <t>139562/e-tappal/11/2025</t>
  </si>
  <si>
    <r>
      <rPr>
        <sz val="10"/>
        <rFont val="Times New Roman"/>
        <family val="1"/>
      </rPr>
      <t>Microscope</t>
    </r>
  </si>
  <si>
    <t>139486/e-tappal/11/2025</t>
  </si>
  <si>
    <t xml:space="preserve">Total    </t>
  </si>
  <si>
    <t>Grnad Total</t>
  </si>
  <si>
    <t>Amount Paid from A/c</t>
  </si>
  <si>
    <t>Transaction details</t>
  </si>
  <si>
    <t>Transaction Date.</t>
  </si>
  <si>
    <t>GIL, Gandhinagar</t>
  </si>
  <si>
    <t>GIL Service Charge for 02 Nos. Canon Scanner</t>
  </si>
  <si>
    <t>A4 Multifunction laser  Printer- Gymkhana Fund</t>
  </si>
  <si>
    <t>PMT/GJ25-26/0101</t>
  </si>
  <si>
    <t>GIL Service Charge for 12 Nos. Print mark Printers- Gymkhana fund</t>
  </si>
  <si>
    <t>Oct-2526-H-1</t>
  </si>
  <si>
    <t xml:space="preserve">DPC order released </t>
  </si>
  <si>
    <t>Compression Testing M/C</t>
  </si>
  <si>
    <t>EIE Instruments</t>
  </si>
  <si>
    <t>Shifting Work</t>
  </si>
  <si>
    <t>Vikash Excellent Roadlines</t>
  </si>
  <si>
    <t>Projector sets -proposal under process at GIL-Qty.48 Sets</t>
  </si>
  <si>
    <t>5. AMC for RO &amp; WC-Institute</t>
  </si>
  <si>
    <t>6. Manpower Outsourcing</t>
  </si>
  <si>
    <t>Furniture bids under process-13 items</t>
  </si>
  <si>
    <t>7. AMC CWAN</t>
  </si>
  <si>
    <t>8. AMC Air conditioner</t>
  </si>
  <si>
    <t>9. AMC for Shifting Work (Handling &amp; Transport Service)</t>
  </si>
  <si>
    <t xml:space="preserve"> Order released  against Contingency </t>
  </si>
  <si>
    <t>1. Tube light _Electrical</t>
  </si>
  <si>
    <t>2. EPABX System for office</t>
  </si>
  <si>
    <t>Office Expences</t>
  </si>
  <si>
    <t>Name of item</t>
  </si>
  <si>
    <t>Unit Estimated Cost</t>
  </si>
  <si>
    <t>Total Estimated Cost</t>
  </si>
  <si>
    <t>L1 Price</t>
  </si>
  <si>
    <t>L1 Party</t>
  </si>
  <si>
    <t>Category of  Item</t>
  </si>
  <si>
    <t>e-file No.</t>
  </si>
  <si>
    <t xml:space="preserve">Date </t>
  </si>
  <si>
    <t xml:space="preserve">Simbott Technologies  </t>
  </si>
  <si>
    <t>104271/e-tappal/02/2026</t>
  </si>
  <si>
    <t>U-V Visible Sp[ectro photo meter</t>
  </si>
  <si>
    <t>Labtronik</t>
  </si>
  <si>
    <r>
      <t> </t>
    </r>
    <r>
      <rPr>
        <sz val="11"/>
        <color rgb="FF000000"/>
        <rFont val="Verdana"/>
        <family val="2"/>
      </rPr>
      <t>216565/e-tappal/02/2026</t>
    </r>
  </si>
  <si>
    <t>Mobile Storage Compactor</t>
  </si>
  <si>
    <t>Veer Industries , Surat</t>
  </si>
  <si>
    <r>
      <t> </t>
    </r>
    <r>
      <rPr>
        <sz val="11"/>
        <color rgb="FF000000"/>
        <rFont val="Verdana"/>
        <family val="2"/>
      </rPr>
      <t>207678/e-tappal/02/2026</t>
    </r>
  </si>
  <si>
    <t>Dry earase writing board &amp; Pinup Notice  board</t>
  </si>
  <si>
    <t>-</t>
  </si>
  <si>
    <t>Prince board India , Mumbai</t>
  </si>
  <si>
    <t>237033/e-tappal/02/2026</t>
  </si>
  <si>
    <t xml:space="preserve">Canteen Services </t>
  </si>
  <si>
    <t>Jyoti Hospitality Services</t>
  </si>
  <si>
    <t>Canteen Forward Auction</t>
  </si>
  <si>
    <t>282002/e-tappal/02/2026</t>
  </si>
  <si>
    <t>Rubber Technology</t>
  </si>
  <si>
    <t>UV- Accelerated Weathering Tester-Digital</t>
  </si>
  <si>
    <t>Total Exp.</t>
  </si>
  <si>
    <t>Sharp Tonner Cartridge</t>
  </si>
  <si>
    <t>Box files</t>
  </si>
  <si>
    <t>Spring Files</t>
  </si>
  <si>
    <t>Filter Paper KP-1</t>
  </si>
  <si>
    <t>Cl-4 Employees Uniform Cl-4-07 Male +01 Female</t>
  </si>
  <si>
    <t>PH Paper Strip</t>
  </si>
  <si>
    <t>Dept. Mission Vision Plate</t>
  </si>
  <si>
    <t>Emergency No. Exit plan Equipment Name &amp; Misc Washroom M/F etc…plates.</t>
  </si>
  <si>
    <t>Institute Mission Vision -S.S</t>
  </si>
  <si>
    <t>Institute Mission Vision -S.S Foam Glossy tress</t>
  </si>
  <si>
    <t>Dept. Mission Vision-Acrylic Plates</t>
  </si>
  <si>
    <t>Sand which Panel Name plates-Acrylic Rect Sign Board</t>
  </si>
  <si>
    <t>Lab /Dept. Name Room Plate-Acrylic</t>
  </si>
  <si>
    <t>Lab/Faculty Name Plate-Acrylic</t>
  </si>
  <si>
    <t>Welocome Standee-Out side dept.</t>
  </si>
  <si>
    <t>Electrical Multi plug Wiring Board</t>
  </si>
  <si>
    <t>Class-4 Employees Shooes -Chappal Bills-04</t>
  </si>
  <si>
    <t>Door mat Medium Size &amp; Big Size</t>
  </si>
  <si>
    <t>Medical First Aid Kit Box</t>
  </si>
  <si>
    <t>Medical First Aid Kit</t>
  </si>
  <si>
    <t>Cl-4 Employees Uniform stiching bills Cl-4-06 Male +01 Female</t>
  </si>
  <si>
    <t>LED Tube light</t>
  </si>
  <si>
    <t>Scale , Calculator</t>
  </si>
  <si>
    <t>Gases Refilling in Chemical dept.</t>
  </si>
  <si>
    <t>EPABX System in Admin section</t>
  </si>
  <si>
    <t>Stationary items</t>
  </si>
  <si>
    <t>Ball pen for Cl-1 &amp; Cl-2 Employees</t>
  </si>
  <si>
    <t>Ball pen for Cl-3 Employees &amp; Refill for Cl-1,2,3 Ball pen</t>
  </si>
  <si>
    <t>Activity based educational kits for Chemistry</t>
  </si>
  <si>
    <t>Stationary Items</t>
  </si>
  <si>
    <t>Contingency/Office Expenses etc…</t>
  </si>
  <si>
    <t>Statement- 2</t>
  </si>
  <si>
    <t>List of New Item for the Year 2025-26</t>
  </si>
  <si>
    <t>( Consolidated list of IT Equipments for all Departments in this Single Sheet Only )</t>
  </si>
  <si>
    <t xml:space="preserve">Name of Inst. :-  L.D College of Engineering,Ahmedabad                                                                                                                  Type of Course: (Diploma/UG/PG)              </t>
  </si>
  <si>
    <r>
      <t xml:space="preserve">    Type of Course: </t>
    </r>
    <r>
      <rPr>
        <b/>
        <sz val="14"/>
        <rFont val="Verdana"/>
        <family val="2"/>
      </rPr>
      <t xml:space="preserve">U.G </t>
    </r>
    <r>
      <rPr>
        <b/>
        <sz val="11"/>
        <rFont val="Verdana"/>
        <family val="2"/>
      </rPr>
      <t xml:space="preserve">        </t>
    </r>
  </si>
  <si>
    <t>Type of Item
(Hardware/Software)</t>
  </si>
  <si>
    <t>Total Amount
(Rs.)</t>
  </si>
  <si>
    <t>Desk top Computer</t>
  </si>
  <si>
    <t>Hardware</t>
  </si>
  <si>
    <t>Required for multiple department</t>
  </si>
  <si>
    <t xml:space="preserve">Desktop computer-High end </t>
  </si>
  <si>
    <t>Laptop</t>
  </si>
  <si>
    <t>Laptop-High end</t>
  </si>
  <si>
    <t>Server</t>
  </si>
  <si>
    <t>Mono laser printer</t>
  </si>
  <si>
    <t>Multi function printer</t>
  </si>
  <si>
    <t xml:space="preserve">Projector </t>
  </si>
  <si>
    <t>Network switch-24 port</t>
  </si>
  <si>
    <t>Network switch-8port</t>
  </si>
  <si>
    <t>WIFI Access Point</t>
  </si>
  <si>
    <t>Copier machine-Color</t>
  </si>
  <si>
    <t>Scanner</t>
  </si>
  <si>
    <t>Touch display-86"</t>
  </si>
  <si>
    <t>Touch display-76"</t>
  </si>
  <si>
    <t>TOTAL</t>
  </si>
  <si>
    <r>
      <rPr>
        <b/>
        <sz val="14"/>
        <color rgb="FFFF0000"/>
        <rFont val="GujratiLys 010 "/>
      </rPr>
      <t>ખાસ નોંધ</t>
    </r>
    <r>
      <rPr>
        <b/>
        <sz val="14"/>
        <color rgb="FFFF0000"/>
        <rFont val="Shruti"/>
        <family val="2"/>
      </rPr>
      <t>:-</t>
    </r>
    <r>
      <rPr>
        <b/>
        <sz val="14"/>
        <color rgb="FFFF0000"/>
        <rFont val="GujratiLys 010 "/>
      </rPr>
      <t xml:space="preserve"> પુરતા જસ્ટીફીકેશન વિના દરખાસ્ત સ્વીકારવામાં આવશે નહી</t>
    </r>
    <r>
      <rPr>
        <b/>
        <sz val="14"/>
        <color rgb="FFFF0000"/>
        <rFont val="Shruti"/>
        <family val="2"/>
      </rPr>
      <t>.</t>
    </r>
  </si>
  <si>
    <t>પ્રમાણપત્ર</t>
  </si>
  <si>
    <t xml:space="preserve">આથી પ્રમાણિત કરવામાં આવે છે કે, ઉક્ત ક્રમ નં. 01 થી 15 ઉપર દર્શાવેલ તમામ સાધનો/ઉપકરણો શૈક્ષણિક હેતુ તેમજ સંસ્થાનાં વહીવટ માટે ખુબજ આવશ્યક અને ઉપયોગી છે. આ ઉપરાંત હાલમાં સંસ્થા ખાતે વિવિધ વિદ્યાશાખાઓમાં ઉપલબ્ધ સાધનો/ઉપકરણોનાં જથ્થાની ચકાસણી કરવામાં આવેલ છે અને ત્યારબાદ ઉક્ત નવા સાધનો/ઉપકરણોની જરૂરીયાત હોઈ સને ૨૦૨૫-૨૬નાં વર્ષની નવી બાબત હેઠળ  ખરીદી માટે ભલામણ કરવામાં આવે છે. </t>
  </si>
  <si>
    <t>Statement -  3</t>
  </si>
  <si>
    <t>( Consolidated list of Furniture for all Departments in this Single Sheet Only )</t>
  </si>
  <si>
    <t xml:space="preserve">Name of Inst. :-L.D College of Engineering,Ahmedabad                                                                                                                     Type of Course: (Diploma/UG/PG)              </t>
  </si>
  <si>
    <r>
      <t xml:space="preserve">    </t>
    </r>
    <r>
      <rPr>
        <b/>
        <sz val="14"/>
        <rFont val="Verdana"/>
        <family val="2"/>
      </rPr>
      <t xml:space="preserve">Type of Course: </t>
    </r>
    <r>
      <rPr>
        <b/>
        <sz val="14"/>
        <color theme="1"/>
        <rFont val="Verdana"/>
        <family val="2"/>
      </rPr>
      <t xml:space="preserve">U.G  </t>
    </r>
    <r>
      <rPr>
        <b/>
        <sz val="14"/>
        <rFont val="Verdana"/>
        <family val="2"/>
      </rPr>
      <t xml:space="preserve">    </t>
    </r>
    <r>
      <rPr>
        <b/>
        <sz val="11"/>
        <rFont val="Verdana"/>
        <family val="2"/>
      </rPr>
      <t xml:space="preserve">  </t>
    </r>
  </si>
  <si>
    <t>Sr. No.</t>
  </si>
  <si>
    <t xml:space="preserve">Furniture Costing Less than Rs.5.00 Lakh </t>
  </si>
  <si>
    <t xml:space="preserve">Key Wall Mount Stand </t>
  </si>
  <si>
    <t>Library Magazine Stand</t>
  </si>
  <si>
    <t>Shoe Rack</t>
  </si>
  <si>
    <t>Notice board</t>
  </si>
  <si>
    <t xml:space="preserve">White Board </t>
  </si>
  <si>
    <t>Writing board-Green</t>
  </si>
  <si>
    <t>Writing Board-Black</t>
  </si>
  <si>
    <t>Soft Board (Pin Board)</t>
  </si>
  <si>
    <t>Visitors Chair</t>
  </si>
  <si>
    <t>Office table-Class-3</t>
  </si>
  <si>
    <t>Office chair-Class-3</t>
  </si>
  <si>
    <t>Class room desk table</t>
  </si>
  <si>
    <t>Bag Rack</t>
  </si>
  <si>
    <t>Student bench-2 seater</t>
  </si>
  <si>
    <t xml:space="preserve">Furniture Costing More than Rs.5.00 Lakh </t>
  </si>
  <si>
    <t xml:space="preserve">Office table-Class-1 </t>
  </si>
  <si>
    <t>Lab Table</t>
  </si>
  <si>
    <t>Laboratory Cupboard</t>
  </si>
  <si>
    <t>Office chair-Class-1</t>
  </si>
  <si>
    <t>Steel Cup board-Minor</t>
  </si>
  <si>
    <t>Lab stool- Steel round base</t>
  </si>
  <si>
    <t>Steel filing cabinet</t>
  </si>
  <si>
    <t>Sofa</t>
  </si>
  <si>
    <t>Library Cupboard</t>
  </si>
  <si>
    <t>Wooden stool</t>
  </si>
  <si>
    <t>Office table-Class-2</t>
  </si>
  <si>
    <t>Stuent bench-3 seater</t>
  </si>
  <si>
    <t>Compactor for File Storage</t>
  </si>
  <si>
    <t>Steel Cup board-Major</t>
  </si>
  <si>
    <t>Round Conference Table</t>
  </si>
  <si>
    <t>Office Chair-Class-2</t>
  </si>
  <si>
    <t>Seminar Chair</t>
  </si>
  <si>
    <t>Computer Chair</t>
  </si>
  <si>
    <t>Computer table</t>
  </si>
  <si>
    <r>
      <t>ખાસ નોંધ</t>
    </r>
    <r>
      <rPr>
        <b/>
        <sz val="14"/>
        <color indexed="10"/>
        <rFont val="Shruti"/>
        <family val="2"/>
      </rPr>
      <t>:-</t>
    </r>
    <r>
      <rPr>
        <b/>
        <sz val="14"/>
        <color indexed="10"/>
        <rFont val="GujratiLys 010 "/>
      </rPr>
      <t xml:space="preserve"> પુરતા જસ્ટીફીકેશન વિના દરખાસ્ત સ્વીકારવામાં આવશે નહી</t>
    </r>
    <r>
      <rPr>
        <b/>
        <sz val="14"/>
        <color indexed="10"/>
        <rFont val="Shruti"/>
        <family val="2"/>
      </rPr>
      <t>.</t>
    </r>
  </si>
  <si>
    <t xml:space="preserve">આથી પ્રમાણિત કરવામાં આવે છે કે, ઉક્ત ક્રમ નં. 01 થી 34 ઉપર દર્શાવેલ તમામ ફર્નીચર શૈક્ષણિક હેતુ તેમજ સંસ્થાનાં વહીવટ માટે ખુબજ આવશ્યક અને ઉપયોગી છે. આ ઉપરાંત હાલમાં સંસ્થા ખાતે વિવિધ વિદ્યાશાખાઓમાં ઉપલબ્ધ ફર્નીચરનાં જથ્થાની ચકાસણી કરવામાં આવેલ છે અને ત્યારબાદ ઉક્ત નવા ફર્નીચરની જરૂરીયાત હોઈ સને ૨૦૨૫-૨૬નાં વર્ષની નવી બાબત હેઠળ  ખરીદી માટે ભલામણ કરવામાં આવે છે. </t>
  </si>
  <si>
    <t>Statement -  4</t>
  </si>
  <si>
    <t>( Consolidated list of Books for all Departments in this Single Sheet Only )</t>
  </si>
  <si>
    <t xml:space="preserve">Name of Inst. :- L.D College of Engineering,Ahmedabad                                                                                                                                              </t>
  </si>
  <si>
    <r>
      <t xml:space="preserve"> Type of Course: (UG)</t>
    </r>
    <r>
      <rPr>
        <b/>
        <sz val="12"/>
        <color indexed="22"/>
        <rFont val="Times New Roman"/>
        <family val="1"/>
      </rPr>
      <t xml:space="preserve"> </t>
    </r>
  </si>
  <si>
    <t>Printed books</t>
  </si>
  <si>
    <t>Name of Department / Discipline</t>
  </si>
  <si>
    <t>No. of Books Required</t>
  </si>
  <si>
    <t>Approx. Total Amount
(Rs.)</t>
  </si>
  <si>
    <t>AIML</t>
  </si>
  <si>
    <t>Computer</t>
  </si>
  <si>
    <t>Plastic</t>
  </si>
  <si>
    <t>ROBOTICS</t>
  </si>
  <si>
    <t xml:space="preserve">આથી પ્રમાણિત કરવામાં આવે છે કે, ઉક્ત ક્રમ નં. 01 થી 18 ઉપર દર્શાવેલ તમામ પુસ્તકો શૈક્ષણિક હેતુ માટે ખુબજ આવશ્યક અને ઉપયોગી છે. આ ઉપરાંત હાલમાં સંસ્થા ખાતે વિવિધ વિદ્યાશાખાઓમાં ઉપલબ્ધ પુસ્તકોનાં જથ્થાની ચકાસણી કરવામાં આવેલ છે અને ત્યારબાદ ઉક્ત નવા પુસ્તકોની જરૂરીયાત હોઈ સને ૨૦૨૫-૨૬નાં વર્ષની નવી બાબત હેઠળ ખરીદી માટે ભલામણ કરવામાં આવે છે. </t>
  </si>
  <si>
    <t>Statement - 5</t>
  </si>
  <si>
    <t>Requirement of maintanace-Year-2025-26</t>
  </si>
  <si>
    <t xml:space="preserve">Name of Inst. :-   L.D. College of Engineering, Ahmedabad                                                                                                                  Type of Course: (Diploma/UG/PG)              </t>
  </si>
  <si>
    <t>Type of Course: (UG)</t>
  </si>
  <si>
    <t>Cost of Item 
(Rs.)</t>
  </si>
  <si>
    <t>Procured Year</t>
  </si>
  <si>
    <t>Required Maintenance Amount
(Rs.)</t>
  </si>
  <si>
    <t xml:space="preserve">Remarks </t>
  </si>
  <si>
    <t>Department</t>
  </si>
  <si>
    <t>300kV 3kJ Impulse Generator with control probe</t>
  </si>
  <si>
    <t>Not working</t>
  </si>
  <si>
    <t>Sphere gap apparatus with vertical movement of the sphere (150 mm)</t>
  </si>
  <si>
    <t>high Voltage 5 KV,solid insulation tester (digital)</t>
  </si>
  <si>
    <t>100kV capacitor divider Sr.No. 653</t>
  </si>
  <si>
    <t>30kV AC / 40kV DC SET</t>
  </si>
  <si>
    <t>Fans</t>
  </si>
  <si>
    <t>Reparing of tiles, washbasin, tabs and drainage are required in all wash rooms of first and second floor (S &amp; H)</t>
  </si>
  <si>
    <t>Window glasses of Annexe building (S &amp; H)</t>
  </si>
  <si>
    <t>Electrical maintance (S &amp; H)</t>
  </si>
  <si>
    <t xml:space="preserve">Walk in Cooler
</t>
  </si>
  <si>
    <t>AC Test rig</t>
  </si>
  <si>
    <t>Hyundai I 10 car</t>
  </si>
  <si>
    <t>donated</t>
  </si>
  <si>
    <t>Tyres, Fueses, Transmission oil, Bonnet cable</t>
  </si>
  <si>
    <t>Flex Resistance Tester</t>
  </si>
  <si>
    <t>Repairing is required</t>
  </si>
  <si>
    <t>Split Tester</t>
  </si>
  <si>
    <t>Adhesion Tester</t>
  </si>
  <si>
    <t>Magnetic stirrer(1Litre)(2nos)</t>
  </si>
  <si>
    <t>Nil</t>
  </si>
  <si>
    <t>chemical</t>
  </si>
  <si>
    <t>Magnetic stirrer(2Litre)(2nos)</t>
  </si>
  <si>
    <t>Heating mantle(1Litre)</t>
  </si>
  <si>
    <t>Heating mantle(2Litre)</t>
  </si>
  <si>
    <t>Hotplate 8 in.</t>
  </si>
  <si>
    <t>Hotplate 12 in.</t>
  </si>
  <si>
    <t>Redwood Viscometer -II</t>
  </si>
  <si>
    <t>Open pan evaporator</t>
  </si>
  <si>
    <t>Bomb calorimeter</t>
  </si>
  <si>
    <t>Printer canon mf4412</t>
  </si>
  <si>
    <t>Level Control Trainer Apex make 313A</t>
  </si>
  <si>
    <t>Flow Control Trainer Apex make 312A</t>
  </si>
  <si>
    <t>Pressure Control Trainer Apex make 314A</t>
  </si>
  <si>
    <t>Control Valve Characteristics Trainer Apex make 318A</t>
  </si>
  <si>
    <t>P/I and I/P Converter</t>
  </si>
  <si>
    <t>Measurement trainer kits Benix make</t>
  </si>
  <si>
    <t>Level &amp; flow control Trainers feedback make</t>
  </si>
  <si>
    <t>Microprocessor trainer kit</t>
  </si>
  <si>
    <t>Microcontroller trainer kit</t>
  </si>
  <si>
    <t>LCD Projector HITACHI</t>
  </si>
  <si>
    <t xml:space="preserve">Termite treatment for Lab 909,909c,914,   914c and 911 </t>
  </si>
  <si>
    <t>LCD projector</t>
  </si>
  <si>
    <t>Not starting</t>
  </si>
  <si>
    <t>Environmental Engineering</t>
  </si>
  <si>
    <t>BOD incubator</t>
  </si>
  <si>
    <t>Temprature fluctuations</t>
  </si>
  <si>
    <t>Top loading Balance 5 digit</t>
  </si>
  <si>
    <t>Calibration and wire replcement</t>
  </si>
  <si>
    <t>Field CBR Test Apparatus</t>
  </si>
  <si>
    <t>repairing</t>
  </si>
  <si>
    <t>Applied Mechnaics</t>
  </si>
  <si>
    <t>Automatic soil compaction machine</t>
  </si>
  <si>
    <t>Permeability test apparatus concrete</t>
  </si>
  <si>
    <t>repair &amp; service</t>
  </si>
  <si>
    <t>Pendulum type Rebound hammer Type P</t>
  </si>
  <si>
    <t>calibration &amp; sevice</t>
  </si>
  <si>
    <t>Broadband Seismometer</t>
  </si>
  <si>
    <t>upgradation, repair &amp; service</t>
  </si>
  <si>
    <t>16 channel analyzer single axis accelometer</t>
  </si>
  <si>
    <t>Portable universal data logger</t>
  </si>
  <si>
    <t>"VEENEDYT" core drilling machine; suitable to test cores in roads runway</t>
  </si>
  <si>
    <t>Handy concrete core cutter diamond drilling m/c</t>
  </si>
  <si>
    <t>Core cutting and Grinding Machine</t>
  </si>
  <si>
    <t>Repairing of concrete mixer (wiring &amp; inner scraping)</t>
  </si>
  <si>
    <t>Cement mortar cube vibrating machine</t>
  </si>
  <si>
    <t>Sieve shaker</t>
  </si>
  <si>
    <t>Tensile Testing Equipment</t>
  </si>
  <si>
    <t xml:space="preserve">આથી પ્રમાણિત કરવામાં આવે છે કે, ઉક્ત ક્રમ નં. 01 થી 53 ઉપર દર્શાવેલ તમામ સાધનો/ઉપકરણોનું રાખ-રખાવ શૈક્ષણિક હેતુ તેમજ સંસ્થાનાં વહીવટ માટે ખુબજ આવશ્યક અને ઉપયોગી હોઈ સને ૨૦૨૫-૨૬નાં વર્ષની નવી બાબત હેઠળ તેનો સમાવેશ કરવા ભલામણ કરવામાં આવે છે. </t>
  </si>
  <si>
    <t>for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</si>
</sst>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m/dd/yyyy"/>
    <numFmt numFmtId="165" formatCode="_ * #,##0_ ;_ * \-#,##0_ ;_ * &quot;-&quot;??_ ;_ @_ "/>
    <numFmt numFmtId="166" formatCode="d/m/yyyy;@"/>
  </numFmts>
  <fonts count="1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Verdan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4"/>
      <color rgb="FFFF0000"/>
      <name val="Shruti"/>
      <family val="2"/>
    </font>
    <font>
      <b/>
      <sz val="14"/>
      <color rgb="FFFF0000"/>
      <name val="GujratiLys 010"/>
    </font>
    <font>
      <b/>
      <sz val="10"/>
      <color theme="1"/>
      <name val="Arial"/>
      <family val="2"/>
    </font>
    <font>
      <b/>
      <sz val="12"/>
      <color rgb="FFFF0000"/>
      <name val="Shruti"/>
      <family val="2"/>
    </font>
    <font>
      <b/>
      <u/>
      <sz val="14"/>
      <color theme="1"/>
      <name val="Arial"/>
      <family val="2"/>
    </font>
    <font>
      <b/>
      <sz val="14"/>
      <color rgb="FFFF0000"/>
      <name val="GujratiLys 010 "/>
    </font>
    <font>
      <b/>
      <sz val="14"/>
      <color theme="1"/>
      <name val="Verdana"/>
      <family val="2"/>
    </font>
    <font>
      <sz val="14"/>
      <color rgb="FF000000"/>
      <name val="Arial"/>
      <family val="2"/>
      <scheme val="minor"/>
    </font>
    <font>
      <sz val="11"/>
      <color theme="1"/>
      <name val="Verdana"/>
      <family val="2"/>
    </font>
    <font>
      <sz val="11"/>
      <color rgb="FF000000"/>
      <name val="Verdana"/>
      <family val="2"/>
    </font>
    <font>
      <sz val="11"/>
      <color rgb="FF404040"/>
      <name val="Verdana"/>
      <family val="2"/>
    </font>
    <font>
      <sz val="11"/>
      <name val="Verdana"/>
      <family val="2"/>
    </font>
    <font>
      <b/>
      <sz val="10"/>
      <color theme="1"/>
      <name val="Verdana"/>
      <family val="2"/>
    </font>
    <font>
      <b/>
      <sz val="11"/>
      <name val="Verdana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4"/>
      <name val="Verdana"/>
      <family val="2"/>
    </font>
    <font>
      <b/>
      <sz val="14"/>
      <color indexed="10"/>
      <name val="Shruti"/>
      <family val="2"/>
    </font>
    <font>
      <b/>
      <sz val="14"/>
      <color indexed="10"/>
      <name val="GujratiLys 010 "/>
    </font>
    <font>
      <b/>
      <u/>
      <sz val="14"/>
      <name val="Arial"/>
      <family val="2"/>
    </font>
    <font>
      <sz val="14"/>
      <name val="Arial"/>
      <family val="2"/>
    </font>
    <font>
      <b/>
      <sz val="14"/>
      <name val="TERAFONT-KINNARI"/>
      <family val="5"/>
    </font>
    <font>
      <b/>
      <sz val="11"/>
      <color rgb="FFFF0000"/>
      <name val="Verdana"/>
      <family val="2"/>
    </font>
    <font>
      <b/>
      <sz val="10"/>
      <name val="Arial"/>
      <family val="2"/>
    </font>
    <font>
      <b/>
      <sz val="10"/>
      <name val="Verdana"/>
      <family val="2"/>
    </font>
    <font>
      <sz val="10"/>
      <color rgb="FFFF0000"/>
      <name val="Arial"/>
      <family val="2"/>
    </font>
    <font>
      <b/>
      <sz val="14"/>
      <color rgb="FF000000"/>
      <name val="Verdana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2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2"/>
      <name val="Times New Roman"/>
      <family val="1"/>
    </font>
    <font>
      <sz val="14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3"/>
      <color rgb="FF000000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1"/>
      <color rgb="FF000000"/>
      <name val="&quot;Times New Roman&quot;"/>
    </font>
    <font>
      <sz val="12"/>
      <color rgb="FF00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5"/>
      <color theme="1"/>
      <name val="Verdana"/>
      <family val="2"/>
    </font>
    <font>
      <b/>
      <sz val="15"/>
      <color theme="1"/>
      <name val="Verdana"/>
      <family val="2"/>
    </font>
    <font>
      <sz val="11"/>
      <color theme="1"/>
      <name val="Calibri"/>
      <family val="2"/>
    </font>
    <font>
      <b/>
      <sz val="16"/>
      <color theme="1"/>
      <name val="Verdana"/>
      <family val="2"/>
    </font>
    <font>
      <sz val="16"/>
      <color theme="1"/>
      <name val="Arial"/>
      <family val="2"/>
      <scheme val="minor"/>
    </font>
    <font>
      <sz val="16"/>
      <color theme="1"/>
      <name val="Calibri"/>
      <family val="2"/>
    </font>
    <font>
      <sz val="16"/>
      <color theme="1"/>
      <name val="Verdana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Arial"/>
      <family val="2"/>
      <scheme val="minor"/>
    </font>
    <font>
      <b/>
      <sz val="16"/>
      <color rgb="FFFF0000"/>
      <name val="Verdana"/>
      <family val="2"/>
    </font>
    <font>
      <sz val="16"/>
      <color rgb="FFFF0000"/>
      <name val="Calibri"/>
      <family val="2"/>
    </font>
    <font>
      <sz val="11"/>
      <color rgb="FFFF0000"/>
      <name val="Calibri"/>
      <family val="2"/>
    </font>
    <font>
      <sz val="15"/>
      <color rgb="FFFF0000"/>
      <name val="Verdana"/>
      <family val="2"/>
    </font>
    <font>
      <sz val="10"/>
      <color rgb="FF000000"/>
      <name val="Arial"/>
      <family val="2"/>
      <scheme val="minor"/>
    </font>
    <font>
      <sz val="14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ptos"/>
      <family val="2"/>
    </font>
    <font>
      <sz val="11"/>
      <color rgb="FF000000"/>
      <name val="Arial"/>
      <family val="2"/>
      <scheme val="minor"/>
    </font>
    <font>
      <sz val="10"/>
      <color rgb="FFFF0000"/>
      <name val="Verdana"/>
      <family val="2"/>
    </font>
    <font>
      <sz val="11"/>
      <color rgb="FFFF0000"/>
      <name val="Verdana"/>
      <family val="2"/>
    </font>
    <font>
      <sz val="11"/>
      <color rgb="FFFF0000"/>
      <name val="&quot;Times New Roman&quot;"/>
    </font>
    <font>
      <sz val="10"/>
      <color rgb="FFFF0000"/>
      <name val="Arial"/>
      <family val="2"/>
      <scheme val="minor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9"/>
      <color rgb="FF212121"/>
      <name val="Times New Roman"/>
      <family val="1"/>
    </font>
    <font>
      <b/>
      <sz val="8.5"/>
      <name val="Calibri"/>
      <family val="1"/>
    </font>
    <font>
      <b/>
      <sz val="10"/>
      <color rgb="FF000000"/>
      <name val="Times New Roman"/>
      <family val="1"/>
    </font>
    <font>
      <sz val="8.5"/>
      <color rgb="FF000000"/>
      <name val="Calibri"/>
      <family val="2"/>
    </font>
    <font>
      <sz val="10"/>
      <name val="Times New Roman"/>
      <family val="1"/>
    </font>
    <font>
      <b/>
      <sz val="8.5"/>
      <name val="Calibri"/>
      <family val="2"/>
    </font>
    <font>
      <sz val="10"/>
      <color rgb="FFFF0000"/>
      <name val="Arial"/>
      <family val="2"/>
      <scheme val="minor"/>
    </font>
    <font>
      <sz val="11"/>
      <color rgb="FF222222"/>
      <name val="Verdana"/>
      <family val="2"/>
    </font>
    <font>
      <sz val="14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000000"/>
      <name val="Shruti"/>
      <family val="2"/>
    </font>
    <font>
      <b/>
      <sz val="11"/>
      <color rgb="FF000000"/>
      <name val="Shruti"/>
      <family val="2"/>
    </font>
    <font>
      <b/>
      <sz val="14"/>
      <name val="Arial"/>
      <family val="2"/>
      <scheme val="minor"/>
    </font>
    <font>
      <sz val="14"/>
      <color rgb="FF000000"/>
      <name val="Arial"/>
      <scheme val="minor"/>
    </font>
    <font>
      <b/>
      <sz val="11"/>
      <color rgb="FF000000"/>
      <name val="Aptos"/>
      <family val="2"/>
    </font>
    <font>
      <sz val="10"/>
      <color rgb="FF434343"/>
      <name val="Arial"/>
      <family val="2"/>
      <scheme val="minor"/>
    </font>
    <font>
      <strike/>
      <sz val="11"/>
      <color theme="1"/>
      <name val="Verdana"/>
      <family val="2"/>
    </font>
    <font>
      <strike/>
      <sz val="11"/>
      <color rgb="FF000000"/>
      <name val="Verdana"/>
      <family val="2"/>
    </font>
    <font>
      <strike/>
      <sz val="10"/>
      <color theme="1"/>
      <name val="Verdana"/>
      <family val="2"/>
    </font>
    <font>
      <strike/>
      <sz val="10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2C2C2C"/>
      </right>
      <top/>
      <bottom style="thin">
        <color rgb="FF2C2C2C"/>
      </bottom>
      <diagonal/>
    </border>
    <border>
      <left/>
      <right style="thin">
        <color rgb="FF2C2C2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0">
    <xf numFmtId="0" fontId="0" fillId="0" borderId="0"/>
    <xf numFmtId="0" fontId="28" fillId="0" borderId="0"/>
    <xf numFmtId="0" fontId="8" fillId="0" borderId="0"/>
    <xf numFmtId="0" fontId="11" fillId="0" borderId="0"/>
    <xf numFmtId="0" fontId="7" fillId="0" borderId="0"/>
    <xf numFmtId="0" fontId="28" fillId="0" borderId="0"/>
    <xf numFmtId="0" fontId="47" fillId="0" borderId="0"/>
    <xf numFmtId="0" fontId="6" fillId="0" borderId="0"/>
    <xf numFmtId="0" fontId="61" fillId="0" borderId="0"/>
    <xf numFmtId="0" fontId="5" fillId="0" borderId="0"/>
    <xf numFmtId="43" fontId="7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61" fillId="0" borderId="0"/>
    <xf numFmtId="43" fontId="61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87" fillId="0" borderId="0"/>
  </cellStyleXfs>
  <cellXfs count="1100">
    <xf numFmtId="0" fontId="0" fillId="0" borderId="0" xfId="0"/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2" fillId="0" borderId="3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15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0" fontId="21" fillId="0" borderId="6" xfId="0" applyFont="1" applyBorder="1" applyAlignment="1">
      <alignment horizontal="right" vertical="center"/>
    </xf>
    <xf numFmtId="164" fontId="22" fillId="0" borderId="1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1" fontId="21" fillId="0" borderId="4" xfId="0" applyNumberFormat="1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6" xfId="0" applyFont="1" applyBorder="1" applyAlignment="1">
      <alignment vertical="center"/>
    </xf>
    <xf numFmtId="1" fontId="22" fillId="0" borderId="2" xfId="0" applyNumberFormat="1" applyFont="1" applyBorder="1" applyAlignment="1">
      <alignment vertical="center"/>
    </xf>
    <xf numFmtId="1" fontId="22" fillId="0" borderId="8" xfId="0" applyNumberFormat="1" applyFont="1" applyBorder="1" applyAlignment="1">
      <alignment vertical="center"/>
    </xf>
    <xf numFmtId="1" fontId="22" fillId="0" borderId="0" xfId="0" applyNumberFormat="1" applyFont="1" applyAlignment="1">
      <alignment vertical="center"/>
    </xf>
    <xf numFmtId="1" fontId="21" fillId="0" borderId="13" xfId="0" applyNumberFormat="1" applyFont="1" applyBorder="1" applyAlignment="1">
      <alignment vertical="center"/>
    </xf>
    <xf numFmtId="1" fontId="21" fillId="0" borderId="1" xfId="0" applyNumberFormat="1" applyFont="1" applyBorder="1" applyAlignment="1">
      <alignment vertical="center"/>
    </xf>
    <xf numFmtId="1" fontId="22" fillId="0" borderId="3" xfId="0" applyNumberFormat="1" applyFont="1" applyBorder="1" applyAlignment="1">
      <alignment vertical="center"/>
    </xf>
    <xf numFmtId="1" fontId="22" fillId="0" borderId="4" xfId="0" applyNumberFormat="1" applyFont="1" applyBorder="1" applyAlignment="1">
      <alignment vertical="center"/>
    </xf>
    <xf numFmtId="1" fontId="22" fillId="0" borderId="7" xfId="0" applyNumberFormat="1" applyFont="1" applyBorder="1" applyAlignment="1">
      <alignment vertical="center"/>
    </xf>
    <xf numFmtId="1" fontId="21" fillId="0" borderId="3" xfId="0" applyNumberFormat="1" applyFont="1" applyBorder="1" applyAlignment="1">
      <alignment vertical="center"/>
    </xf>
    <xf numFmtId="1" fontId="21" fillId="0" borderId="7" xfId="0" applyNumberFormat="1" applyFont="1" applyBorder="1" applyAlignment="1">
      <alignment vertical="center"/>
    </xf>
    <xf numFmtId="1" fontId="21" fillId="0" borderId="5" xfId="0" applyNumberFormat="1" applyFont="1" applyBorder="1" applyAlignment="1">
      <alignment vertical="center"/>
    </xf>
    <xf numFmtId="1" fontId="21" fillId="2" borderId="5" xfId="0" applyNumberFormat="1" applyFont="1" applyFill="1" applyBorder="1" applyAlignment="1">
      <alignment vertical="center"/>
    </xf>
    <xf numFmtId="0" fontId="22" fillId="0" borderId="11" xfId="0" applyFont="1" applyBorder="1" applyAlignment="1">
      <alignment horizontal="right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0" fontId="21" fillId="0" borderId="15" xfId="0" applyFont="1" applyBorder="1" applyAlignment="1">
      <alignment vertical="center"/>
    </xf>
    <xf numFmtId="0" fontId="28" fillId="0" borderId="0" xfId="1"/>
    <xf numFmtId="0" fontId="26" fillId="0" borderId="16" xfId="1" applyFont="1" applyBorder="1" applyAlignment="1">
      <alignment horizontal="left" vertical="center"/>
    </xf>
    <xf numFmtId="0" fontId="26" fillId="0" borderId="16" xfId="1" applyFont="1" applyBorder="1" applyAlignment="1">
      <alignment horizontal="center" vertical="center"/>
    </xf>
    <xf numFmtId="0" fontId="26" fillId="0" borderId="16" xfId="1" applyFont="1" applyBorder="1" applyAlignment="1">
      <alignment horizontal="right" vertical="center"/>
    </xf>
    <xf numFmtId="0" fontId="28" fillId="0" borderId="0" xfId="1" applyAlignment="1">
      <alignment horizontal="center" vertical="center"/>
    </xf>
    <xf numFmtId="0" fontId="26" fillId="0" borderId="15" xfId="1" applyFont="1" applyBorder="1" applyAlignment="1">
      <alignment horizontal="center" vertical="center" wrapText="1"/>
    </xf>
    <xf numFmtId="0" fontId="26" fillId="0" borderId="1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 wrapText="1"/>
    </xf>
    <xf numFmtId="0" fontId="21" fillId="0" borderId="1" xfId="2" applyFont="1" applyBorder="1" applyAlignment="1">
      <alignment vertical="center"/>
    </xf>
    <xf numFmtId="0" fontId="24" fillId="0" borderId="15" xfId="1" applyFont="1" applyBorder="1" applyAlignment="1">
      <alignment horizontal="center" vertical="center"/>
    </xf>
    <xf numFmtId="1" fontId="22" fillId="0" borderId="15" xfId="2" applyNumberFormat="1" applyFont="1" applyBorder="1" applyAlignment="1">
      <alignment vertical="center" wrapText="1"/>
    </xf>
    <xf numFmtId="0" fontId="24" fillId="0" borderId="15" xfId="1" applyFont="1" applyBorder="1" applyAlignment="1">
      <alignment horizontal="right" vertical="center"/>
    </xf>
    <xf numFmtId="0" fontId="24" fillId="0" borderId="15" xfId="1" applyFont="1" applyBorder="1" applyAlignment="1">
      <alignment horizontal="left" vertical="center" wrapText="1"/>
    </xf>
    <xf numFmtId="0" fontId="28" fillId="0" borderId="0" xfId="1" applyAlignment="1">
      <alignment wrapText="1"/>
    </xf>
    <xf numFmtId="0" fontId="21" fillId="0" borderId="15" xfId="2" applyFont="1" applyBorder="1" applyAlignment="1">
      <alignment vertical="center" wrapText="1"/>
    </xf>
    <xf numFmtId="0" fontId="24" fillId="0" borderId="15" xfId="1" applyFont="1" applyBorder="1" applyAlignment="1">
      <alignment vertical="center"/>
    </xf>
    <xf numFmtId="0" fontId="21" fillId="0" borderId="13" xfId="2" applyFont="1" applyBorder="1" applyAlignment="1">
      <alignment vertical="center"/>
    </xf>
    <xf numFmtId="0" fontId="21" fillId="0" borderId="13" xfId="2" applyFont="1" applyBorder="1" applyAlignment="1">
      <alignment horizontal="center" vertical="center"/>
    </xf>
    <xf numFmtId="0" fontId="21" fillId="0" borderId="15" xfId="2" applyFont="1" applyBorder="1" applyAlignment="1">
      <alignment vertical="center"/>
    </xf>
    <xf numFmtId="0" fontId="21" fillId="0" borderId="15" xfId="2" applyFont="1" applyBorder="1" applyAlignment="1">
      <alignment horizontal="center" vertical="center"/>
    </xf>
    <xf numFmtId="0" fontId="28" fillId="0" borderId="0" xfId="1" applyAlignment="1">
      <alignment horizontal="justify" vertical="top" wrapText="1"/>
    </xf>
    <xf numFmtId="0" fontId="28" fillId="0" borderId="0" xfId="1" applyAlignment="1">
      <alignment horizontal="center"/>
    </xf>
    <xf numFmtId="0" fontId="26" fillId="0" borderId="0" xfId="1" applyFont="1" applyAlignment="1">
      <alignment horizontal="center" wrapText="1"/>
    </xf>
    <xf numFmtId="0" fontId="26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34" fillId="0" borderId="0" xfId="1" applyFont="1" applyAlignment="1">
      <alignment vertical="center" wrapText="1"/>
    </xf>
    <xf numFmtId="0" fontId="26" fillId="0" borderId="0" xfId="1" applyFont="1" applyAlignment="1">
      <alignment horizontal="left" wrapText="1"/>
    </xf>
    <xf numFmtId="0" fontId="26" fillId="0" borderId="0" xfId="1" applyFont="1" applyAlignment="1">
      <alignment vertical="center"/>
    </xf>
    <xf numFmtId="3" fontId="29" fillId="0" borderId="0" xfId="1" applyNumberFormat="1" applyFont="1" applyAlignment="1">
      <alignment horizontal="left" vertical="center"/>
    </xf>
    <xf numFmtId="0" fontId="35" fillId="0" borderId="16" xfId="1" applyFont="1" applyBorder="1" applyAlignment="1">
      <alignment horizontal="right" vertical="center"/>
    </xf>
    <xf numFmtId="0" fontId="28" fillId="0" borderId="15" xfId="1" applyBorder="1" applyAlignment="1">
      <alignment horizontal="center" vertical="center"/>
    </xf>
    <xf numFmtId="0" fontId="26" fillId="0" borderId="18" xfId="1" applyFont="1" applyBorder="1" applyAlignment="1">
      <alignment horizontal="center" vertical="center"/>
    </xf>
    <xf numFmtId="3" fontId="26" fillId="0" borderId="18" xfId="1" applyNumberFormat="1" applyFont="1" applyBorder="1" applyAlignment="1">
      <alignment horizontal="right" vertical="center"/>
    </xf>
    <xf numFmtId="0" fontId="36" fillId="0" borderId="0" xfId="1" applyFont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0" fontId="24" fillId="0" borderId="19" xfId="1" applyFont="1" applyBorder="1" applyAlignment="1">
      <alignment horizontal="right" vertical="center"/>
    </xf>
    <xf numFmtId="0" fontId="28" fillId="0" borderId="0" xfId="1" applyAlignment="1">
      <alignment horizontal="center" vertical="center" wrapText="1"/>
    </xf>
    <xf numFmtId="1" fontId="21" fillId="0" borderId="10" xfId="0" applyNumberFormat="1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11" fillId="0" borderId="0" xfId="3"/>
    <xf numFmtId="0" fontId="37" fillId="0" borderId="0" xfId="3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11" fillId="0" borderId="15" xfId="3" applyBorder="1" applyAlignment="1">
      <alignment horizontal="center" vertical="center"/>
    </xf>
    <xf numFmtId="0" fontId="26" fillId="0" borderId="0" xfId="3" applyFont="1" applyAlignment="1">
      <alignment horizontal="center" wrapText="1"/>
    </xf>
    <xf numFmtId="0" fontId="11" fillId="0" borderId="0" xfId="3" applyAlignment="1">
      <alignment horizontal="center" vertical="center"/>
    </xf>
    <xf numFmtId="3" fontId="39" fillId="0" borderId="0" xfId="0" applyNumberFormat="1" applyFont="1" applyAlignment="1">
      <alignment horizontal="left" vertical="center"/>
    </xf>
    <xf numFmtId="3" fontId="11" fillId="0" borderId="15" xfId="3" applyNumberFormat="1" applyBorder="1" applyAlignment="1">
      <alignment vertical="center"/>
    </xf>
    <xf numFmtId="0" fontId="35" fillId="0" borderId="16" xfId="3" applyFont="1" applyBorder="1" applyAlignment="1">
      <alignment horizontal="right" vertical="center"/>
    </xf>
    <xf numFmtId="0" fontId="26" fillId="0" borderId="16" xfId="3" applyFont="1" applyBorder="1" applyAlignment="1">
      <alignment horizontal="right" vertical="center"/>
    </xf>
    <xf numFmtId="3" fontId="37" fillId="0" borderId="0" xfId="3" applyNumberFormat="1" applyFont="1"/>
    <xf numFmtId="0" fontId="18" fillId="0" borderId="0" xfId="1" applyFont="1" applyAlignment="1">
      <alignment horizontal="left" vertical="center" wrapText="1"/>
    </xf>
    <xf numFmtId="0" fontId="26" fillId="0" borderId="15" xfId="1" applyFont="1" applyBorder="1" applyAlignment="1">
      <alignment horizontal="left" vertical="center" wrapText="1"/>
    </xf>
    <xf numFmtId="0" fontId="21" fillId="0" borderId="13" xfId="2" applyFont="1" applyBorder="1" applyAlignment="1">
      <alignment horizontal="left" vertical="center" wrapText="1"/>
    </xf>
    <xf numFmtId="0" fontId="28" fillId="0" borderId="0" xfId="1" applyAlignment="1">
      <alignment horizontal="left"/>
    </xf>
    <xf numFmtId="1" fontId="24" fillId="0" borderId="15" xfId="1" applyNumberFormat="1" applyFont="1" applyBorder="1" applyAlignment="1">
      <alignment vertical="center"/>
    </xf>
    <xf numFmtId="0" fontId="28" fillId="0" borderId="15" xfId="1" applyBorder="1"/>
    <xf numFmtId="0" fontId="18" fillId="0" borderId="15" xfId="1" applyFont="1" applyBorder="1" applyAlignment="1">
      <alignment vertical="center" wrapText="1"/>
    </xf>
    <xf numFmtId="1" fontId="24" fillId="0" borderId="15" xfId="1" applyNumberFormat="1" applyFont="1" applyBorder="1" applyAlignment="1">
      <alignment horizontal="right" vertical="center"/>
    </xf>
    <xf numFmtId="0" fontId="41" fillId="0" borderId="0" xfId="1" applyFont="1" applyAlignment="1">
      <alignment horizontal="center" vertical="center"/>
    </xf>
    <xf numFmtId="0" fontId="40" fillId="0" borderId="16" xfId="1" applyFont="1" applyBorder="1" applyAlignment="1">
      <alignment horizontal="left" vertical="center"/>
    </xf>
    <xf numFmtId="0" fontId="40" fillId="0" borderId="16" xfId="1" applyFont="1" applyBorder="1" applyAlignment="1">
      <alignment horizontal="right" vertical="center"/>
    </xf>
    <xf numFmtId="0" fontId="40" fillId="0" borderId="15" xfId="1" applyFont="1" applyBorder="1" applyAlignment="1">
      <alignment horizontal="center" vertical="center" wrapText="1"/>
    </xf>
    <xf numFmtId="0" fontId="40" fillId="0" borderId="15" xfId="1" applyFont="1" applyBorder="1" applyAlignment="1">
      <alignment horizontal="center" vertical="center"/>
    </xf>
    <xf numFmtId="0" fontId="41" fillId="0" borderId="15" xfId="1" applyFont="1" applyBorder="1" applyAlignment="1">
      <alignment horizontal="center" vertical="center" wrapText="1"/>
    </xf>
    <xf numFmtId="0" fontId="43" fillId="0" borderId="15" xfId="1" applyFont="1" applyBorder="1" applyAlignment="1">
      <alignment horizontal="center"/>
    </xf>
    <xf numFmtId="0" fontId="44" fillId="0" borderId="15" xfId="1" applyFont="1" applyBorder="1" applyAlignment="1">
      <alignment horizontal="center"/>
    </xf>
    <xf numFmtId="0" fontId="41" fillId="0" borderId="15" xfId="1" applyFont="1" applyBorder="1" applyAlignment="1">
      <alignment horizontal="center"/>
    </xf>
    <xf numFmtId="0" fontId="43" fillId="0" borderId="6" xfId="1" applyFont="1" applyBorder="1" applyAlignment="1">
      <alignment horizontal="center"/>
    </xf>
    <xf numFmtId="0" fontId="44" fillId="0" borderId="22" xfId="1" applyFont="1" applyBorder="1" applyAlignment="1">
      <alignment horizontal="center"/>
    </xf>
    <xf numFmtId="0" fontId="41" fillId="0" borderId="18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wrapText="1"/>
    </xf>
    <xf numFmtId="0" fontId="40" fillId="0" borderId="0" xfId="1" applyFont="1" applyAlignment="1">
      <alignment vertical="center" wrapText="1"/>
    </xf>
    <xf numFmtId="0" fontId="41" fillId="0" borderId="0" xfId="1" applyFont="1" applyAlignment="1">
      <alignment horizontal="center" vertical="center" wrapText="1"/>
    </xf>
    <xf numFmtId="1" fontId="41" fillId="0" borderId="15" xfId="1" applyNumberFormat="1" applyFont="1" applyBorder="1" applyAlignment="1">
      <alignment horizontal="center"/>
    </xf>
    <xf numFmtId="1" fontId="41" fillId="0" borderId="22" xfId="1" applyNumberFormat="1" applyFont="1" applyBorder="1" applyAlignment="1">
      <alignment horizontal="center"/>
    </xf>
    <xf numFmtId="0" fontId="46" fillId="0" borderId="0" xfId="1" applyFont="1" applyAlignment="1">
      <alignment horizontal="left" vertical="center"/>
    </xf>
    <xf numFmtId="1" fontId="24" fillId="0" borderId="15" xfId="1" applyNumberFormat="1" applyFont="1" applyBorder="1" applyAlignment="1">
      <alignment horizontal="center" vertical="center"/>
    </xf>
    <xf numFmtId="1" fontId="21" fillId="0" borderId="13" xfId="2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left" vertical="center"/>
    </xf>
    <xf numFmtId="0" fontId="24" fillId="0" borderId="22" xfId="1" applyFont="1" applyBorder="1" applyAlignment="1">
      <alignment horizontal="center" vertical="center" wrapText="1"/>
    </xf>
    <xf numFmtId="1" fontId="24" fillId="0" borderId="19" xfId="1" applyNumberFormat="1" applyFont="1" applyBorder="1" applyAlignment="1">
      <alignment vertical="center"/>
    </xf>
    <xf numFmtId="1" fontId="21" fillId="0" borderId="15" xfId="2" applyNumberFormat="1" applyFont="1" applyBorder="1" applyAlignment="1">
      <alignment horizontal="center" vertical="center"/>
    </xf>
    <xf numFmtId="0" fontId="21" fillId="0" borderId="15" xfId="2" applyFont="1" applyBorder="1" applyAlignment="1">
      <alignment horizontal="left" vertical="center" wrapText="1"/>
    </xf>
    <xf numFmtId="1" fontId="21" fillId="0" borderId="15" xfId="0" applyNumberFormat="1" applyFont="1" applyBorder="1" applyAlignment="1">
      <alignment vertical="center"/>
    </xf>
    <xf numFmtId="0" fontId="48" fillId="0" borderId="0" xfId="6" applyFont="1" applyAlignment="1" applyProtection="1">
      <alignment horizontal="center" vertical="center" wrapText="1"/>
      <protection locked="0"/>
    </xf>
    <xf numFmtId="0" fontId="47" fillId="0" borderId="0" xfId="6" applyProtection="1">
      <protection locked="0"/>
    </xf>
    <xf numFmtId="0" fontId="48" fillId="0" borderId="0" xfId="6" applyFont="1" applyAlignment="1" applyProtection="1">
      <alignment horizontal="center" vertical="center"/>
      <protection locked="0"/>
    </xf>
    <xf numFmtId="0" fontId="48" fillId="0" borderId="0" xfId="6" applyFont="1" applyAlignment="1" applyProtection="1">
      <alignment vertical="center"/>
      <protection locked="0"/>
    </xf>
    <xf numFmtId="0" fontId="21" fillId="0" borderId="15" xfId="6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5" fillId="0" borderId="0" xfId="0" applyFont="1" applyAlignment="1" applyProtection="1">
      <alignment vertical="center"/>
      <protection locked="0"/>
    </xf>
    <xf numFmtId="0" fontId="56" fillId="0" borderId="0" xfId="0" applyFont="1" applyAlignment="1" applyProtection="1">
      <alignment vertical="center"/>
      <protection locked="0"/>
    </xf>
    <xf numFmtId="3" fontId="0" fillId="0" borderId="0" xfId="0" applyNumberFormat="1" applyAlignment="1">
      <alignment vertical="center"/>
    </xf>
    <xf numFmtId="0" fontId="0" fillId="0" borderId="0" xfId="0" pivotButton="1"/>
    <xf numFmtId="0" fontId="55" fillId="0" borderId="0" xfId="0" applyFont="1"/>
    <xf numFmtId="3" fontId="0" fillId="0" borderId="0" xfId="0" applyNumberFormat="1"/>
    <xf numFmtId="0" fontId="21" fillId="0" borderId="1" xfId="6" applyFont="1" applyBorder="1" applyAlignment="1">
      <alignment horizontal="center" vertical="center" wrapText="1"/>
    </xf>
    <xf numFmtId="0" fontId="22" fillId="0" borderId="1" xfId="6" applyFont="1" applyBorder="1" applyAlignment="1">
      <alignment horizontal="left" vertical="center" wrapText="1"/>
    </xf>
    <xf numFmtId="0" fontId="22" fillId="0" borderId="1" xfId="6" applyFont="1" applyBorder="1" applyAlignment="1">
      <alignment horizontal="center" vertical="center"/>
    </xf>
    <xf numFmtId="0" fontId="22" fillId="0" borderId="1" xfId="6" applyFont="1" applyBorder="1" applyAlignment="1">
      <alignment horizontal="right" vertical="center"/>
    </xf>
    <xf numFmtId="1" fontId="21" fillId="0" borderId="1" xfId="6" applyNumberFormat="1" applyFont="1" applyBorder="1" applyAlignment="1">
      <alignment horizontal="right" vertical="center"/>
    </xf>
    <xf numFmtId="0" fontId="21" fillId="0" borderId="1" xfId="6" applyFont="1" applyBorder="1" applyAlignment="1">
      <alignment horizontal="center" vertical="center"/>
    </xf>
    <xf numFmtId="0" fontId="21" fillId="0" borderId="2" xfId="6" applyFont="1" applyBorder="1" applyAlignment="1">
      <alignment horizontal="left" vertical="center" wrapText="1"/>
    </xf>
    <xf numFmtId="0" fontId="49" fillId="0" borderId="15" xfId="6" applyFont="1" applyBorder="1" applyAlignment="1">
      <alignment horizontal="center" vertical="center"/>
    </xf>
    <xf numFmtId="0" fontId="48" fillId="0" borderId="15" xfId="6" applyFont="1" applyBorder="1" applyAlignment="1">
      <alignment horizontal="center" vertical="center"/>
    </xf>
    <xf numFmtId="0" fontId="21" fillId="0" borderId="15" xfId="6" applyFont="1" applyBorder="1" applyAlignment="1">
      <alignment horizontal="left" vertical="center" wrapText="1"/>
    </xf>
    <xf numFmtId="0" fontId="22" fillId="0" borderId="1" xfId="6" applyFont="1" applyBorder="1" applyAlignment="1">
      <alignment horizontal="center" vertical="center" wrapText="1"/>
    </xf>
    <xf numFmtId="0" fontId="22" fillId="0" borderId="1" xfId="6" applyFont="1" applyBorder="1" applyAlignment="1">
      <alignment horizontal="right" vertical="center" wrapText="1"/>
    </xf>
    <xf numFmtId="0" fontId="22" fillId="0" borderId="2" xfId="6" applyFont="1" applyBorder="1" applyAlignment="1">
      <alignment horizontal="left" vertical="center" wrapText="1"/>
    </xf>
    <xf numFmtId="0" fontId="22" fillId="2" borderId="1" xfId="6" applyFont="1" applyFill="1" applyBorder="1" applyAlignment="1">
      <alignment horizontal="left" vertical="center" wrapText="1"/>
    </xf>
    <xf numFmtId="0" fontId="22" fillId="0" borderId="4" xfId="6" applyFont="1" applyBorder="1" applyAlignment="1">
      <alignment horizontal="left" vertical="center" wrapText="1"/>
    </xf>
    <xf numFmtId="0" fontId="22" fillId="0" borderId="4" xfId="6" applyFont="1" applyBorder="1" applyAlignment="1">
      <alignment horizontal="center" vertical="center"/>
    </xf>
    <xf numFmtId="0" fontId="22" fillId="0" borderId="4" xfId="6" applyFont="1" applyBorder="1" applyAlignment="1">
      <alignment horizontal="right" vertical="center"/>
    </xf>
    <xf numFmtId="0" fontId="21" fillId="0" borderId="4" xfId="6" applyFont="1" applyBorder="1" applyAlignment="1">
      <alignment horizontal="center" vertical="center"/>
    </xf>
    <xf numFmtId="0" fontId="21" fillId="0" borderId="10" xfId="6" applyFont="1" applyBorder="1" applyAlignment="1">
      <alignment horizontal="left" vertical="center" wrapText="1"/>
    </xf>
    <xf numFmtId="0" fontId="48" fillId="0" borderId="15" xfId="6" applyFont="1" applyBorder="1" applyAlignment="1">
      <alignment horizontal="center" vertical="center" wrapText="1"/>
    </xf>
    <xf numFmtId="0" fontId="22" fillId="2" borderId="4" xfId="6" applyFont="1" applyFill="1" applyBorder="1" applyAlignment="1">
      <alignment horizontal="left" vertical="center" wrapText="1"/>
    </xf>
    <xf numFmtId="0" fontId="21" fillId="0" borderId="4" xfId="6" applyFont="1" applyBorder="1" applyAlignment="1">
      <alignment horizontal="left" vertical="center" wrapText="1"/>
    </xf>
    <xf numFmtId="0" fontId="21" fillId="0" borderId="5" xfId="6" applyFont="1" applyBorder="1" applyAlignment="1">
      <alignment horizontal="center" vertical="center"/>
    </xf>
    <xf numFmtId="0" fontId="21" fillId="0" borderId="5" xfId="6" applyFont="1" applyBorder="1" applyAlignment="1">
      <alignment horizontal="right" vertical="center"/>
    </xf>
    <xf numFmtId="0" fontId="22" fillId="0" borderId="10" xfId="6" applyFont="1" applyBorder="1" applyAlignment="1">
      <alignment horizontal="left" vertical="center" wrapText="1"/>
    </xf>
    <xf numFmtId="0" fontId="21" fillId="0" borderId="1" xfId="6" applyFont="1" applyBorder="1" applyAlignment="1">
      <alignment horizontal="left" vertical="center" wrapText="1"/>
    </xf>
    <xf numFmtId="0" fontId="21" fillId="0" borderId="6" xfId="6" applyFont="1" applyBorder="1" applyAlignment="1">
      <alignment horizontal="left" vertical="center" wrapText="1"/>
    </xf>
    <xf numFmtId="0" fontId="21" fillId="0" borderId="4" xfId="6" applyFont="1" applyBorder="1" applyAlignment="1">
      <alignment horizontal="right" vertical="center"/>
    </xf>
    <xf numFmtId="0" fontId="21" fillId="0" borderId="1" xfId="6" applyFont="1" applyBorder="1" applyAlignment="1">
      <alignment horizontal="right" vertical="center"/>
    </xf>
    <xf numFmtId="0" fontId="48" fillId="0" borderId="1" xfId="6" applyFont="1" applyBorder="1" applyAlignment="1">
      <alignment horizontal="center" vertical="center" wrapText="1"/>
    </xf>
    <xf numFmtId="0" fontId="21" fillId="0" borderId="0" xfId="6" applyFont="1" applyAlignment="1">
      <alignment horizontal="left" vertical="center" wrapText="1"/>
    </xf>
    <xf numFmtId="0" fontId="22" fillId="0" borderId="1" xfId="6" applyFont="1" applyBorder="1" applyAlignment="1">
      <alignment vertical="center" wrapText="1"/>
    </xf>
    <xf numFmtId="0" fontId="21" fillId="0" borderId="14" xfId="6" applyFont="1" applyBorder="1" applyAlignment="1">
      <alignment horizontal="left" vertical="center" wrapText="1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1" fontId="22" fillId="0" borderId="3" xfId="6" applyNumberFormat="1" applyFont="1" applyBorder="1" applyAlignment="1">
      <alignment horizontal="right" vertical="center"/>
    </xf>
    <xf numFmtId="0" fontId="21" fillId="0" borderId="3" xfId="6" applyFont="1" applyBorder="1" applyAlignment="1">
      <alignment horizontal="center" vertical="center"/>
    </xf>
    <xf numFmtId="1" fontId="21" fillId="0" borderId="3" xfId="6" applyNumberFormat="1" applyFont="1" applyBorder="1" applyAlignment="1">
      <alignment horizontal="right" vertical="center"/>
    </xf>
    <xf numFmtId="0" fontId="22" fillId="0" borderId="6" xfId="6" applyFont="1" applyBorder="1" applyAlignment="1">
      <alignment horizontal="left" vertical="center" wrapText="1"/>
    </xf>
    <xf numFmtId="1" fontId="22" fillId="0" borderId="4" xfId="6" applyNumberFormat="1" applyFont="1" applyBorder="1" applyAlignment="1">
      <alignment horizontal="right" vertical="center"/>
    </xf>
    <xf numFmtId="0" fontId="21" fillId="0" borderId="15" xfId="6" applyFont="1" applyBorder="1" applyAlignment="1">
      <alignment horizontal="center" vertical="center" wrapText="1"/>
    </xf>
    <xf numFmtId="0" fontId="22" fillId="0" borderId="15" xfId="6" applyFont="1" applyBorder="1" applyAlignment="1">
      <alignment horizontal="left" vertical="center"/>
    </xf>
    <xf numFmtId="1" fontId="22" fillId="0" borderId="15" xfId="6" applyNumberFormat="1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right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/>
    </xf>
    <xf numFmtId="0" fontId="22" fillId="0" borderId="20" xfId="6" applyFont="1" applyBorder="1" applyAlignment="1">
      <alignment horizontal="left" vertical="center"/>
    </xf>
    <xf numFmtId="0" fontId="22" fillId="0" borderId="6" xfId="6" applyFont="1" applyBorder="1" applyAlignment="1">
      <alignment horizontal="left" vertical="center"/>
    </xf>
    <xf numFmtId="1" fontId="22" fillId="0" borderId="6" xfId="6" applyNumberFormat="1" applyFont="1" applyBorder="1" applyAlignment="1">
      <alignment horizontal="center" vertical="center"/>
    </xf>
    <xf numFmtId="1" fontId="21" fillId="0" borderId="6" xfId="6" applyNumberFormat="1" applyFont="1" applyBorder="1" applyAlignment="1">
      <alignment horizontal="right" vertical="center"/>
    </xf>
    <xf numFmtId="1" fontId="21" fillId="0" borderId="7" xfId="6" applyNumberFormat="1" applyFont="1" applyBorder="1" applyAlignment="1">
      <alignment horizontal="right" vertical="center"/>
    </xf>
    <xf numFmtId="0" fontId="21" fillId="0" borderId="6" xfId="6" applyFont="1" applyBorder="1" applyAlignment="1">
      <alignment horizontal="center" vertical="center"/>
    </xf>
    <xf numFmtId="0" fontId="22" fillId="0" borderId="0" xfId="6" applyFont="1" applyAlignment="1">
      <alignment horizontal="left" vertical="center"/>
    </xf>
    <xf numFmtId="1" fontId="22" fillId="0" borderId="3" xfId="6" applyNumberFormat="1" applyFont="1" applyBorder="1" applyAlignment="1">
      <alignment horizontal="center" vertical="center"/>
    </xf>
    <xf numFmtId="1" fontId="21" fillId="0" borderId="5" xfId="6" applyNumberFormat="1" applyFont="1" applyBorder="1" applyAlignment="1">
      <alignment horizontal="right" vertical="center"/>
    </xf>
    <xf numFmtId="0" fontId="22" fillId="0" borderId="1" xfId="6" applyFont="1" applyBorder="1" applyAlignment="1">
      <alignment horizontal="left" vertical="center"/>
    </xf>
    <xf numFmtId="1" fontId="21" fillId="0" borderId="3" xfId="6" applyNumberFormat="1" applyFont="1" applyBorder="1" applyAlignment="1">
      <alignment horizontal="center" vertical="center"/>
    </xf>
    <xf numFmtId="0" fontId="21" fillId="0" borderId="23" xfId="6" applyFont="1" applyBorder="1" applyAlignment="1">
      <alignment horizontal="left" vertical="center"/>
    </xf>
    <xf numFmtId="0" fontId="22" fillId="0" borderId="23" xfId="6" applyFont="1" applyBorder="1" applyAlignment="1">
      <alignment horizontal="left" vertical="center" wrapText="1"/>
    </xf>
    <xf numFmtId="1" fontId="21" fillId="0" borderId="4" xfId="6" applyNumberFormat="1" applyFont="1" applyBorder="1" applyAlignment="1">
      <alignment horizontal="center" vertical="center"/>
    </xf>
    <xf numFmtId="1" fontId="21" fillId="0" borderId="4" xfId="6" applyNumberFormat="1" applyFont="1" applyBorder="1" applyAlignment="1">
      <alignment horizontal="right" vertical="center"/>
    </xf>
    <xf numFmtId="0" fontId="21" fillId="0" borderId="10" xfId="6" applyFont="1" applyBorder="1" applyAlignment="1">
      <alignment horizontal="left" vertical="center"/>
    </xf>
    <xf numFmtId="1" fontId="22" fillId="0" borderId="4" xfId="6" applyNumberFormat="1" applyFont="1" applyBorder="1" applyAlignment="1">
      <alignment horizontal="center" vertical="center"/>
    </xf>
    <xf numFmtId="1" fontId="22" fillId="0" borderId="5" xfId="6" applyNumberFormat="1" applyFont="1" applyBorder="1" applyAlignment="1">
      <alignment horizontal="right" vertical="center"/>
    </xf>
    <xf numFmtId="0" fontId="22" fillId="0" borderId="4" xfId="6" applyFont="1" applyBorder="1" applyAlignment="1">
      <alignment horizontal="center"/>
    </xf>
    <xf numFmtId="0" fontId="22" fillId="0" borderId="10" xfId="6" applyFont="1" applyBorder="1" applyAlignment="1">
      <alignment horizontal="left" vertical="center"/>
    </xf>
    <xf numFmtId="0" fontId="21" fillId="0" borderId="6" xfId="6" applyFont="1" applyBorder="1" applyAlignment="1">
      <alignment horizontal="left" vertical="center"/>
    </xf>
    <xf numFmtId="0" fontId="21" fillId="0" borderId="13" xfId="6" applyFont="1" applyBorder="1" applyAlignment="1">
      <alignment horizontal="center" vertical="center" wrapText="1"/>
    </xf>
    <xf numFmtId="0" fontId="22" fillId="0" borderId="13" xfId="6" applyFont="1" applyBorder="1" applyAlignment="1">
      <alignment horizontal="left" vertical="center"/>
    </xf>
    <xf numFmtId="1" fontId="22" fillId="0" borderId="7" xfId="6" applyNumberFormat="1" applyFont="1" applyBorder="1" applyAlignment="1">
      <alignment horizontal="center" vertical="center"/>
    </xf>
    <xf numFmtId="0" fontId="22" fillId="0" borderId="7" xfId="6" applyFont="1" applyBorder="1" applyAlignment="1">
      <alignment horizontal="center" vertical="center"/>
    </xf>
    <xf numFmtId="1" fontId="21" fillId="0" borderId="15" xfId="6" applyNumberFormat="1" applyFont="1" applyBorder="1" applyAlignment="1">
      <alignment horizontal="right" vertical="center"/>
    </xf>
    <xf numFmtId="0" fontId="22" fillId="0" borderId="20" xfId="6" applyFont="1" applyBorder="1" applyAlignment="1">
      <alignment horizontal="left" vertical="center" wrapText="1"/>
    </xf>
    <xf numFmtId="0" fontId="21" fillId="0" borderId="6" xfId="6" applyFont="1" applyBorder="1" applyAlignment="1">
      <alignment horizontal="center" vertical="center" wrapText="1"/>
    </xf>
    <xf numFmtId="0" fontId="21" fillId="0" borderId="7" xfId="6" applyFont="1" applyBorder="1" applyAlignment="1">
      <alignment horizontal="left" vertical="center" wrapText="1"/>
    </xf>
    <xf numFmtId="0" fontId="21" fillId="0" borderId="7" xfId="6" applyFont="1" applyBorder="1" applyAlignment="1">
      <alignment horizontal="center" vertical="center"/>
    </xf>
    <xf numFmtId="0" fontId="50" fillId="0" borderId="7" xfId="6" applyFont="1" applyBorder="1" applyAlignment="1">
      <alignment horizontal="right" vertical="center"/>
    </xf>
    <xf numFmtId="1" fontId="50" fillId="0" borderId="7" xfId="6" applyNumberFormat="1" applyFont="1" applyBorder="1" applyAlignment="1">
      <alignment horizontal="right" vertical="center"/>
    </xf>
    <xf numFmtId="0" fontId="22" fillId="0" borderId="0" xfId="6" applyFont="1" applyAlignment="1">
      <alignment horizontal="left" vertical="center" wrapText="1"/>
    </xf>
    <xf numFmtId="1" fontId="22" fillId="0" borderId="1" xfId="6" applyNumberFormat="1" applyFont="1" applyBorder="1" applyAlignment="1">
      <alignment horizontal="right" vertical="center"/>
    </xf>
    <xf numFmtId="1" fontId="22" fillId="0" borderId="1" xfId="6" applyNumberFormat="1" applyFont="1" applyBorder="1" applyAlignment="1">
      <alignment horizontal="left" vertical="center"/>
    </xf>
    <xf numFmtId="0" fontId="22" fillId="0" borderId="13" xfId="6" applyFont="1" applyBorder="1" applyAlignment="1">
      <alignment horizontal="center" vertical="center" wrapText="1"/>
    </xf>
    <xf numFmtId="0" fontId="22" fillId="0" borderId="13" xfId="6" applyFont="1" applyBorder="1" applyAlignment="1">
      <alignment horizontal="right" vertical="center" wrapText="1"/>
    </xf>
    <xf numFmtId="0" fontId="22" fillId="0" borderId="6" xfId="6" applyFont="1" applyBorder="1" applyAlignment="1">
      <alignment horizontal="center" vertical="center" wrapText="1"/>
    </xf>
    <xf numFmtId="0" fontId="22" fillId="0" borderId="8" xfId="6" applyFont="1" applyBorder="1" applyAlignment="1">
      <alignment horizontal="center" vertical="center" wrapText="1"/>
    </xf>
    <xf numFmtId="0" fontId="21" fillId="0" borderId="15" xfId="6" applyFont="1" applyBorder="1" applyAlignment="1">
      <alignment horizontal="right" vertical="center" wrapText="1"/>
    </xf>
    <xf numFmtId="0" fontId="21" fillId="0" borderId="7" xfId="6" applyFont="1" applyBorder="1" applyAlignment="1">
      <alignment horizontal="center" vertical="center" wrapText="1"/>
    </xf>
    <xf numFmtId="0" fontId="22" fillId="0" borderId="2" xfId="6" applyFont="1" applyBorder="1" applyAlignment="1">
      <alignment horizontal="center" vertical="center" wrapText="1"/>
    </xf>
    <xf numFmtId="0" fontId="21" fillId="0" borderId="15" xfId="6" applyFont="1" applyBorder="1" applyAlignment="1">
      <alignment horizontal="center" vertical="center"/>
    </xf>
    <xf numFmtId="0" fontId="50" fillId="0" borderId="15" xfId="6" applyFont="1" applyBorder="1" applyAlignment="1">
      <alignment horizontal="right" vertical="center"/>
    </xf>
    <xf numFmtId="1" fontId="50" fillId="0" borderId="15" xfId="6" applyNumberFormat="1" applyFont="1" applyBorder="1" applyAlignment="1">
      <alignment horizontal="right" vertical="center"/>
    </xf>
    <xf numFmtId="0" fontId="22" fillId="0" borderId="15" xfId="6" applyFont="1" applyBorder="1" applyAlignment="1">
      <alignment horizontal="left" vertical="center" wrapText="1"/>
    </xf>
    <xf numFmtId="0" fontId="22" fillId="0" borderId="3" xfId="6" applyFont="1" applyBorder="1" applyAlignment="1">
      <alignment horizontal="center" vertical="center" wrapText="1"/>
    </xf>
    <xf numFmtId="0" fontId="21" fillId="0" borderId="15" xfId="6" applyFont="1" applyBorder="1" applyAlignment="1" applyProtection="1">
      <alignment horizontal="center" vertical="center" wrapText="1"/>
      <protection locked="0"/>
    </xf>
    <xf numFmtId="1" fontId="50" fillId="0" borderId="15" xfId="6" applyNumberFormat="1" applyFont="1" applyBorder="1" applyAlignment="1" applyProtection="1">
      <alignment horizontal="right" vertical="center"/>
      <protection locked="0"/>
    </xf>
    <xf numFmtId="0" fontId="48" fillId="0" borderId="19" xfId="6" applyFont="1" applyBorder="1" applyAlignment="1">
      <alignment horizontal="center" vertical="center"/>
    </xf>
    <xf numFmtId="0" fontId="22" fillId="0" borderId="14" xfId="6" applyFont="1" applyBorder="1" applyAlignment="1">
      <alignment horizontal="left" vertical="center" wrapText="1"/>
    </xf>
    <xf numFmtId="0" fontId="50" fillId="0" borderId="19" xfId="6" applyFont="1" applyBorder="1" applyAlignment="1">
      <alignment horizontal="right" vertical="center"/>
    </xf>
    <xf numFmtId="1" fontId="50" fillId="0" borderId="19" xfId="6" applyNumberFormat="1" applyFont="1" applyBorder="1" applyAlignment="1">
      <alignment horizontal="right" vertical="center"/>
    </xf>
    <xf numFmtId="0" fontId="21" fillId="0" borderId="19" xfId="6" applyFont="1" applyBorder="1" applyAlignment="1">
      <alignment horizontal="center" vertical="center" wrapText="1"/>
    </xf>
    <xf numFmtId="0" fontId="22" fillId="0" borderId="9" xfId="6" applyFont="1" applyBorder="1" applyAlignment="1">
      <alignment horizontal="left" vertical="center" wrapText="1"/>
    </xf>
    <xf numFmtId="0" fontId="22" fillId="0" borderId="24" xfId="6" applyFont="1" applyBorder="1" applyAlignment="1">
      <alignment horizontal="center" vertical="center" wrapText="1"/>
    </xf>
    <xf numFmtId="0" fontId="21" fillId="0" borderId="19" xfId="6" applyFont="1" applyBorder="1" applyAlignment="1">
      <alignment horizontal="left" vertical="center" wrapText="1"/>
    </xf>
    <xf numFmtId="0" fontId="22" fillId="0" borderId="15" xfId="6" applyFont="1" applyBorder="1" applyAlignment="1" applyProtection="1">
      <alignment horizontal="center" vertical="center" wrapText="1"/>
      <protection locked="0"/>
    </xf>
    <xf numFmtId="0" fontId="22" fillId="0" borderId="15" xfId="6" applyFont="1" applyBorder="1" applyAlignment="1" applyProtection="1">
      <alignment horizontal="left" vertical="center" wrapText="1"/>
      <protection locked="0"/>
    </xf>
    <xf numFmtId="0" fontId="48" fillId="0" borderId="15" xfId="6" applyFont="1" applyBorder="1" applyAlignment="1" applyProtection="1">
      <alignment horizontal="center" vertical="center"/>
      <protection locked="0"/>
    </xf>
    <xf numFmtId="0" fontId="57" fillId="0" borderId="6" xfId="0" applyFont="1" applyBorder="1" applyAlignment="1">
      <alignment horizontal="left" vertical="center" wrapText="1"/>
    </xf>
    <xf numFmtId="0" fontId="57" fillId="0" borderId="4" xfId="0" applyFont="1" applyBorder="1" applyAlignment="1">
      <alignment horizontal="center" vertical="center"/>
    </xf>
    <xf numFmtId="0" fontId="21" fillId="0" borderId="0" xfId="6" applyFont="1" applyAlignment="1" applyProtection="1">
      <alignment horizontal="left" vertical="center" wrapText="1"/>
      <protection locked="0"/>
    </xf>
    <xf numFmtId="0" fontId="22" fillId="5" borderId="19" xfId="6" applyFont="1" applyFill="1" applyBorder="1" applyAlignment="1" applyProtection="1">
      <alignment horizontal="center" vertical="center" wrapText="1"/>
      <protection locked="0"/>
    </xf>
    <xf numFmtId="0" fontId="22" fillId="5" borderId="19" xfId="6" applyFont="1" applyFill="1" applyBorder="1" applyAlignment="1" applyProtection="1">
      <alignment horizontal="left" vertical="center" wrapText="1"/>
      <protection locked="0"/>
    </xf>
    <xf numFmtId="1" fontId="21" fillId="6" borderId="1" xfId="6" applyNumberFormat="1" applyFont="1" applyFill="1" applyBorder="1" applyAlignment="1">
      <alignment horizontal="center" vertical="center"/>
    </xf>
    <xf numFmtId="0" fontId="48" fillId="6" borderId="15" xfId="6" applyFont="1" applyFill="1" applyBorder="1" applyAlignment="1">
      <alignment horizontal="center" vertical="center" wrapText="1"/>
    </xf>
    <xf numFmtId="0" fontId="48" fillId="6" borderId="15" xfId="6" applyFont="1" applyFill="1" applyBorder="1" applyAlignment="1">
      <alignment horizontal="center" vertical="center"/>
    </xf>
    <xf numFmtId="0" fontId="21" fillId="6" borderId="1" xfId="6" applyFont="1" applyFill="1" applyBorder="1" applyAlignment="1">
      <alignment horizontal="center" vertical="center"/>
    </xf>
    <xf numFmtId="0" fontId="20" fillId="0" borderId="0" xfId="0" applyFont="1"/>
    <xf numFmtId="0" fontId="0" fillId="6" borderId="0" xfId="0" applyFill="1" applyProtection="1">
      <protection locked="0"/>
    </xf>
    <xf numFmtId="0" fontId="22" fillId="0" borderId="15" xfId="6" applyFont="1" applyBorder="1" applyAlignment="1">
      <alignment horizontal="center" vertical="center" wrapText="1"/>
    </xf>
    <xf numFmtId="0" fontId="22" fillId="0" borderId="15" xfId="6" applyFont="1" applyBorder="1" applyAlignment="1">
      <alignment horizontal="right" vertical="center" wrapText="1"/>
    </xf>
    <xf numFmtId="0" fontId="21" fillId="0" borderId="0" xfId="6" applyFont="1" applyAlignment="1">
      <alignment horizontal="center" vertical="center" wrapText="1"/>
    </xf>
    <xf numFmtId="0" fontId="0" fillId="0" borderId="0" xfId="0" applyAlignment="1">
      <alignment horizontal="left"/>
    </xf>
    <xf numFmtId="0" fontId="21" fillId="5" borderId="15" xfId="6" applyFont="1" applyFill="1" applyBorder="1" applyAlignment="1">
      <alignment horizontal="center" vertical="center" wrapText="1"/>
    </xf>
    <xf numFmtId="3" fontId="0" fillId="0" borderId="0" xfId="0" applyNumberFormat="1" applyProtection="1">
      <protection locked="0"/>
    </xf>
    <xf numFmtId="0" fontId="22" fillId="0" borderId="2" xfId="6" applyFont="1" applyBorder="1" applyAlignment="1">
      <alignment vertical="center" wrapText="1"/>
    </xf>
    <xf numFmtId="0" fontId="21" fillId="6" borderId="2" xfId="6" applyFont="1" applyFill="1" applyBorder="1" applyAlignment="1">
      <alignment vertical="center" wrapText="1"/>
    </xf>
    <xf numFmtId="0" fontId="21" fillId="0" borderId="23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0" fontId="21" fillId="6" borderId="2" xfId="6" applyFont="1" applyFill="1" applyBorder="1" applyAlignment="1">
      <alignment vertical="center"/>
    </xf>
    <xf numFmtId="0" fontId="22" fillId="0" borderId="15" xfId="6" applyFont="1" applyBorder="1" applyAlignment="1">
      <alignment vertical="center" wrapText="1"/>
    </xf>
    <xf numFmtId="0" fontId="57" fillId="0" borderId="4" xfId="0" applyFont="1" applyBorder="1" applyAlignment="1">
      <alignment vertical="center"/>
    </xf>
    <xf numFmtId="0" fontId="57" fillId="0" borderId="15" xfId="0" applyFont="1" applyBorder="1" applyAlignment="1" applyProtection="1">
      <alignment vertical="center"/>
      <protection locked="0"/>
    </xf>
    <xf numFmtId="0" fontId="48" fillId="0" borderId="0" xfId="6" applyFont="1" applyAlignment="1" applyProtection="1">
      <alignment vertical="center" wrapText="1"/>
      <protection locked="0"/>
    </xf>
    <xf numFmtId="0" fontId="48" fillId="0" borderId="0" xfId="6" applyFont="1" applyAlignment="1" applyProtection="1">
      <alignment horizontal="right" vertical="center"/>
      <protection locked="0"/>
    </xf>
    <xf numFmtId="3" fontId="21" fillId="0" borderId="1" xfId="6" applyNumberFormat="1" applyFont="1" applyBorder="1" applyAlignment="1" applyProtection="1">
      <alignment horizontal="right" vertical="center"/>
      <protection locked="0"/>
    </xf>
    <xf numFmtId="0" fontId="55" fillId="0" borderId="0" xfId="0" applyFont="1" applyAlignment="1">
      <alignment horizontal="left"/>
    </xf>
    <xf numFmtId="0" fontId="0" fillId="0" borderId="0" xfId="0" applyAlignment="1" applyProtection="1">
      <alignment vertical="center"/>
      <protection locked="0"/>
    </xf>
    <xf numFmtId="0" fontId="47" fillId="0" borderId="0" xfId="0" applyFont="1" applyAlignment="1" applyProtection="1">
      <alignment horizontal="center"/>
      <protection locked="0"/>
    </xf>
    <xf numFmtId="0" fontId="47" fillId="0" borderId="0" xfId="0" applyFont="1" applyAlignment="1" applyProtection="1">
      <alignment vertical="center"/>
      <protection locked="0"/>
    </xf>
    <xf numFmtId="0" fontId="55" fillId="0" borderId="0" xfId="0" applyFont="1" applyAlignment="1" applyProtection="1">
      <alignment vertical="top"/>
      <protection locked="0"/>
    </xf>
    <xf numFmtId="0" fontId="55" fillId="0" borderId="0" xfId="0" applyFont="1" applyAlignment="1" applyProtection="1">
      <alignment horizontal="center" vertical="top"/>
      <protection locked="0"/>
    </xf>
    <xf numFmtId="3" fontId="55" fillId="0" borderId="0" xfId="0" applyNumberFormat="1" applyFont="1" applyAlignment="1">
      <alignment vertical="center"/>
    </xf>
    <xf numFmtId="0" fontId="22" fillId="0" borderId="4" xfId="6" applyFont="1" applyBorder="1" applyAlignment="1" applyProtection="1">
      <alignment horizontal="center" vertical="center"/>
      <protection locked="0"/>
    </xf>
    <xf numFmtId="0" fontId="22" fillId="0" borderId="6" xfId="6" applyFont="1" applyBorder="1" applyAlignment="1" applyProtection="1">
      <alignment horizontal="left" vertical="center" wrapText="1"/>
      <protection locked="0"/>
    </xf>
    <xf numFmtId="0" fontId="22" fillId="0" borderId="6" xfId="6" applyFont="1" applyBorder="1" applyAlignment="1" applyProtection="1">
      <alignment horizontal="center" vertical="center" wrapText="1"/>
      <protection locked="0"/>
    </xf>
    <xf numFmtId="0" fontId="21" fillId="0" borderId="1" xfId="6" applyFont="1" applyBorder="1" applyAlignment="1" applyProtection="1">
      <alignment horizontal="center" vertical="center" wrapText="1"/>
      <protection locked="0"/>
    </xf>
    <xf numFmtId="3" fontId="21" fillId="0" borderId="1" xfId="6" applyNumberFormat="1" applyFont="1" applyBorder="1" applyAlignment="1" applyProtection="1">
      <alignment horizontal="left" vertical="center" wrapText="1"/>
      <protection locked="0"/>
    </xf>
    <xf numFmtId="0" fontId="22" fillId="7" borderId="23" xfId="6" applyFont="1" applyFill="1" applyBorder="1" applyAlignment="1">
      <alignment horizontal="center" vertical="center"/>
    </xf>
    <xf numFmtId="0" fontId="22" fillId="0" borderId="13" xfId="6" applyFont="1" applyBorder="1" applyAlignment="1">
      <alignment horizontal="left" vertical="center" wrapText="1"/>
    </xf>
    <xf numFmtId="1" fontId="21" fillId="0" borderId="13" xfId="6" applyNumberFormat="1" applyFont="1" applyBorder="1" applyAlignment="1">
      <alignment horizontal="right" vertical="center"/>
    </xf>
    <xf numFmtId="0" fontId="22" fillId="0" borderId="13" xfId="6" applyFont="1" applyBorder="1" applyAlignment="1">
      <alignment horizontal="center" vertical="center"/>
    </xf>
    <xf numFmtId="0" fontId="22" fillId="0" borderId="24" xfId="6" applyFont="1" applyBorder="1" applyAlignment="1">
      <alignment horizontal="left" vertical="center" wrapText="1"/>
    </xf>
    <xf numFmtId="0" fontId="22" fillId="0" borderId="6" xfId="6" applyFont="1" applyBorder="1" applyAlignment="1">
      <alignment horizontal="right" vertical="center" wrapText="1"/>
    </xf>
    <xf numFmtId="0" fontId="22" fillId="0" borderId="6" xfId="6" applyFont="1" applyBorder="1" applyAlignment="1">
      <alignment horizontal="center" vertical="center"/>
    </xf>
    <xf numFmtId="0" fontId="21" fillId="0" borderId="17" xfId="6" applyFont="1" applyBorder="1" applyAlignment="1">
      <alignment horizontal="left" vertical="center" wrapText="1"/>
    </xf>
    <xf numFmtId="3" fontId="21" fillId="0" borderId="15" xfId="6" applyNumberFormat="1" applyFont="1" applyBorder="1" applyAlignment="1">
      <alignment horizontal="right" vertical="center"/>
    </xf>
    <xf numFmtId="0" fontId="48" fillId="0" borderId="15" xfId="6" applyFont="1" applyBorder="1" applyAlignment="1" applyProtection="1">
      <alignment horizontal="left" vertical="center"/>
      <protection locked="0"/>
    </xf>
    <xf numFmtId="0" fontId="48" fillId="0" borderId="15" xfId="6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5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Alignment="1" applyProtection="1">
      <alignment vertical="center"/>
      <protection locked="0"/>
    </xf>
    <xf numFmtId="0" fontId="48" fillId="0" borderId="19" xfId="6" applyFont="1" applyBorder="1" applyAlignment="1" applyProtection="1">
      <alignment horizontal="center" vertical="center"/>
      <protection locked="0"/>
    </xf>
    <xf numFmtId="0" fontId="48" fillId="0" borderId="17" xfId="6" applyFont="1" applyBorder="1" applyAlignment="1" applyProtection="1">
      <alignment horizontal="center" vertical="center"/>
      <protection locked="0"/>
    </xf>
    <xf numFmtId="0" fontId="55" fillId="0" borderId="15" xfId="0" applyFont="1" applyBorder="1" applyAlignment="1">
      <alignment vertical="center"/>
    </xf>
    <xf numFmtId="0" fontId="55" fillId="0" borderId="15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 wrapText="1"/>
    </xf>
    <xf numFmtId="0" fontId="55" fillId="6" borderId="15" xfId="0" applyFont="1" applyFill="1" applyBorder="1" applyAlignment="1">
      <alignment horizontal="center" vertical="center" wrapText="1"/>
    </xf>
    <xf numFmtId="0" fontId="55" fillId="0" borderId="15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>
      <alignment vertical="center"/>
    </xf>
    <xf numFmtId="3" fontId="56" fillId="0" borderId="15" xfId="0" applyNumberFormat="1" applyFont="1" applyBorder="1" applyAlignment="1">
      <alignment vertical="center"/>
    </xf>
    <xf numFmtId="3" fontId="56" fillId="6" borderId="15" xfId="0" applyNumberFormat="1" applyFont="1" applyFill="1" applyBorder="1" applyAlignment="1">
      <alignment vertical="center"/>
    </xf>
    <xf numFmtId="3" fontId="56" fillId="0" borderId="15" xfId="0" applyNumberFormat="1" applyFont="1" applyBorder="1" applyAlignment="1">
      <alignment horizontal="center" vertical="center"/>
    </xf>
    <xf numFmtId="0" fontId="55" fillId="0" borderId="0" xfId="0" applyFont="1" applyAlignment="1" applyProtection="1">
      <alignment horizontal="left" vertical="top"/>
      <protection locked="0"/>
    </xf>
    <xf numFmtId="0" fontId="4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21" fillId="0" borderId="0" xfId="6" applyFont="1" applyAlignment="1" applyProtection="1">
      <alignment horizontal="center" vertical="center" wrapText="1"/>
      <protection locked="0"/>
    </xf>
    <xf numFmtId="0" fontId="56" fillId="6" borderId="0" xfId="0" applyFont="1" applyFill="1" applyAlignment="1" applyProtection="1">
      <alignment vertical="center"/>
      <protection locked="0"/>
    </xf>
    <xf numFmtId="0" fontId="0" fillId="6" borderId="0" xfId="0" applyFill="1" applyAlignment="1" applyProtection="1">
      <alignment vertical="center"/>
      <protection locked="0"/>
    </xf>
    <xf numFmtId="0" fontId="55" fillId="6" borderId="0" xfId="0" applyFont="1" applyFill="1" applyAlignment="1" applyProtection="1">
      <alignment horizontal="center" vertical="top"/>
      <protection locked="0"/>
    </xf>
    <xf numFmtId="3" fontId="0" fillId="6" borderId="0" xfId="0" applyNumberFormat="1" applyFill="1" applyAlignment="1">
      <alignment vertical="center"/>
    </xf>
    <xf numFmtId="3" fontId="0" fillId="6" borderId="0" xfId="0" applyNumberFormat="1" applyFill="1" applyProtection="1">
      <protection locked="0"/>
    </xf>
    <xf numFmtId="0" fontId="58" fillId="0" borderId="15" xfId="0" applyFont="1" applyBorder="1" applyAlignment="1">
      <alignment vertical="center"/>
    </xf>
    <xf numFmtId="3" fontId="58" fillId="0" borderId="15" xfId="0" applyNumberFormat="1" applyFont="1" applyBorder="1" applyAlignment="1">
      <alignment vertical="center"/>
    </xf>
    <xf numFmtId="3" fontId="58" fillId="6" borderId="15" xfId="0" applyNumberFormat="1" applyFont="1" applyFill="1" applyBorder="1" applyAlignment="1">
      <alignment vertical="center"/>
    </xf>
    <xf numFmtId="3" fontId="58" fillId="0" borderId="15" xfId="0" applyNumberFormat="1" applyFont="1" applyBorder="1" applyAlignment="1">
      <alignment horizontal="center" vertical="center"/>
    </xf>
    <xf numFmtId="0" fontId="58" fillId="0" borderId="15" xfId="0" applyFont="1" applyBorder="1" applyProtection="1">
      <protection locked="0"/>
    </xf>
    <xf numFmtId="0" fontId="58" fillId="0" borderId="15" xfId="0" applyFont="1" applyBorder="1" applyAlignment="1" applyProtection="1">
      <alignment horizontal="center"/>
      <protection locked="0"/>
    </xf>
    <xf numFmtId="3" fontId="58" fillId="0" borderId="0" xfId="0" applyNumberFormat="1" applyFont="1" applyAlignment="1" applyProtection="1">
      <alignment vertical="center"/>
      <protection locked="0"/>
    </xf>
    <xf numFmtId="3" fontId="58" fillId="0" borderId="15" xfId="0" applyNumberFormat="1" applyFont="1" applyBorder="1" applyProtection="1">
      <protection locked="0"/>
    </xf>
    <xf numFmtId="3" fontId="21" fillId="0" borderId="1" xfId="6" applyNumberFormat="1" applyFont="1" applyBorder="1" applyAlignment="1">
      <alignment horizontal="right" vertical="center"/>
    </xf>
    <xf numFmtId="3" fontId="21" fillId="0" borderId="5" xfId="6" applyNumberFormat="1" applyFont="1" applyBorder="1" applyAlignment="1">
      <alignment horizontal="right" vertical="center"/>
    </xf>
    <xf numFmtId="3" fontId="50" fillId="0" borderId="15" xfId="6" applyNumberFormat="1" applyFont="1" applyBorder="1" applyAlignment="1">
      <alignment horizontal="right" vertical="center"/>
    </xf>
    <xf numFmtId="3" fontId="22" fillId="0" borderId="15" xfId="6" applyNumberFormat="1" applyFont="1" applyBorder="1" applyAlignment="1">
      <alignment horizontal="right" vertical="center" wrapText="1"/>
    </xf>
    <xf numFmtId="3" fontId="48" fillId="0" borderId="0" xfId="6" applyNumberFormat="1" applyFont="1" applyAlignment="1" applyProtection="1">
      <alignment horizontal="center" vertical="center"/>
      <protection locked="0"/>
    </xf>
    <xf numFmtId="0" fontId="0" fillId="4" borderId="0" xfId="0" applyFill="1"/>
    <xf numFmtId="3" fontId="0" fillId="4" borderId="0" xfId="0" applyNumberFormat="1" applyFill="1"/>
    <xf numFmtId="0" fontId="6" fillId="0" borderId="0" xfId="7"/>
    <xf numFmtId="0" fontId="21" fillId="0" borderId="0" xfId="7" applyFont="1" applyAlignment="1">
      <alignment horizontal="center"/>
    </xf>
    <xf numFmtId="0" fontId="21" fillId="0" borderId="0" xfId="7" applyFont="1"/>
    <xf numFmtId="3" fontId="21" fillId="0" borderId="0" xfId="7" applyNumberFormat="1" applyFont="1"/>
    <xf numFmtId="3" fontId="19" fillId="0" borderId="0" xfId="7" applyNumberFormat="1" applyFont="1"/>
    <xf numFmtId="0" fontId="6" fillId="0" borderId="0" xfId="7" applyAlignment="1">
      <alignment horizontal="center"/>
    </xf>
    <xf numFmtId="3" fontId="6" fillId="0" borderId="0" xfId="7" applyNumberFormat="1"/>
    <xf numFmtId="0" fontId="61" fillId="0" borderId="0" xfId="8" applyProtection="1">
      <protection locked="0"/>
    </xf>
    <xf numFmtId="0" fontId="62" fillId="8" borderId="0" xfId="8" applyFont="1" applyFill="1" applyAlignment="1">
      <alignment horizontal="center" vertical="center"/>
    </xf>
    <xf numFmtId="0" fontId="62" fillId="0" borderId="21" xfId="8" applyFont="1" applyBorder="1" applyAlignment="1">
      <alignment horizontal="center" vertical="center"/>
    </xf>
    <xf numFmtId="0" fontId="61" fillId="6" borderId="0" xfId="8" applyFill="1" applyAlignment="1">
      <alignment wrapText="1"/>
    </xf>
    <xf numFmtId="0" fontId="62" fillId="6" borderId="0" xfId="8" applyFont="1" applyFill="1" applyAlignment="1">
      <alignment horizontal="center" vertical="center"/>
    </xf>
    <xf numFmtId="0" fontId="62" fillId="0" borderId="20" xfId="8" applyFont="1" applyBorder="1" applyAlignment="1">
      <alignment horizontal="center" vertical="center"/>
    </xf>
    <xf numFmtId="0" fontId="62" fillId="0" borderId="15" xfId="8" applyFont="1" applyBorder="1" applyAlignment="1">
      <alignment horizontal="center" vertical="center"/>
    </xf>
    <xf numFmtId="0" fontId="63" fillId="0" borderId="21" xfId="8" applyFont="1" applyBorder="1" applyAlignment="1">
      <alignment vertical="center"/>
    </xf>
    <xf numFmtId="0" fontId="63" fillId="0" borderId="20" xfId="8" applyFont="1" applyBorder="1" applyAlignment="1">
      <alignment vertical="center"/>
    </xf>
    <xf numFmtId="0" fontId="63" fillId="0" borderId="20" xfId="8" applyFont="1" applyBorder="1" applyAlignment="1">
      <alignment horizontal="right" vertical="center"/>
    </xf>
    <xf numFmtId="2" fontId="63" fillId="0" borderId="21" xfId="8" applyNumberFormat="1" applyFont="1" applyBorder="1" applyAlignment="1">
      <alignment horizontal="right" vertical="center"/>
    </xf>
    <xf numFmtId="0" fontId="63" fillId="0" borderId="21" xfId="8" applyFont="1" applyBorder="1" applyAlignment="1">
      <alignment horizontal="right" vertical="center"/>
    </xf>
    <xf numFmtId="0" fontId="63" fillId="6" borderId="0" xfId="8" applyFont="1" applyFill="1" applyAlignment="1">
      <alignment horizontal="right" vertical="center"/>
    </xf>
    <xf numFmtId="2" fontId="63" fillId="0" borderId="20" xfId="8" applyNumberFormat="1" applyFont="1" applyBorder="1" applyAlignment="1">
      <alignment horizontal="right" vertical="center"/>
    </xf>
    <xf numFmtId="2" fontId="63" fillId="6" borderId="0" xfId="8" applyNumberFormat="1" applyFont="1" applyFill="1" applyAlignment="1">
      <alignment horizontal="right" vertical="center"/>
    </xf>
    <xf numFmtId="2" fontId="63" fillId="0" borderId="15" xfId="8" applyNumberFormat="1" applyFont="1" applyBorder="1" applyAlignment="1">
      <alignment horizontal="right" vertical="center"/>
    </xf>
    <xf numFmtId="14" fontId="63" fillId="6" borderId="20" xfId="8" applyNumberFormat="1" applyFont="1" applyFill="1" applyBorder="1" applyAlignment="1">
      <alignment horizontal="right" vertical="center" wrapText="1"/>
    </xf>
    <xf numFmtId="14" fontId="63" fillId="6" borderId="29" xfId="8" applyNumberFormat="1" applyFont="1" applyFill="1" applyBorder="1" applyAlignment="1">
      <alignment horizontal="right" vertical="center" wrapText="1"/>
    </xf>
    <xf numFmtId="0" fontId="61" fillId="6" borderId="0" xfId="8" applyFill="1" applyProtection="1">
      <protection locked="0"/>
    </xf>
    <xf numFmtId="2" fontId="62" fillId="0" borderId="21" xfId="8" applyNumberFormat="1" applyFont="1" applyBorder="1" applyAlignment="1">
      <alignment horizontal="right" vertical="center"/>
    </xf>
    <xf numFmtId="2" fontId="62" fillId="0" borderId="20" xfId="8" applyNumberFormat="1" applyFont="1" applyBorder="1" applyAlignment="1">
      <alignment horizontal="right" vertical="center"/>
    </xf>
    <xf numFmtId="2" fontId="62" fillId="8" borderId="0" xfId="8" applyNumberFormat="1" applyFont="1" applyFill="1" applyAlignment="1">
      <alignment horizontal="center" vertical="center"/>
    </xf>
    <xf numFmtId="2" fontId="62" fillId="0" borderId="29" xfId="8" applyNumberFormat="1" applyFont="1" applyBorder="1" applyAlignment="1">
      <alignment horizontal="right" vertical="center"/>
    </xf>
    <xf numFmtId="0" fontId="61" fillId="6" borderId="0" xfId="8" applyFill="1"/>
    <xf numFmtId="0" fontId="21" fillId="8" borderId="0" xfId="8" applyFont="1" applyFill="1" applyAlignment="1">
      <alignment vertical="center"/>
    </xf>
    <xf numFmtId="0" fontId="5" fillId="0" borderId="0" xfId="8" applyFont="1" applyProtection="1">
      <protection locked="0"/>
    </xf>
    <xf numFmtId="0" fontId="64" fillId="8" borderId="0" xfId="8" applyFont="1" applyFill="1" applyProtection="1">
      <protection locked="0"/>
    </xf>
    <xf numFmtId="0" fontId="62" fillId="8" borderId="0" xfId="8" applyFont="1" applyFill="1" applyAlignment="1" applyProtection="1">
      <alignment horizontal="center" vertical="center"/>
      <protection locked="0"/>
    </xf>
    <xf numFmtId="0" fontId="62" fillId="0" borderId="0" xfId="8" applyFont="1" applyAlignment="1" applyProtection="1">
      <alignment horizontal="center" vertical="center"/>
      <protection locked="0"/>
    </xf>
    <xf numFmtId="0" fontId="64" fillId="0" borderId="0" xfId="8" applyFont="1" applyAlignment="1" applyProtection="1">
      <alignment horizontal="left"/>
      <protection locked="0"/>
    </xf>
    <xf numFmtId="2" fontId="62" fillId="0" borderId="21" xfId="8" applyNumberFormat="1" applyFont="1" applyBorder="1" applyAlignment="1" applyProtection="1">
      <alignment horizontal="center" vertical="center"/>
      <protection locked="0"/>
    </xf>
    <xf numFmtId="0" fontId="64" fillId="6" borderId="0" xfId="8" applyFont="1" applyFill="1" applyAlignment="1" applyProtection="1">
      <alignment horizontal="left"/>
      <protection locked="0"/>
    </xf>
    <xf numFmtId="0" fontId="62" fillId="6" borderId="0" xfId="8" applyFont="1" applyFill="1" applyAlignment="1" applyProtection="1">
      <alignment horizontal="center" vertical="center"/>
      <protection locked="0"/>
    </xf>
    <xf numFmtId="0" fontId="66" fillId="0" borderId="0" xfId="8" applyFont="1" applyAlignment="1" applyProtection="1">
      <alignment vertical="center"/>
      <protection locked="0"/>
    </xf>
    <xf numFmtId="0" fontId="65" fillId="0" borderId="31" xfId="8" applyFont="1" applyBorder="1" applyAlignment="1" applyProtection="1">
      <alignment vertical="center"/>
      <protection locked="0"/>
    </xf>
    <xf numFmtId="0" fontId="67" fillId="0" borderId="0" xfId="8" applyFont="1" applyAlignment="1" applyProtection="1">
      <alignment vertical="center"/>
      <protection locked="0"/>
    </xf>
    <xf numFmtId="0" fontId="68" fillId="0" borderId="0" xfId="8" applyFont="1" applyAlignment="1" applyProtection="1">
      <alignment horizontal="center" vertical="center"/>
      <protection locked="0"/>
    </xf>
    <xf numFmtId="0" fontId="69" fillId="0" borderId="31" xfId="8" applyFont="1" applyBorder="1" applyAlignment="1" applyProtection="1">
      <alignment vertical="center"/>
      <protection locked="0"/>
    </xf>
    <xf numFmtId="2" fontId="65" fillId="0" borderId="15" xfId="8" applyNumberFormat="1" applyFont="1" applyBorder="1" applyAlignment="1" applyProtection="1">
      <alignment vertical="center"/>
      <protection locked="0"/>
    </xf>
    <xf numFmtId="0" fontId="64" fillId="0" borderId="0" xfId="8" applyFont="1" applyProtection="1">
      <protection locked="0"/>
    </xf>
    <xf numFmtId="0" fontId="60" fillId="0" borderId="0" xfId="8" applyFont="1" applyAlignment="1" applyProtection="1">
      <alignment vertical="center"/>
      <protection locked="0"/>
    </xf>
    <xf numFmtId="0" fontId="70" fillId="0" borderId="0" xfId="8" applyFont="1" applyAlignment="1" applyProtection="1">
      <alignment vertical="center"/>
      <protection locked="0"/>
    </xf>
    <xf numFmtId="0" fontId="63" fillId="0" borderId="0" xfId="8" applyFont="1" applyAlignment="1" applyProtection="1">
      <alignment horizontal="center" vertical="center"/>
      <protection locked="0"/>
    </xf>
    <xf numFmtId="0" fontId="61" fillId="0" borderId="0" xfId="8" applyAlignment="1" applyProtection="1">
      <alignment vertical="center"/>
      <protection locked="0"/>
    </xf>
    <xf numFmtId="0" fontId="64" fillId="0" borderId="0" xfId="8" applyFont="1" applyAlignment="1" applyProtection="1">
      <alignment vertical="center"/>
      <protection locked="0"/>
    </xf>
    <xf numFmtId="2" fontId="60" fillId="0" borderId="0" xfId="8" applyNumberFormat="1" applyFont="1" applyAlignment="1" applyProtection="1">
      <alignment vertical="center"/>
      <protection locked="0"/>
    </xf>
    <xf numFmtId="2" fontId="65" fillId="0" borderId="19" xfId="8" applyNumberFormat="1" applyFont="1" applyBorder="1" applyAlignment="1" applyProtection="1">
      <alignment vertical="center"/>
      <protection locked="0"/>
    </xf>
    <xf numFmtId="0" fontId="69" fillId="0" borderId="15" xfId="8" applyFont="1" applyBorder="1" applyAlignment="1" applyProtection="1">
      <alignment vertical="center"/>
      <protection locked="0"/>
    </xf>
    <xf numFmtId="2" fontId="65" fillId="0" borderId="17" xfId="8" applyNumberFormat="1" applyFont="1" applyBorder="1" applyAlignment="1" applyProtection="1">
      <alignment vertical="center"/>
      <protection locked="0"/>
    </xf>
    <xf numFmtId="0" fontId="69" fillId="0" borderId="0" xfId="8" applyFont="1" applyAlignment="1" applyProtection="1">
      <alignment horizontal="right" vertical="center"/>
      <protection locked="0"/>
    </xf>
    <xf numFmtId="0" fontId="69" fillId="0" borderId="0" xfId="8" applyFont="1" applyAlignment="1" applyProtection="1">
      <alignment vertical="center"/>
      <protection locked="0"/>
    </xf>
    <xf numFmtId="2" fontId="71" fillId="0" borderId="0" xfId="8" applyNumberFormat="1" applyFont="1" applyAlignment="1" applyProtection="1">
      <alignment vertical="center"/>
      <protection locked="0"/>
    </xf>
    <xf numFmtId="0" fontId="60" fillId="0" borderId="0" xfId="8" applyFont="1" applyAlignment="1" applyProtection="1">
      <alignment horizontal="center" vertical="center"/>
      <protection locked="0"/>
    </xf>
    <xf numFmtId="0" fontId="72" fillId="0" borderId="15" xfId="8" applyFont="1" applyBorder="1" applyAlignment="1" applyProtection="1">
      <alignment vertical="center"/>
      <protection locked="0"/>
    </xf>
    <xf numFmtId="0" fontId="73" fillId="0" borderId="15" xfId="8" applyFont="1" applyBorder="1" applyAlignment="1" applyProtection="1">
      <alignment vertical="center"/>
      <protection locked="0"/>
    </xf>
    <xf numFmtId="2" fontId="72" fillId="0" borderId="15" xfId="8" applyNumberFormat="1" applyFont="1" applyBorder="1" applyAlignment="1" applyProtection="1">
      <alignment vertical="center"/>
      <protection locked="0"/>
    </xf>
    <xf numFmtId="2" fontId="61" fillId="0" borderId="0" xfId="8" applyNumberFormat="1" applyAlignment="1" applyProtection="1">
      <alignment vertical="center"/>
      <protection locked="0"/>
    </xf>
    <xf numFmtId="0" fontId="59" fillId="0" borderId="15" xfId="8" applyFont="1" applyBorder="1" applyAlignment="1" applyProtection="1">
      <alignment vertical="center"/>
      <protection locked="0"/>
    </xf>
    <xf numFmtId="0" fontId="59" fillId="0" borderId="0" xfId="8" applyFont="1" applyAlignment="1" applyProtection="1">
      <alignment vertical="center"/>
      <protection locked="0"/>
    </xf>
    <xf numFmtId="0" fontId="74" fillId="0" borderId="0" xfId="8" applyFont="1" applyAlignment="1" applyProtection="1">
      <alignment vertical="center"/>
      <protection locked="0"/>
    </xf>
    <xf numFmtId="0" fontId="75" fillId="0" borderId="0" xfId="8" applyFont="1" applyAlignment="1" applyProtection="1">
      <alignment horizontal="center" vertical="center"/>
      <protection locked="0"/>
    </xf>
    <xf numFmtId="0" fontId="35" fillId="0" borderId="0" xfId="8" applyFont="1" applyAlignment="1" applyProtection="1">
      <alignment vertical="center"/>
      <protection locked="0"/>
    </xf>
    <xf numFmtId="3" fontId="66" fillId="4" borderId="0" xfId="8" applyNumberFormat="1" applyFont="1" applyFill="1" applyAlignment="1" applyProtection="1">
      <alignment vertical="center"/>
      <protection locked="0"/>
    </xf>
    <xf numFmtId="0" fontId="67" fillId="4" borderId="31" xfId="8" applyFont="1" applyFill="1" applyBorder="1" applyAlignment="1" applyProtection="1">
      <alignment vertical="center"/>
      <protection locked="0"/>
    </xf>
    <xf numFmtId="2" fontId="66" fillId="4" borderId="0" xfId="8" applyNumberFormat="1" applyFont="1" applyFill="1" applyAlignment="1" applyProtection="1">
      <alignment vertical="center"/>
      <protection locked="0"/>
    </xf>
    <xf numFmtId="2" fontId="61" fillId="0" borderId="0" xfId="8" applyNumberFormat="1" applyProtection="1">
      <protection locked="0"/>
    </xf>
    <xf numFmtId="14" fontId="0" fillId="0" borderId="0" xfId="0" applyNumberFormat="1"/>
    <xf numFmtId="0" fontId="47" fillId="0" borderId="0" xfId="0" applyFont="1"/>
    <xf numFmtId="0" fontId="47" fillId="0" borderId="0" xfId="0" applyFont="1" applyAlignment="1">
      <alignment horizontal="center"/>
    </xf>
    <xf numFmtId="3" fontId="55" fillId="0" borderId="0" xfId="0" applyNumberFormat="1" applyFont="1"/>
    <xf numFmtId="3" fontId="55" fillId="0" borderId="0" xfId="0" applyNumberFormat="1" applyFont="1" applyAlignment="1">
      <alignment horizontal="right" vertical="center"/>
    </xf>
    <xf numFmtId="0" fontId="47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3" fontId="47" fillId="0" borderId="0" xfId="0" applyNumberFormat="1" applyFont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right" vertical="center"/>
    </xf>
    <xf numFmtId="0" fontId="21" fillId="0" borderId="15" xfId="0" applyFont="1" applyBorder="1" applyAlignment="1">
      <alignment horizontal="center" vertical="center" wrapText="1"/>
    </xf>
    <xf numFmtId="1" fontId="21" fillId="0" borderId="15" xfId="0" applyNumberFormat="1" applyFont="1" applyBorder="1" applyAlignment="1">
      <alignment horizontal="center" vertical="center"/>
    </xf>
    <xf numFmtId="3" fontId="21" fillId="0" borderId="15" xfId="0" applyNumberFormat="1" applyFont="1" applyBorder="1" applyAlignment="1">
      <alignment horizontal="right" vertical="center"/>
    </xf>
    <xf numFmtId="0" fontId="22" fillId="5" borderId="19" xfId="6" applyFont="1" applyFill="1" applyBorder="1" applyAlignment="1" applyProtection="1">
      <alignment horizontal="right" vertical="center" wrapText="1"/>
      <protection locked="0"/>
    </xf>
    <xf numFmtId="0" fontId="21" fillId="5" borderId="19" xfId="6" applyFont="1" applyFill="1" applyBorder="1" applyAlignment="1" applyProtection="1">
      <alignment horizontal="center" vertical="center" wrapText="1"/>
      <protection locked="0"/>
    </xf>
    <xf numFmtId="3" fontId="21" fillId="0" borderId="13" xfId="6" applyNumberFormat="1" applyFont="1" applyBorder="1" applyAlignment="1" applyProtection="1">
      <alignment horizontal="right" vertical="center"/>
      <protection locked="0"/>
    </xf>
    <xf numFmtId="3" fontId="21" fillId="0" borderId="13" xfId="6" applyNumberFormat="1" applyFont="1" applyBorder="1" applyAlignment="1" applyProtection="1">
      <alignment horizontal="left" vertical="center" wrapText="1"/>
      <protection locked="0"/>
    </xf>
    <xf numFmtId="0" fontId="0" fillId="0" borderId="15" xfId="0" applyBorder="1" applyAlignment="1" applyProtection="1">
      <alignment vertical="center"/>
      <protection locked="0"/>
    </xf>
    <xf numFmtId="1" fontId="21" fillId="0" borderId="1" xfId="0" applyNumberFormat="1" applyFont="1" applyBorder="1" applyAlignment="1">
      <alignment horizontal="right" vertical="center"/>
    </xf>
    <xf numFmtId="0" fontId="48" fillId="0" borderId="15" xfId="6" applyFont="1" applyBorder="1" applyAlignment="1" applyProtection="1">
      <alignment horizontal="left" vertical="center" wrapText="1"/>
      <protection locked="0"/>
    </xf>
    <xf numFmtId="0" fontId="48" fillId="0" borderId="15" xfId="6" applyFont="1" applyBorder="1" applyAlignment="1" applyProtection="1">
      <alignment vertical="center"/>
      <protection locked="0"/>
    </xf>
    <xf numFmtId="3" fontId="56" fillId="0" borderId="0" xfId="0" applyNumberFormat="1" applyFont="1" applyAlignment="1" applyProtection="1">
      <alignment vertical="center"/>
      <protection locked="0"/>
    </xf>
    <xf numFmtId="0" fontId="21" fillId="0" borderId="20" xfId="6" applyFont="1" applyBorder="1" applyAlignment="1" applyProtection="1">
      <alignment horizontal="left" vertical="center" wrapText="1"/>
      <protection locked="0"/>
    </xf>
    <xf numFmtId="0" fontId="21" fillId="0" borderId="15" xfId="6" applyFont="1" applyBorder="1" applyAlignment="1" applyProtection="1">
      <alignment horizontal="center" vertical="center"/>
      <protection locked="0"/>
    </xf>
    <xf numFmtId="0" fontId="21" fillId="0" borderId="15" xfId="6" applyFont="1" applyBorder="1" applyAlignment="1" applyProtection="1">
      <alignment horizontal="right" vertical="center"/>
      <protection locked="0"/>
    </xf>
    <xf numFmtId="3" fontId="21" fillId="0" borderId="2" xfId="6" applyNumberFormat="1" applyFont="1" applyBorder="1" applyAlignment="1">
      <alignment horizontal="right" vertical="center"/>
    </xf>
    <xf numFmtId="3" fontId="22" fillId="0" borderId="20" xfId="6" applyNumberFormat="1" applyFont="1" applyBorder="1" applyAlignment="1">
      <alignment horizontal="right" vertical="center"/>
    </xf>
    <xf numFmtId="0" fontId="21" fillId="0" borderId="2" xfId="0" applyFont="1" applyBorder="1" applyAlignment="1">
      <alignment horizontal="right" vertical="center"/>
    </xf>
    <xf numFmtId="0" fontId="21" fillId="0" borderId="23" xfId="0" applyFont="1" applyBorder="1" applyAlignment="1">
      <alignment horizontal="right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15" xfId="0" applyFont="1" applyBorder="1" applyAlignment="1">
      <alignment horizontal="right" vertical="center"/>
    </xf>
    <xf numFmtId="0" fontId="57" fillId="0" borderId="4" xfId="0" applyFont="1" applyBorder="1" applyAlignment="1">
      <alignment horizontal="left" vertical="center" wrapText="1"/>
    </xf>
    <xf numFmtId="0" fontId="57" fillId="0" borderId="10" xfId="0" applyFont="1" applyBorder="1" applyAlignment="1">
      <alignment horizontal="left" vertical="center" wrapText="1"/>
    </xf>
    <xf numFmtId="0" fontId="21" fillId="0" borderId="15" xfId="6" applyFont="1" applyBorder="1" applyAlignment="1" applyProtection="1">
      <alignment horizontal="left" vertical="center"/>
      <protection locked="0"/>
    </xf>
    <xf numFmtId="0" fontId="21" fillId="0" borderId="15" xfId="6" applyFont="1" applyBorder="1" applyAlignment="1" applyProtection="1">
      <alignment vertical="center"/>
      <protection locked="0"/>
    </xf>
    <xf numFmtId="0" fontId="21" fillId="0" borderId="20" xfId="6" applyFont="1" applyBorder="1" applyAlignment="1">
      <alignment horizontal="left" vertical="center" wrapText="1"/>
    </xf>
    <xf numFmtId="0" fontId="21" fillId="0" borderId="27" xfId="6" applyFont="1" applyBorder="1" applyAlignment="1" applyProtection="1">
      <alignment horizontal="left" vertical="center" wrapText="1"/>
      <protection locked="0"/>
    </xf>
    <xf numFmtId="3" fontId="21" fillId="0" borderId="15" xfId="6" applyNumberFormat="1" applyFont="1" applyBorder="1" applyAlignment="1" applyProtection="1">
      <alignment horizontal="right" vertical="center" wrapText="1"/>
      <protection locked="0"/>
    </xf>
    <xf numFmtId="3" fontId="21" fillId="0" borderId="7" xfId="6" applyNumberFormat="1" applyFont="1" applyBorder="1" applyAlignment="1" applyProtection="1">
      <alignment horizontal="left" vertical="center" wrapText="1"/>
      <protection locked="0"/>
    </xf>
    <xf numFmtId="3" fontId="21" fillId="0" borderId="2" xfId="0" applyNumberFormat="1" applyFont="1" applyBorder="1" applyAlignment="1">
      <alignment horizontal="right" vertical="center"/>
    </xf>
    <xf numFmtId="3" fontId="21" fillId="0" borderId="15" xfId="6" applyNumberFormat="1" applyFont="1" applyBorder="1" applyAlignment="1" applyProtection="1">
      <alignment vertical="center"/>
      <protection locked="0"/>
    </xf>
    <xf numFmtId="3" fontId="21" fillId="0" borderId="15" xfId="6" applyNumberFormat="1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22" fillId="0" borderId="13" xfId="6" applyNumberFormat="1" applyFont="1" applyBorder="1" applyAlignment="1">
      <alignment vertical="center" wrapText="1"/>
    </xf>
    <xf numFmtId="0" fontId="48" fillId="0" borderId="19" xfId="6" applyFont="1" applyBorder="1" applyAlignment="1" applyProtection="1">
      <alignment vertical="center"/>
      <protection locked="0"/>
    </xf>
    <xf numFmtId="0" fontId="21" fillId="0" borderId="2" xfId="0" applyFont="1" applyBorder="1" applyAlignment="1">
      <alignment vertical="center"/>
    </xf>
    <xf numFmtId="0" fontId="48" fillId="0" borderId="22" xfId="6" applyFont="1" applyBorder="1" applyAlignment="1" applyProtection="1">
      <alignment horizontal="center" vertical="center"/>
      <protection locked="0"/>
    </xf>
    <xf numFmtId="3" fontId="21" fillId="0" borderId="15" xfId="6" applyNumberFormat="1" applyFont="1" applyBorder="1" applyAlignment="1" applyProtection="1">
      <alignment horizontal="left" vertical="center" wrapText="1"/>
      <protection locked="0"/>
    </xf>
    <xf numFmtId="0" fontId="21" fillId="0" borderId="15" xfId="0" applyFont="1" applyBorder="1" applyAlignment="1">
      <alignment horizontal="left" vertical="center" wrapText="1"/>
    </xf>
    <xf numFmtId="0" fontId="21" fillId="0" borderId="15" xfId="6" applyFont="1" applyBorder="1" applyAlignment="1">
      <alignment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vertical="center" wrapText="1"/>
    </xf>
    <xf numFmtId="165" fontId="21" fillId="0" borderId="15" xfId="10" applyNumberFormat="1" applyFont="1" applyBorder="1" applyAlignment="1">
      <alignment vertical="center"/>
    </xf>
    <xf numFmtId="0" fontId="21" fillId="9" borderId="15" xfId="0" applyFont="1" applyFill="1" applyBorder="1" applyAlignment="1">
      <alignment vertical="center" wrapText="1"/>
    </xf>
    <xf numFmtId="0" fontId="56" fillId="0" borderId="0" xfId="0" applyFont="1" applyProtection="1">
      <protection locked="0"/>
    </xf>
    <xf numFmtId="3" fontId="47" fillId="0" borderId="0" xfId="0" applyNumberFormat="1" applyFont="1" applyAlignment="1" applyProtection="1">
      <alignment horizontal="center"/>
      <protection locked="0"/>
    </xf>
    <xf numFmtId="0" fontId="22" fillId="0" borderId="9" xfId="0" applyFont="1" applyBorder="1" applyAlignment="1">
      <alignment horizontal="right" vertical="center"/>
    </xf>
    <xf numFmtId="1" fontId="21" fillId="0" borderId="13" xfId="0" applyNumberFormat="1" applyFont="1" applyBorder="1" applyAlignment="1">
      <alignment horizontal="right" vertical="center"/>
    </xf>
    <xf numFmtId="0" fontId="21" fillId="0" borderId="24" xfId="0" applyFont="1" applyBorder="1" applyAlignment="1">
      <alignment horizontal="center" vertical="center"/>
    </xf>
    <xf numFmtId="0" fontId="0" fillId="10" borderId="0" xfId="0" applyFill="1" applyProtection="1">
      <protection locked="0"/>
    </xf>
    <xf numFmtId="165" fontId="21" fillId="0" borderId="15" xfId="10" applyNumberFormat="1" applyFont="1" applyBorder="1" applyAlignment="1">
      <alignment horizontal="right" vertical="center"/>
    </xf>
    <xf numFmtId="3" fontId="0" fillId="10" borderId="0" xfId="0" applyNumberFormat="1" applyFill="1" applyProtection="1">
      <protection locked="0"/>
    </xf>
    <xf numFmtId="0" fontId="22" fillId="0" borderId="19" xfId="6" applyFont="1" applyBorder="1" applyAlignment="1">
      <alignment horizontal="center" vertical="center" wrapText="1"/>
    </xf>
    <xf numFmtId="0" fontId="22" fillId="0" borderId="17" xfId="6" applyFont="1" applyBorder="1" applyAlignment="1">
      <alignment horizontal="center" vertical="center"/>
    </xf>
    <xf numFmtId="0" fontId="11" fillId="0" borderId="15" xfId="3" applyBorder="1" applyAlignment="1">
      <alignment horizontal="left" vertical="center"/>
    </xf>
    <xf numFmtId="0" fontId="77" fillId="0" borderId="15" xfId="3" applyFont="1" applyBorder="1" applyAlignment="1">
      <alignment horizontal="center" vertical="center"/>
    </xf>
    <xf numFmtId="0" fontId="22" fillId="5" borderId="21" xfId="6" applyFont="1" applyFill="1" applyBorder="1" applyAlignment="1" applyProtection="1">
      <alignment horizontal="center" vertical="center" wrapText="1"/>
      <protection locked="0"/>
    </xf>
    <xf numFmtId="1" fontId="50" fillId="0" borderId="19" xfId="6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55" fillId="0" borderId="0" xfId="0" applyFont="1" applyAlignment="1" applyProtection="1">
      <alignment horizontal="right" vertical="center"/>
      <protection locked="0"/>
    </xf>
    <xf numFmtId="0" fontId="47" fillId="0" borderId="0" xfId="0" applyFont="1" applyAlignment="1" applyProtection="1">
      <alignment horizontal="center" vertical="center"/>
      <protection locked="0"/>
    </xf>
    <xf numFmtId="0" fontId="21" fillId="4" borderId="19" xfId="0" applyFont="1" applyFill="1" applyBorder="1" applyAlignment="1">
      <alignment horizontal="center" vertical="center" wrapText="1"/>
    </xf>
    <xf numFmtId="3" fontId="21" fillId="0" borderId="19" xfId="6" applyNumberFormat="1" applyFont="1" applyBorder="1" applyAlignment="1" applyProtection="1">
      <alignment horizontal="right" vertical="center"/>
      <protection locked="0"/>
    </xf>
    <xf numFmtId="3" fontId="21" fillId="0" borderId="9" xfId="0" applyNumberFormat="1" applyFont="1" applyBorder="1" applyAlignment="1">
      <alignment horizontal="right" vertical="center"/>
    </xf>
    <xf numFmtId="0" fontId="21" fillId="0" borderId="19" xfId="6" applyFont="1" applyBorder="1" applyAlignment="1" applyProtection="1">
      <alignment horizontal="center" vertical="center"/>
      <protection locked="0"/>
    </xf>
    <xf numFmtId="3" fontId="21" fillId="0" borderId="15" xfId="0" applyNumberFormat="1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3" fontId="56" fillId="0" borderId="0" xfId="0" applyNumberFormat="1" applyFont="1" applyAlignment="1">
      <alignment horizontal="right" vertical="center"/>
    </xf>
    <xf numFmtId="3" fontId="58" fillId="0" borderId="15" xfId="0" applyNumberFormat="1" applyFont="1" applyBorder="1" applyAlignment="1" applyProtection="1">
      <alignment vertical="center"/>
      <protection locked="0"/>
    </xf>
    <xf numFmtId="0" fontId="58" fillId="0" borderId="15" xfId="0" applyFont="1" applyBorder="1" applyAlignment="1">
      <alignment vertical="center" wrapText="1"/>
    </xf>
    <xf numFmtId="3" fontId="53" fillId="0" borderId="15" xfId="0" applyNumberFormat="1" applyFont="1" applyBorder="1" applyAlignment="1">
      <alignment vertical="center"/>
    </xf>
    <xf numFmtId="2" fontId="63" fillId="8" borderId="0" xfId="8" applyNumberFormat="1" applyFont="1" applyFill="1" applyAlignment="1">
      <alignment horizontal="center" vertical="center"/>
    </xf>
    <xf numFmtId="0" fontId="63" fillId="6" borderId="29" xfId="8" applyFont="1" applyFill="1" applyBorder="1" applyAlignment="1">
      <alignment horizontal="center" vertical="center"/>
    </xf>
    <xf numFmtId="0" fontId="58" fillId="0" borderId="15" xfId="0" applyFont="1" applyBorder="1" applyAlignment="1" applyProtection="1">
      <alignment vertical="center"/>
      <protection locked="0"/>
    </xf>
    <xf numFmtId="0" fontId="47" fillId="0" borderId="0" xfId="0" applyFont="1" applyProtection="1">
      <protection locked="0"/>
    </xf>
    <xf numFmtId="0" fontId="48" fillId="0" borderId="15" xfId="6" applyFont="1" applyBorder="1" applyAlignment="1" applyProtection="1">
      <alignment vertical="center" wrapText="1"/>
      <protection locked="0"/>
    </xf>
    <xf numFmtId="165" fontId="21" fillId="0" borderId="15" xfId="12" applyNumberFormat="1" applyFont="1" applyBorder="1" applyAlignment="1">
      <alignment horizontal="center" vertical="center"/>
    </xf>
    <xf numFmtId="2" fontId="62" fillId="0" borderId="0" xfId="8" applyNumberFormat="1" applyFont="1" applyAlignment="1">
      <alignment horizontal="right" vertical="center"/>
    </xf>
    <xf numFmtId="2" fontId="62" fillId="0" borderId="26" xfId="8" applyNumberFormat="1" applyFont="1" applyBorder="1" applyAlignment="1">
      <alignment horizontal="right" vertical="center"/>
    </xf>
    <xf numFmtId="2" fontId="62" fillId="0" borderId="28" xfId="8" applyNumberFormat="1" applyFont="1" applyBorder="1" applyAlignment="1">
      <alignment horizontal="right" vertical="center"/>
    </xf>
    <xf numFmtId="2" fontId="62" fillId="0" borderId="19" xfId="8" applyNumberFormat="1" applyFont="1" applyBorder="1" applyAlignment="1">
      <alignment horizontal="right" vertical="center"/>
    </xf>
    <xf numFmtId="2" fontId="63" fillId="0" borderId="30" xfId="8" applyNumberFormat="1" applyFont="1" applyBorder="1" applyAlignment="1">
      <alignment vertical="center"/>
    </xf>
    <xf numFmtId="14" fontId="62" fillId="0" borderId="20" xfId="8" applyNumberFormat="1" applyFont="1" applyBorder="1" applyAlignment="1">
      <alignment horizontal="center" vertical="center"/>
    </xf>
    <xf numFmtId="14" fontId="62" fillId="0" borderId="29" xfId="8" applyNumberFormat="1" applyFont="1" applyBorder="1" applyAlignment="1">
      <alignment horizontal="center" vertical="center"/>
    </xf>
    <xf numFmtId="2" fontId="62" fillId="0" borderId="20" xfId="8" applyNumberFormat="1" applyFont="1" applyBorder="1" applyAlignment="1">
      <alignment horizontal="center" vertical="center"/>
    </xf>
    <xf numFmtId="2" fontId="62" fillId="0" borderId="15" xfId="8" applyNumberFormat="1" applyFont="1" applyBorder="1" applyAlignment="1">
      <alignment horizontal="right" vertical="center"/>
    </xf>
    <xf numFmtId="3" fontId="58" fillId="5" borderId="15" xfId="0" applyNumberFormat="1" applyFont="1" applyFill="1" applyBorder="1" applyAlignment="1">
      <alignment vertical="center"/>
    </xf>
    <xf numFmtId="0" fontId="21" fillId="0" borderId="19" xfId="6" applyFont="1" applyBorder="1" applyAlignment="1" applyProtection="1">
      <alignment horizontal="center" vertical="center" wrapText="1"/>
      <protection locked="0"/>
    </xf>
    <xf numFmtId="0" fontId="21" fillId="0" borderId="20" xfId="6" applyFont="1" applyBorder="1" applyAlignment="1" applyProtection="1">
      <alignment horizontal="center" vertical="center" wrapText="1"/>
      <protection locked="0"/>
    </xf>
    <xf numFmtId="0" fontId="21" fillId="0" borderId="0" xfId="6" applyFont="1" applyAlignment="1" applyProtection="1">
      <alignment horizontal="center" vertical="center"/>
      <protection locked="0"/>
    </xf>
    <xf numFmtId="2" fontId="63" fillId="0" borderId="20" xfId="8" applyNumberFormat="1" applyFont="1" applyBorder="1" applyAlignment="1">
      <alignment vertical="center"/>
    </xf>
    <xf numFmtId="0" fontId="0" fillId="0" borderId="0" xfId="0" applyAlignment="1" applyProtection="1">
      <alignment horizontal="left" vertical="top" wrapText="1"/>
      <protection locked="0"/>
    </xf>
    <xf numFmtId="3" fontId="79" fillId="0" borderId="0" xfId="0" applyNumberFormat="1" applyFont="1" applyAlignment="1" applyProtection="1">
      <alignment horizontal="right" vertical="center"/>
      <protection locked="0"/>
    </xf>
    <xf numFmtId="3" fontId="79" fillId="0" borderId="0" xfId="0" applyNumberFormat="1" applyFont="1" applyAlignment="1" applyProtection="1">
      <alignment horizontal="center" vertical="center"/>
      <protection locked="0"/>
    </xf>
    <xf numFmtId="3" fontId="21" fillId="0" borderId="15" xfId="6" applyNumberFormat="1" applyFont="1" applyBorder="1" applyAlignment="1" applyProtection="1">
      <alignment horizontal="right" vertical="center"/>
      <protection locked="0"/>
    </xf>
    <xf numFmtId="3" fontId="21" fillId="0" borderId="1" xfId="6" applyNumberFormat="1" applyFont="1" applyBorder="1" applyAlignment="1">
      <alignment vertical="center"/>
    </xf>
    <xf numFmtId="0" fontId="21" fillId="0" borderId="17" xfId="6" applyFont="1" applyBorder="1" applyAlignment="1">
      <alignment horizontal="center" vertical="center" wrapText="1"/>
    </xf>
    <xf numFmtId="0" fontId="48" fillId="0" borderId="20" xfId="6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47" fillId="0" borderId="0" xfId="0" applyFont="1" applyAlignment="1">
      <alignment wrapText="1"/>
    </xf>
    <xf numFmtId="0" fontId="0" fillId="4" borderId="15" xfId="0" applyFill="1" applyBorder="1" applyAlignment="1">
      <alignment horizontal="center" vertical="center"/>
    </xf>
    <xf numFmtId="0" fontId="0" fillId="0" borderId="15" xfId="0" applyBorder="1"/>
    <xf numFmtId="0" fontId="47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47" fillId="0" borderId="15" xfId="0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47" fillId="0" borderId="15" xfId="0" applyFont="1" applyBorder="1" applyAlignment="1">
      <alignment horizontal="center" wrapText="1"/>
    </xf>
    <xf numFmtId="1" fontId="48" fillId="0" borderId="0" xfId="6" applyNumberFormat="1" applyFont="1" applyAlignment="1" applyProtection="1">
      <alignment horizontal="center" vertical="center"/>
      <protection locked="0"/>
    </xf>
    <xf numFmtId="3" fontId="0" fillId="10" borderId="0" xfId="0" applyNumberFormat="1" applyFill="1"/>
    <xf numFmtId="165" fontId="21" fillId="0" borderId="15" xfId="10" applyNumberFormat="1" applyFont="1" applyFill="1" applyBorder="1" applyAlignment="1">
      <alignment horizontal="center" vertical="center"/>
    </xf>
    <xf numFmtId="0" fontId="21" fillId="0" borderId="13" xfId="6" applyFont="1" applyBorder="1" applyAlignment="1">
      <alignment horizontal="left" vertical="center" wrapText="1"/>
    </xf>
    <xf numFmtId="0" fontId="21" fillId="0" borderId="13" xfId="6" applyFont="1" applyBorder="1" applyAlignment="1">
      <alignment horizontal="center" vertical="center"/>
    </xf>
    <xf numFmtId="0" fontId="21" fillId="0" borderId="13" xfId="6" applyFont="1" applyBorder="1" applyAlignment="1">
      <alignment horizontal="right" vertical="center"/>
    </xf>
    <xf numFmtId="0" fontId="21" fillId="0" borderId="6" xfId="6" applyFont="1" applyBorder="1" applyAlignment="1">
      <alignment horizontal="right" vertical="center"/>
    </xf>
    <xf numFmtId="0" fontId="48" fillId="0" borderId="17" xfId="6" applyFont="1" applyBorder="1" applyAlignment="1">
      <alignment horizontal="center" vertical="center"/>
    </xf>
    <xf numFmtId="0" fontId="21" fillId="0" borderId="15" xfId="6" applyFont="1" applyBorder="1" applyAlignment="1">
      <alignment horizontal="right" vertical="center"/>
    </xf>
    <xf numFmtId="0" fontId="21" fillId="0" borderId="3" xfId="6" applyFont="1" applyBorder="1" applyAlignment="1">
      <alignment horizontal="center" vertical="center" wrapText="1"/>
    </xf>
    <xf numFmtId="0" fontId="21" fillId="0" borderId="21" xfId="6" applyFont="1" applyBorder="1" applyAlignment="1">
      <alignment horizontal="center" vertical="center" wrapText="1"/>
    </xf>
    <xf numFmtId="0" fontId="22" fillId="0" borderId="21" xfId="6" applyFont="1" applyBorder="1" applyAlignment="1" applyProtection="1">
      <alignment horizontal="center" vertical="center" wrapText="1"/>
      <protection locked="0"/>
    </xf>
    <xf numFmtId="0" fontId="48" fillId="0" borderId="21" xfId="6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>
      <alignment horizontal="center" vertical="center"/>
    </xf>
    <xf numFmtId="0" fontId="21" fillId="0" borderId="0" xfId="7" applyFont="1" applyAlignment="1">
      <alignment horizontal="center" vertical="center"/>
    </xf>
    <xf numFmtId="0" fontId="21" fillId="0" borderId="0" xfId="7" applyFont="1" applyAlignment="1">
      <alignment vertical="center" wrapText="1"/>
    </xf>
    <xf numFmtId="0" fontId="55" fillId="0" borderId="15" xfId="0" applyFont="1" applyBorder="1" applyAlignment="1" applyProtection="1">
      <alignment horizontal="right" vertical="center"/>
      <protection locked="0"/>
    </xf>
    <xf numFmtId="3" fontId="58" fillId="0" borderId="15" xfId="0" applyNumberFormat="1" applyFont="1" applyBorder="1" applyAlignment="1">
      <alignment horizontal="right" vertical="center"/>
    </xf>
    <xf numFmtId="0" fontId="58" fillId="0" borderId="15" xfId="0" applyFont="1" applyBorder="1" applyAlignment="1" applyProtection="1">
      <alignment horizontal="right" vertical="center"/>
      <protection locked="0"/>
    </xf>
    <xf numFmtId="3" fontId="56" fillId="0" borderId="15" xfId="0" applyNumberFormat="1" applyFont="1" applyBorder="1" applyAlignment="1">
      <alignment horizontal="right" vertical="center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right" vertical="center"/>
      <protection locked="0"/>
    </xf>
    <xf numFmtId="3" fontId="0" fillId="0" borderId="0" xfId="0" applyNumberFormat="1" applyAlignment="1" applyProtection="1">
      <alignment horizontal="right"/>
      <protection locked="0"/>
    </xf>
    <xf numFmtId="0" fontId="47" fillId="0" borderId="0" xfId="0" applyFont="1" applyAlignment="1" applyProtection="1">
      <alignment horizontal="right" vertical="center"/>
      <protection locked="0"/>
    </xf>
    <xf numFmtId="3" fontId="22" fillId="0" borderId="4" xfId="6" applyNumberFormat="1" applyFont="1" applyBorder="1" applyAlignment="1">
      <alignment horizontal="right" vertical="center"/>
    </xf>
    <xf numFmtId="3" fontId="22" fillId="0" borderId="1" xfId="6" applyNumberFormat="1" applyFont="1" applyBorder="1" applyAlignment="1">
      <alignment horizontal="right" vertical="center" wrapText="1"/>
    </xf>
    <xf numFmtId="3" fontId="48" fillId="0" borderId="15" xfId="6" applyNumberFormat="1" applyFont="1" applyBorder="1" applyAlignment="1" applyProtection="1">
      <alignment horizontal="right" vertical="center"/>
      <protection locked="0"/>
    </xf>
    <xf numFmtId="0" fontId="0" fillId="0" borderId="0" xfId="0" applyAlignment="1">
      <alignment horizontal="right"/>
    </xf>
    <xf numFmtId="165" fontId="21" fillId="0" borderId="15" xfId="10" applyNumberFormat="1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84" fillId="0" borderId="15" xfId="0" applyFont="1" applyBorder="1" applyAlignment="1">
      <alignment horizontal="center" vertical="center"/>
    </xf>
    <xf numFmtId="0" fontId="84" fillId="0" borderId="4" xfId="0" applyFont="1" applyBorder="1" applyAlignment="1">
      <alignment horizontal="center" vertical="center" wrapText="1"/>
    </xf>
    <xf numFmtId="0" fontId="85" fillId="0" borderId="6" xfId="0" applyFont="1" applyBorder="1" applyAlignment="1">
      <alignment horizontal="left" vertical="center" wrapText="1"/>
    </xf>
    <xf numFmtId="0" fontId="85" fillId="0" borderId="4" xfId="0" applyFont="1" applyBorder="1" applyAlignment="1">
      <alignment horizontal="center" vertical="center"/>
    </xf>
    <xf numFmtId="3" fontId="84" fillId="0" borderId="1" xfId="0" applyNumberFormat="1" applyFont="1" applyBorder="1" applyAlignment="1">
      <alignment horizontal="right" vertical="center"/>
    </xf>
    <xf numFmtId="3" fontId="84" fillId="0" borderId="1" xfId="6" applyNumberFormat="1" applyFont="1" applyBorder="1" applyAlignment="1">
      <alignment vertical="center"/>
    </xf>
    <xf numFmtId="0" fontId="83" fillId="0" borderId="15" xfId="6" applyFont="1" applyBorder="1" applyAlignment="1" applyProtection="1">
      <alignment horizontal="center" vertical="center"/>
      <protection locked="0"/>
    </xf>
    <xf numFmtId="0" fontId="84" fillId="0" borderId="15" xfId="6" applyFont="1" applyBorder="1" applyAlignment="1" applyProtection="1">
      <alignment horizontal="center" vertical="center" wrapText="1"/>
      <protection locked="0"/>
    </xf>
    <xf numFmtId="3" fontId="84" fillId="0" borderId="15" xfId="6" applyNumberFormat="1" applyFont="1" applyBorder="1" applyAlignment="1" applyProtection="1">
      <alignment horizontal="right" vertical="center"/>
      <protection locked="0"/>
    </xf>
    <xf numFmtId="0" fontId="86" fillId="0" borderId="0" xfId="0" applyFont="1"/>
    <xf numFmtId="0" fontId="84" fillId="0" borderId="0" xfId="0" applyFont="1" applyAlignment="1">
      <alignment horizontal="center" vertical="center"/>
    </xf>
    <xf numFmtId="0" fontId="84" fillId="0" borderId="15" xfId="6" applyFont="1" applyBorder="1" applyAlignment="1">
      <alignment horizontal="center" vertical="center" wrapText="1"/>
    </xf>
    <xf numFmtId="0" fontId="84" fillId="0" borderId="15" xfId="6" applyFont="1" applyBorder="1" applyAlignment="1">
      <alignment horizontal="left" vertical="center" wrapText="1"/>
    </xf>
    <xf numFmtId="0" fontId="84" fillId="0" borderId="15" xfId="6" applyFont="1" applyBorder="1" applyAlignment="1">
      <alignment horizontal="right" vertical="center" wrapText="1"/>
    </xf>
    <xf numFmtId="1" fontId="84" fillId="0" borderId="15" xfId="6" applyNumberFormat="1" applyFont="1" applyBorder="1" applyAlignment="1">
      <alignment horizontal="right" vertical="center"/>
    </xf>
    <xf numFmtId="0" fontId="84" fillId="0" borderId="15" xfId="6" applyFont="1" applyBorder="1" applyAlignment="1">
      <alignment horizontal="center" vertical="center"/>
    </xf>
    <xf numFmtId="0" fontId="84" fillId="0" borderId="15" xfId="6" applyFont="1" applyBorder="1" applyAlignment="1" applyProtection="1">
      <alignment horizontal="left" vertical="center" wrapText="1"/>
      <protection locked="0"/>
    </xf>
    <xf numFmtId="3" fontId="84" fillId="0" borderId="15" xfId="6" applyNumberFormat="1" applyFont="1" applyBorder="1" applyAlignment="1">
      <alignment horizontal="right" vertical="center"/>
    </xf>
    <xf numFmtId="0" fontId="83" fillId="0" borderId="15" xfId="6" applyFont="1" applyBorder="1" applyAlignment="1" applyProtection="1">
      <alignment horizontal="left" vertical="center"/>
      <protection locked="0"/>
    </xf>
    <xf numFmtId="0" fontId="83" fillId="0" borderId="15" xfId="6" applyFont="1" applyBorder="1" applyAlignment="1" applyProtection="1">
      <alignment horizontal="center" vertical="center" wrapText="1"/>
      <protection locked="0"/>
    </xf>
    <xf numFmtId="0" fontId="55" fillId="0" borderId="0" xfId="0" applyFont="1" applyAlignment="1" applyProtection="1">
      <alignment horizontal="center" vertical="center" wrapText="1"/>
      <protection locked="0"/>
    </xf>
    <xf numFmtId="0" fontId="87" fillId="0" borderId="0" xfId="19" applyAlignment="1">
      <alignment horizontal="left" vertical="top"/>
    </xf>
    <xf numFmtId="0" fontId="89" fillId="0" borderId="1" xfId="19" applyFont="1" applyBorder="1" applyAlignment="1">
      <alignment horizontal="center" vertical="top" wrapText="1"/>
    </xf>
    <xf numFmtId="0" fontId="89" fillId="0" borderId="1" xfId="19" applyFont="1" applyBorder="1" applyAlignment="1">
      <alignment horizontal="left" vertical="top" wrapText="1" indent="1"/>
    </xf>
    <xf numFmtId="1" fontId="90" fillId="0" borderId="1" xfId="19" applyNumberFormat="1" applyFont="1" applyBorder="1" applyAlignment="1">
      <alignment horizontal="center" vertical="center" shrinkToFit="1"/>
    </xf>
    <xf numFmtId="0" fontId="91" fillId="0" borderId="1" xfId="19" applyFont="1" applyBorder="1" applyAlignment="1">
      <alignment horizontal="left" vertical="center" wrapText="1"/>
    </xf>
    <xf numFmtId="0" fontId="91" fillId="0" borderId="1" xfId="19" applyFont="1" applyBorder="1" applyAlignment="1">
      <alignment horizontal="center" vertical="center" wrapText="1"/>
    </xf>
    <xf numFmtId="166" fontId="90" fillId="0" borderId="1" xfId="19" applyNumberFormat="1" applyFont="1" applyBorder="1" applyAlignment="1">
      <alignment horizontal="center" vertical="center" shrinkToFit="1"/>
    </xf>
    <xf numFmtId="3" fontId="91" fillId="0" borderId="1" xfId="19" applyNumberFormat="1" applyFont="1" applyBorder="1" applyAlignment="1">
      <alignment horizontal="right" vertical="center" wrapText="1"/>
    </xf>
    <xf numFmtId="14" fontId="91" fillId="0" borderId="1" xfId="19" applyNumberFormat="1" applyFont="1" applyBorder="1" applyAlignment="1">
      <alignment horizontal="center" vertical="center" wrapText="1"/>
    </xf>
    <xf numFmtId="14" fontId="91" fillId="0" borderId="2" xfId="19" applyNumberFormat="1" applyFont="1" applyBorder="1" applyAlignment="1">
      <alignment horizontal="center" vertical="center" wrapText="1"/>
    </xf>
    <xf numFmtId="0" fontId="87" fillId="0" borderId="1" xfId="19" applyBorder="1" applyAlignment="1">
      <alignment horizontal="left" vertical="center" wrapText="1"/>
    </xf>
    <xf numFmtId="0" fontId="93" fillId="0" borderId="2" xfId="19" applyFont="1" applyBorder="1" applyAlignment="1">
      <alignment horizontal="right" vertical="center" wrapText="1"/>
    </xf>
    <xf numFmtId="3" fontId="94" fillId="0" borderId="15" xfId="19" applyNumberFormat="1" applyFont="1" applyBorder="1" applyAlignment="1">
      <alignment horizontal="right" vertical="center"/>
    </xf>
    <xf numFmtId="1" fontId="95" fillId="0" borderId="1" xfId="19" applyNumberFormat="1" applyFont="1" applyBorder="1" applyAlignment="1">
      <alignment horizontal="center" vertical="center" shrinkToFit="1"/>
    </xf>
    <xf numFmtId="0" fontId="96" fillId="0" borderId="1" xfId="19" applyFont="1" applyBorder="1" applyAlignment="1">
      <alignment horizontal="center" vertical="center" wrapText="1"/>
    </xf>
    <xf numFmtId="0" fontId="96" fillId="0" borderId="1" xfId="19" applyFont="1" applyBorder="1" applyAlignment="1">
      <alignment horizontal="left" vertical="center" wrapText="1"/>
    </xf>
    <xf numFmtId="3" fontId="96" fillId="0" borderId="1" xfId="19" applyNumberFormat="1" applyFont="1" applyBorder="1" applyAlignment="1">
      <alignment horizontal="right" vertical="center" wrapText="1"/>
    </xf>
    <xf numFmtId="0" fontId="87" fillId="0" borderId="13" xfId="19" applyBorder="1" applyAlignment="1">
      <alignment horizontal="left" wrapText="1"/>
    </xf>
    <xf numFmtId="0" fontId="93" fillId="0" borderId="24" xfId="19" applyFont="1" applyBorder="1" applyAlignment="1">
      <alignment horizontal="right" vertical="center" wrapText="1"/>
    </xf>
    <xf numFmtId="3" fontId="88" fillId="0" borderId="13" xfId="19" applyNumberFormat="1" applyFont="1" applyBorder="1" applyAlignment="1">
      <alignment horizontal="right" vertical="center" wrapText="1"/>
    </xf>
    <xf numFmtId="0" fontId="55" fillId="0" borderId="0" xfId="0" applyFont="1" applyAlignment="1" applyProtection="1">
      <alignment vertical="center" wrapText="1"/>
      <protection locked="0"/>
    </xf>
    <xf numFmtId="0" fontId="86" fillId="0" borderId="0" xfId="0" applyFont="1" applyAlignment="1">
      <alignment horizontal="right" vertical="center"/>
    </xf>
    <xf numFmtId="0" fontId="49" fillId="0" borderId="20" xfId="6" applyFont="1" applyBorder="1" applyAlignment="1">
      <alignment horizontal="center" vertical="center"/>
    </xf>
    <xf numFmtId="0" fontId="21" fillId="0" borderId="17" xfId="6" applyFont="1" applyBorder="1" applyAlignment="1" applyProtection="1">
      <alignment horizontal="center" vertical="center" wrapText="1"/>
      <protection locked="0"/>
    </xf>
    <xf numFmtId="0" fontId="47" fillId="0" borderId="15" xfId="0" applyFont="1" applyBorder="1" applyAlignment="1" applyProtection="1">
      <alignment horizontal="center" vertical="center" wrapText="1"/>
      <protection locked="0"/>
    </xf>
    <xf numFmtId="3" fontId="21" fillId="0" borderId="15" xfId="0" applyNumberFormat="1" applyFont="1" applyBorder="1" applyAlignment="1">
      <alignment horizontal="center" vertical="center"/>
    </xf>
    <xf numFmtId="165" fontId="21" fillId="0" borderId="15" xfId="12" applyNumberFormat="1" applyFont="1" applyFill="1" applyBorder="1" applyAlignment="1">
      <alignment vertical="center"/>
    </xf>
    <xf numFmtId="165" fontId="21" fillId="0" borderId="15" xfId="12" applyNumberFormat="1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77" fillId="0" borderId="21" xfId="3" applyFont="1" applyBorder="1" applyAlignment="1">
      <alignment horizontal="center" vertical="center" wrapText="1"/>
    </xf>
    <xf numFmtId="0" fontId="84" fillId="0" borderId="21" xfId="0" applyFont="1" applyBorder="1" applyAlignment="1">
      <alignment horizontal="center" vertical="center"/>
    </xf>
    <xf numFmtId="165" fontId="84" fillId="0" borderId="15" xfId="10" applyNumberFormat="1" applyFont="1" applyFill="1" applyBorder="1" applyAlignment="1">
      <alignment horizontal="right" vertical="center"/>
    </xf>
    <xf numFmtId="165" fontId="84" fillId="0" borderId="15" xfId="10" applyNumberFormat="1" applyFont="1" applyFill="1" applyBorder="1" applyAlignment="1">
      <alignment vertical="center"/>
    </xf>
    <xf numFmtId="0" fontId="84" fillId="0" borderId="1" xfId="0" applyFont="1" applyBorder="1" applyAlignment="1">
      <alignment horizontal="center" vertical="center"/>
    </xf>
    <xf numFmtId="165" fontId="84" fillId="0" borderId="15" xfId="12" applyNumberFormat="1" applyFont="1" applyFill="1" applyBorder="1" applyAlignment="1">
      <alignment horizontal="center" vertical="center"/>
    </xf>
    <xf numFmtId="0" fontId="98" fillId="0" borderId="0" xfId="0" applyFont="1"/>
    <xf numFmtId="0" fontId="84" fillId="0" borderId="21" xfId="6" applyFont="1" applyBorder="1" applyAlignment="1">
      <alignment horizontal="center" vertical="center" wrapText="1"/>
    </xf>
    <xf numFmtId="1" fontId="83" fillId="0" borderId="15" xfId="6" applyNumberFormat="1" applyFont="1" applyBorder="1" applyAlignment="1" applyProtection="1">
      <alignment horizontal="center" vertical="center"/>
      <protection locked="0"/>
    </xf>
    <xf numFmtId="0" fontId="84" fillId="0" borderId="3" xfId="6" applyFont="1" applyBorder="1" applyAlignment="1">
      <alignment horizontal="center" vertical="center" wrapText="1"/>
    </xf>
    <xf numFmtId="0" fontId="84" fillId="0" borderId="1" xfId="6" applyFont="1" applyBorder="1" applyAlignment="1">
      <alignment horizontal="left" vertical="center" wrapText="1"/>
    </xf>
    <xf numFmtId="0" fontId="84" fillId="0" borderId="1" xfId="6" applyFont="1" applyBorder="1" applyAlignment="1">
      <alignment horizontal="center" vertical="center" wrapText="1"/>
    </xf>
    <xf numFmtId="3" fontId="84" fillId="0" borderId="1" xfId="6" applyNumberFormat="1" applyFont="1" applyBorder="1" applyAlignment="1">
      <alignment horizontal="right" vertical="center" wrapText="1"/>
    </xf>
    <xf numFmtId="0" fontId="84" fillId="0" borderId="1" xfId="6" applyFont="1" applyBorder="1" applyAlignment="1">
      <alignment horizontal="center" vertical="center"/>
    </xf>
    <xf numFmtId="0" fontId="83" fillId="0" borderId="15" xfId="6" applyFont="1" applyBorder="1" applyAlignment="1">
      <alignment horizontal="center" vertical="center"/>
    </xf>
    <xf numFmtId="3" fontId="84" fillId="0" borderId="1" xfId="6" applyNumberFormat="1" applyFont="1" applyBorder="1" applyAlignment="1">
      <alignment horizontal="right" vertical="center"/>
    </xf>
    <xf numFmtId="0" fontId="54" fillId="0" borderId="15" xfId="0" applyFont="1" applyBorder="1" applyAlignment="1">
      <alignment horizontal="center" vertical="center" wrapText="1"/>
    </xf>
    <xf numFmtId="0" fontId="55" fillId="0" borderId="15" xfId="0" quotePrefix="1" applyFont="1" applyBorder="1" applyAlignment="1" applyProtection="1">
      <alignment horizontal="center" vertical="center" wrapText="1"/>
      <protection locked="0"/>
    </xf>
    <xf numFmtId="0" fontId="78" fillId="0" borderId="15" xfId="0" applyFont="1" applyBorder="1" applyAlignment="1">
      <alignment horizontal="center" vertical="center" wrapText="1"/>
    </xf>
    <xf numFmtId="0" fontId="21" fillId="0" borderId="9" xfId="0" applyFont="1" applyBorder="1" applyAlignment="1">
      <alignment vertical="center"/>
    </xf>
    <xf numFmtId="0" fontId="21" fillId="0" borderId="15" xfId="16" applyFont="1" applyBorder="1" applyAlignment="1">
      <alignment horizontal="left" vertical="center"/>
    </xf>
    <xf numFmtId="0" fontId="54" fillId="6" borderId="15" xfId="0" applyFont="1" applyFill="1" applyBorder="1" applyAlignment="1">
      <alignment horizontal="center" vertical="center" wrapText="1"/>
    </xf>
    <xf numFmtId="3" fontId="56" fillId="11" borderId="15" xfId="0" applyNumberFormat="1" applyFont="1" applyFill="1" applyBorder="1" applyAlignment="1">
      <alignment vertical="center"/>
    </xf>
    <xf numFmtId="0" fontId="99" fillId="0" borderId="0" xfId="0" applyFont="1"/>
    <xf numFmtId="14" fontId="99" fillId="0" borderId="0" xfId="0" applyNumberFormat="1" applyFont="1"/>
    <xf numFmtId="0" fontId="22" fillId="0" borderId="0" xfId="0" applyFont="1"/>
    <xf numFmtId="3" fontId="22" fillId="0" borderId="0" xfId="0" applyNumberFormat="1" applyFont="1"/>
    <xf numFmtId="0" fontId="22" fillId="0" borderId="0" xfId="0" applyFont="1" applyAlignment="1">
      <alignment horizontal="center"/>
    </xf>
    <xf numFmtId="14" fontId="22" fillId="0" borderId="0" xfId="0" applyNumberFormat="1" applyFont="1"/>
    <xf numFmtId="3" fontId="21" fillId="0" borderId="15" xfId="6" applyNumberFormat="1" applyFont="1" applyBorder="1" applyAlignment="1">
      <alignment horizontal="center" vertical="center"/>
    </xf>
    <xf numFmtId="0" fontId="47" fillId="0" borderId="0" xfId="6" applyAlignment="1" applyProtection="1">
      <alignment horizontal="center"/>
      <protection locked="0"/>
    </xf>
    <xf numFmtId="0" fontId="21" fillId="0" borderId="15" xfId="11" applyFont="1" applyBorder="1" applyAlignment="1">
      <alignment horizontal="center" vertical="center" wrapText="1"/>
    </xf>
    <xf numFmtId="0" fontId="22" fillId="0" borderId="23" xfId="6" applyFont="1" applyBorder="1" applyAlignment="1">
      <alignment horizontal="center" vertical="center"/>
    </xf>
    <xf numFmtId="0" fontId="51" fillId="0" borderId="15" xfId="6" applyFont="1" applyBorder="1" applyAlignment="1">
      <alignment horizontal="center" vertical="center"/>
    </xf>
    <xf numFmtId="0" fontId="51" fillId="0" borderId="1" xfId="6" applyFont="1" applyBorder="1" applyAlignment="1">
      <alignment vertical="center"/>
    </xf>
    <xf numFmtId="0" fontId="51" fillId="0" borderId="2" xfId="6" applyFont="1" applyBorder="1" applyAlignment="1">
      <alignment horizontal="center" vertical="center"/>
    </xf>
    <xf numFmtId="0" fontId="51" fillId="0" borderId="15" xfId="6" applyFont="1" applyBorder="1" applyAlignment="1" applyProtection="1">
      <alignment horizontal="center" vertical="center"/>
      <protection locked="0"/>
    </xf>
    <xf numFmtId="0" fontId="21" fillId="0" borderId="2" xfId="6" applyFont="1" applyBorder="1" applyAlignment="1">
      <alignment vertical="center" wrapText="1"/>
    </xf>
    <xf numFmtId="0" fontId="22" fillId="0" borderId="10" xfId="6" applyFont="1" applyBorder="1" applyAlignment="1">
      <alignment vertical="center" wrapText="1"/>
    </xf>
    <xf numFmtId="1" fontId="21" fillId="0" borderId="15" xfId="6" applyNumberFormat="1" applyFont="1" applyBorder="1" applyAlignment="1">
      <alignment vertical="center"/>
    </xf>
    <xf numFmtId="0" fontId="48" fillId="0" borderId="20" xfId="6" applyFont="1" applyBorder="1" applyAlignment="1">
      <alignment horizontal="center" vertical="center" wrapText="1"/>
    </xf>
    <xf numFmtId="0" fontId="21" fillId="0" borderId="14" xfId="6" applyFont="1" applyBorder="1" applyAlignment="1">
      <alignment vertical="center" wrapText="1"/>
    </xf>
    <xf numFmtId="0" fontId="22" fillId="0" borderId="15" xfId="6" applyFont="1" applyBorder="1" applyAlignment="1" applyProtection="1">
      <alignment vertical="center" wrapText="1"/>
      <protection locked="0"/>
    </xf>
    <xf numFmtId="0" fontId="57" fillId="0" borderId="15" xfId="0" applyFont="1" applyBorder="1" applyAlignment="1">
      <alignment vertical="center"/>
    </xf>
    <xf numFmtId="0" fontId="22" fillId="0" borderId="19" xfId="6" applyFont="1" applyBorder="1" applyAlignment="1">
      <alignment vertical="center" wrapText="1"/>
    </xf>
    <xf numFmtId="0" fontId="22" fillId="0" borderId="10" xfId="0" applyFont="1" applyBorder="1"/>
    <xf numFmtId="0" fontId="49" fillId="0" borderId="0" xfId="6" applyFont="1" applyAlignment="1" applyProtection="1">
      <alignment horizontal="center" vertical="center"/>
      <protection locked="0"/>
    </xf>
    <xf numFmtId="0" fontId="49" fillId="0" borderId="0" xfId="6" applyFont="1" applyAlignment="1" applyProtection="1">
      <alignment wrapText="1"/>
      <protection locked="0"/>
    </xf>
    <xf numFmtId="0" fontId="49" fillId="0" borderId="0" xfId="6" applyFont="1" applyAlignment="1" applyProtection="1">
      <alignment horizontal="center" wrapText="1"/>
      <protection locked="0"/>
    </xf>
    <xf numFmtId="0" fontId="48" fillId="0" borderId="0" xfId="6" applyFont="1" applyAlignment="1" applyProtection="1">
      <alignment horizontal="center"/>
      <protection locked="0"/>
    </xf>
    <xf numFmtId="0" fontId="21" fillId="0" borderId="15" xfId="0" applyFont="1" applyBorder="1" applyAlignment="1">
      <alignment horizontal="left"/>
    </xf>
    <xf numFmtId="0" fontId="10" fillId="0" borderId="15" xfId="0" applyFont="1" applyBorder="1" applyAlignment="1" applyProtection="1">
      <alignment horizontal="center" vertical="center"/>
      <protection locked="0"/>
    </xf>
    <xf numFmtId="0" fontId="21" fillId="0" borderId="6" xfId="0" applyFont="1" applyBorder="1" applyAlignment="1">
      <alignment horizontal="left"/>
    </xf>
    <xf numFmtId="0" fontId="10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right"/>
    </xf>
    <xf numFmtId="0" fontId="83" fillId="0" borderId="0" xfId="6" applyFont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3" fontId="86" fillId="0" borderId="0" xfId="0" applyNumberFormat="1" applyFont="1"/>
    <xf numFmtId="0" fontId="100" fillId="0" borderId="15" xfId="3" applyFont="1" applyBorder="1" applyAlignment="1">
      <alignment horizontal="center" vertical="center" wrapText="1"/>
    </xf>
    <xf numFmtId="0" fontId="84" fillId="9" borderId="15" xfId="0" applyFont="1" applyFill="1" applyBorder="1" applyAlignment="1">
      <alignment vertical="center" wrapText="1"/>
    </xf>
    <xf numFmtId="0" fontId="100" fillId="0" borderId="15" xfId="3" applyFont="1" applyBorder="1" applyAlignment="1">
      <alignment horizontal="center" vertical="center"/>
    </xf>
    <xf numFmtId="3" fontId="84" fillId="0" borderId="15" xfId="6" applyNumberFormat="1" applyFont="1" applyBorder="1" applyAlignment="1">
      <alignment horizontal="center" vertical="center"/>
    </xf>
    <xf numFmtId="3" fontId="84" fillId="0" borderId="15" xfId="6" applyNumberFormat="1" applyFont="1" applyBorder="1" applyAlignment="1">
      <alignment vertical="center"/>
    </xf>
    <xf numFmtId="0" fontId="86" fillId="0" borderId="0" xfId="6" applyFont="1" applyProtection="1">
      <protection locked="0"/>
    </xf>
    <xf numFmtId="3" fontId="21" fillId="0" borderId="15" xfId="6" applyNumberFormat="1" applyFont="1" applyBorder="1" applyAlignment="1" applyProtection="1">
      <alignment horizontal="center" vertical="center"/>
      <protection locked="0"/>
    </xf>
    <xf numFmtId="0" fontId="51" fillId="0" borderId="15" xfId="6" applyFont="1" applyBorder="1" applyAlignment="1">
      <alignment horizontal="right" vertical="center"/>
    </xf>
    <xf numFmtId="0" fontId="38" fillId="0" borderId="15" xfId="3" applyFont="1" applyBorder="1" applyAlignment="1">
      <alignment horizontal="left" vertical="center"/>
    </xf>
    <xf numFmtId="0" fontId="101" fillId="0" borderId="0" xfId="0" applyFont="1"/>
    <xf numFmtId="3" fontId="51" fillId="0" borderId="23" xfId="6" applyNumberFormat="1" applyFont="1" applyBorder="1" applyAlignment="1" applyProtection="1">
      <alignment horizontal="center" vertical="center"/>
      <protection locked="0"/>
    </xf>
    <xf numFmtId="0" fontId="21" fillId="0" borderId="23" xfId="6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77" fillId="0" borderId="29" xfId="3" applyFont="1" applyBorder="1" applyAlignment="1">
      <alignment horizontal="center" vertical="center" wrapText="1"/>
    </xf>
    <xf numFmtId="0" fontId="21" fillId="5" borderId="28" xfId="6" applyFont="1" applyFill="1" applyBorder="1" applyAlignment="1">
      <alignment horizontal="center" vertical="center" wrapText="1"/>
    </xf>
    <xf numFmtId="0" fontId="9" fillId="0" borderId="13" xfId="6" applyFont="1" applyBorder="1" applyAlignment="1">
      <alignment horizontal="center" vertical="center" wrapText="1"/>
    </xf>
    <xf numFmtId="0" fontId="84" fillId="0" borderId="19" xfId="0" applyFont="1" applyBorder="1" applyAlignment="1">
      <alignment horizontal="center" vertical="center"/>
    </xf>
    <xf numFmtId="0" fontId="84" fillId="0" borderId="13" xfId="6" applyFont="1" applyBorder="1" applyAlignment="1">
      <alignment horizontal="left" vertical="center" wrapText="1"/>
    </xf>
    <xf numFmtId="0" fontId="84" fillId="0" borderId="13" xfId="6" applyFont="1" applyBorder="1" applyAlignment="1">
      <alignment horizontal="center" vertical="center" wrapText="1"/>
    </xf>
    <xf numFmtId="0" fontId="84" fillId="0" borderId="13" xfId="6" applyFont="1" applyBorder="1" applyAlignment="1">
      <alignment horizontal="right" vertical="center" wrapText="1"/>
    </xf>
    <xf numFmtId="1" fontId="84" fillId="0" borderId="13" xfId="6" applyNumberFormat="1" applyFont="1" applyBorder="1" applyAlignment="1">
      <alignment horizontal="right" vertical="center"/>
    </xf>
    <xf numFmtId="0" fontId="84" fillId="0" borderId="13" xfId="6" applyFont="1" applyBorder="1" applyAlignment="1">
      <alignment horizontal="center" vertical="center"/>
    </xf>
    <xf numFmtId="0" fontId="84" fillId="0" borderId="19" xfId="6" applyFont="1" applyBorder="1" applyAlignment="1">
      <alignment horizontal="center" vertical="center" wrapText="1"/>
    </xf>
    <xf numFmtId="0" fontId="84" fillId="0" borderId="19" xfId="6" applyFont="1" applyBorder="1" applyAlignment="1" applyProtection="1">
      <alignment horizontal="center" vertical="center" wrapText="1"/>
      <protection locked="0"/>
    </xf>
    <xf numFmtId="3" fontId="84" fillId="0" borderId="19" xfId="6" applyNumberFormat="1" applyFont="1" applyBorder="1" applyAlignment="1" applyProtection="1">
      <alignment horizontal="right" vertical="center"/>
      <protection locked="0"/>
    </xf>
    <xf numFmtId="3" fontId="83" fillId="0" borderId="19" xfId="6" applyNumberFormat="1" applyFont="1" applyBorder="1" applyAlignment="1" applyProtection="1">
      <alignment horizontal="center" vertical="center"/>
      <protection locked="0"/>
    </xf>
    <xf numFmtId="0" fontId="83" fillId="0" borderId="19" xfId="6" applyFont="1" applyBorder="1" applyAlignment="1" applyProtection="1">
      <alignment horizontal="center" vertical="center"/>
      <protection locked="0"/>
    </xf>
    <xf numFmtId="0" fontId="21" fillId="0" borderId="7" xfId="6" applyFont="1" applyBorder="1" applyAlignment="1">
      <alignment horizontal="right" vertical="center"/>
    </xf>
    <xf numFmtId="3" fontId="21" fillId="0" borderId="6" xfId="6" applyNumberFormat="1" applyFont="1" applyBorder="1" applyAlignment="1" applyProtection="1">
      <alignment horizontal="right" vertical="center"/>
      <protection locked="0"/>
    </xf>
    <xf numFmtId="3" fontId="21" fillId="0" borderId="8" xfId="6" applyNumberFormat="1" applyFont="1" applyBorder="1" applyAlignment="1" applyProtection="1">
      <alignment horizontal="left" vertical="center" wrapText="1"/>
      <protection locked="0"/>
    </xf>
    <xf numFmtId="3" fontId="9" fillId="0" borderId="15" xfId="6" applyNumberFormat="1" applyFont="1" applyBorder="1" applyAlignment="1" applyProtection="1">
      <alignment horizontal="center" vertical="center"/>
      <protection locked="0"/>
    </xf>
    <xf numFmtId="3" fontId="51" fillId="0" borderId="15" xfId="6" applyNumberFormat="1" applyFont="1" applyBorder="1" applyAlignment="1" applyProtection="1">
      <alignment horizontal="center" vertical="center"/>
      <protection locked="0"/>
    </xf>
    <xf numFmtId="3" fontId="51" fillId="0" borderId="15" xfId="6" applyNumberFormat="1" applyFont="1" applyBorder="1" applyAlignment="1" applyProtection="1">
      <alignment horizontal="right" vertical="center"/>
      <protection locked="0"/>
    </xf>
    <xf numFmtId="1" fontId="21" fillId="0" borderId="15" xfId="6" applyNumberFormat="1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1" fontId="21" fillId="0" borderId="15" xfId="0" applyNumberFormat="1" applyFont="1" applyBorder="1" applyAlignment="1">
      <alignment horizontal="right" vertical="center"/>
    </xf>
    <xf numFmtId="3" fontId="21" fillId="0" borderId="15" xfId="0" applyNumberFormat="1" applyFont="1" applyBorder="1" applyAlignment="1" applyProtection="1">
      <alignment vertical="center"/>
      <protection locked="0"/>
    </xf>
    <xf numFmtId="0" fontId="22" fillId="10" borderId="1" xfId="6" applyFont="1" applyFill="1" applyBorder="1" applyAlignment="1">
      <alignment horizontal="center" vertical="center"/>
    </xf>
    <xf numFmtId="0" fontId="22" fillId="10" borderId="2" xfId="6" applyFont="1" applyFill="1" applyBorder="1" applyAlignment="1">
      <alignment horizontal="left" vertical="center" wrapText="1"/>
    </xf>
    <xf numFmtId="0" fontId="49" fillId="10" borderId="15" xfId="6" applyFont="1" applyFill="1" applyBorder="1" applyAlignment="1">
      <alignment horizontal="center" vertical="center"/>
    </xf>
    <xf numFmtId="0" fontId="48" fillId="10" borderId="15" xfId="6" applyFont="1" applyFill="1" applyBorder="1" applyAlignment="1">
      <alignment horizontal="center" vertical="center" wrapText="1"/>
    </xf>
    <xf numFmtId="0" fontId="22" fillId="10" borderId="1" xfId="6" applyFont="1" applyFill="1" applyBorder="1" applyAlignment="1">
      <alignment vertical="center" wrapText="1"/>
    </xf>
    <xf numFmtId="0" fontId="3" fillId="0" borderId="0" xfId="15"/>
    <xf numFmtId="0" fontId="0" fillId="6" borderId="0" xfId="0" applyFill="1"/>
    <xf numFmtId="0" fontId="48" fillId="0" borderId="21" xfId="6" applyFont="1" applyBorder="1" applyAlignment="1" applyProtection="1">
      <alignment vertical="center" wrapText="1"/>
      <protection locked="0"/>
    </xf>
    <xf numFmtId="14" fontId="48" fillId="0" borderId="17" xfId="6" applyNumberFormat="1" applyFont="1" applyBorder="1" applyAlignment="1" applyProtection="1">
      <alignment horizontal="right" vertical="center"/>
      <protection locked="0"/>
    </xf>
    <xf numFmtId="0" fontId="9" fillId="0" borderId="0" xfId="3" applyFont="1" applyAlignment="1">
      <alignment horizontal="left" vertical="center"/>
    </xf>
    <xf numFmtId="0" fontId="11" fillId="0" borderId="15" xfId="3" applyBorder="1" applyAlignment="1">
      <alignment horizontal="center" vertical="center" wrapText="1"/>
    </xf>
    <xf numFmtId="0" fontId="9" fillId="0" borderId="13" xfId="6" applyFont="1" applyBorder="1" applyAlignment="1">
      <alignment horizontal="left" vertical="center" wrapText="1"/>
    </xf>
    <xf numFmtId="0" fontId="9" fillId="0" borderId="13" xfId="6" applyFont="1" applyBorder="1" applyAlignment="1">
      <alignment horizontal="right" vertical="center" wrapText="1"/>
    </xf>
    <xf numFmtId="0" fontId="9" fillId="0" borderId="1" xfId="6" applyFont="1" applyBorder="1" applyAlignment="1">
      <alignment horizontal="center" vertical="center" wrapText="1"/>
    </xf>
    <xf numFmtId="0" fontId="9" fillId="0" borderId="1" xfId="6" applyFont="1" applyBorder="1" applyAlignment="1">
      <alignment vertical="center" wrapText="1"/>
    </xf>
    <xf numFmtId="0" fontId="9" fillId="0" borderId="13" xfId="6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>
      <alignment horizontal="center" vertical="center" wrapText="1"/>
    </xf>
    <xf numFmtId="0" fontId="9" fillId="0" borderId="13" xfId="6" applyFont="1" applyBorder="1" applyAlignment="1" applyProtection="1">
      <alignment vertical="center" wrapText="1"/>
      <protection locked="0"/>
    </xf>
    <xf numFmtId="0" fontId="9" fillId="0" borderId="9" xfId="6" applyFont="1" applyBorder="1" applyAlignment="1" applyProtection="1">
      <alignment horizontal="center" vertical="center" wrapText="1"/>
      <protection locked="0"/>
    </xf>
    <xf numFmtId="0" fontId="86" fillId="0" borderId="0" xfId="0" applyFont="1" applyAlignment="1">
      <alignment vertical="center"/>
    </xf>
    <xf numFmtId="0" fontId="89" fillId="0" borderId="1" xfId="19" applyFont="1" applyBorder="1" applyAlignment="1">
      <alignment horizontal="left" vertical="top" wrapText="1" indent="4"/>
    </xf>
    <xf numFmtId="0" fontId="89" fillId="0" borderId="1" xfId="19" applyFont="1" applyBorder="1" applyAlignment="1">
      <alignment horizontal="left" vertical="top" wrapText="1" indent="2"/>
    </xf>
    <xf numFmtId="0" fontId="87" fillId="0" borderId="0" xfId="19" applyAlignment="1">
      <alignment horizontal="left" vertical="center"/>
    </xf>
    <xf numFmtId="3" fontId="89" fillId="0" borderId="1" xfId="19" applyNumberFormat="1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/>
    </xf>
    <xf numFmtId="3" fontId="51" fillId="0" borderId="15" xfId="6" applyNumberFormat="1" applyFont="1" applyBorder="1" applyAlignment="1">
      <alignment horizontal="center" vertical="center"/>
    </xf>
    <xf numFmtId="3" fontId="51" fillId="0" borderId="15" xfId="6" applyNumberFormat="1" applyFont="1" applyBorder="1" applyAlignment="1">
      <alignment vertical="center"/>
    </xf>
    <xf numFmtId="3" fontId="51" fillId="0" borderId="3" xfId="6" applyNumberFormat="1" applyFont="1" applyBorder="1" applyAlignment="1">
      <alignment horizontal="center" vertical="center"/>
    </xf>
    <xf numFmtId="3" fontId="21" fillId="0" borderId="6" xfId="6" applyNumberFormat="1" applyFont="1" applyBorder="1" applyAlignment="1">
      <alignment vertical="center"/>
    </xf>
    <xf numFmtId="3" fontId="21" fillId="0" borderId="13" xfId="6" applyNumberFormat="1" applyFont="1" applyBorder="1" applyAlignment="1">
      <alignment vertical="center"/>
    </xf>
    <xf numFmtId="3" fontId="19" fillId="0" borderId="0" xfId="6" applyNumberFormat="1" applyFont="1" applyAlignment="1" applyProtection="1">
      <alignment horizontal="center" vertical="center"/>
      <protection locked="0"/>
    </xf>
    <xf numFmtId="3" fontId="83" fillId="0" borderId="0" xfId="6" applyNumberFormat="1" applyFont="1" applyAlignment="1" applyProtection="1">
      <alignment horizontal="right" vertical="center"/>
      <protection locked="0"/>
    </xf>
    <xf numFmtId="3" fontId="83" fillId="0" borderId="0" xfId="6" applyNumberFormat="1" applyFont="1" applyAlignment="1" applyProtection="1">
      <alignment horizontal="left" vertical="center"/>
      <protection locked="0"/>
    </xf>
    <xf numFmtId="3" fontId="83" fillId="0" borderId="0" xfId="6" applyNumberFormat="1" applyFont="1" applyAlignment="1" applyProtection="1">
      <alignment horizontal="center" vertical="center"/>
      <protection locked="0"/>
    </xf>
    <xf numFmtId="3" fontId="19" fillId="0" borderId="10" xfId="6" applyNumberFormat="1" applyFont="1" applyBorder="1" applyAlignment="1" applyProtection="1">
      <alignment horizontal="center" vertical="center"/>
      <protection locked="0"/>
    </xf>
    <xf numFmtId="0" fontId="9" fillId="0" borderId="24" xfId="6" applyFont="1" applyBorder="1" applyAlignment="1" applyProtection="1">
      <alignment horizontal="center" vertical="center" wrapText="1"/>
      <protection locked="0"/>
    </xf>
    <xf numFmtId="0" fontId="52" fillId="0" borderId="0" xfId="6" applyFont="1" applyAlignment="1" applyProtection="1">
      <alignment horizontal="center" vertical="center"/>
      <protection locked="0"/>
    </xf>
    <xf numFmtId="0" fontId="21" fillId="0" borderId="32" xfId="6" applyFont="1" applyBorder="1" applyAlignment="1" applyProtection="1">
      <alignment horizontal="center" vertical="center" wrapText="1"/>
      <protection locked="0"/>
    </xf>
    <xf numFmtId="3" fontId="21" fillId="0" borderId="17" xfId="6" applyNumberFormat="1" applyFont="1" applyBorder="1" applyAlignment="1" applyProtection="1">
      <alignment vertical="center"/>
      <protection locked="0"/>
    </xf>
    <xf numFmtId="0" fontId="48" fillId="0" borderId="17" xfId="6" applyFont="1" applyBorder="1" applyAlignment="1" applyProtection="1">
      <alignment vertical="center"/>
      <protection locked="0"/>
    </xf>
    <xf numFmtId="0" fontId="21" fillId="0" borderId="27" xfId="6" applyFont="1" applyBorder="1" applyAlignment="1" applyProtection="1">
      <alignment horizontal="center" vertical="center" wrapText="1"/>
      <protection locked="0"/>
    </xf>
    <xf numFmtId="3" fontId="21" fillId="0" borderId="19" xfId="6" applyNumberFormat="1" applyFont="1" applyBorder="1" applyAlignment="1" applyProtection="1">
      <alignment vertical="center"/>
      <protection locked="0"/>
    </xf>
    <xf numFmtId="3" fontId="48" fillId="0" borderId="15" xfId="6" applyNumberFormat="1" applyFont="1" applyBorder="1" applyAlignment="1" applyProtection="1">
      <alignment horizontal="center" vertical="center"/>
      <protection locked="0"/>
    </xf>
    <xf numFmtId="3" fontId="21" fillId="0" borderId="15" xfId="6" applyNumberFormat="1" applyFont="1" applyBorder="1" applyAlignment="1" applyProtection="1">
      <alignment horizontal="center" vertical="center" wrapText="1"/>
      <protection locked="0"/>
    </xf>
    <xf numFmtId="14" fontId="48" fillId="0" borderId="15" xfId="6" applyNumberFormat="1" applyFont="1" applyBorder="1" applyAlignment="1" applyProtection="1">
      <alignment horizontal="center" vertical="center"/>
      <protection locked="0"/>
    </xf>
    <xf numFmtId="0" fontId="48" fillId="0" borderId="15" xfId="6" quotePrefix="1" applyFont="1" applyBorder="1" applyAlignment="1" applyProtection="1">
      <alignment horizontal="center" vertical="center"/>
      <protection locked="0"/>
    </xf>
    <xf numFmtId="1" fontId="21" fillId="0" borderId="1" xfId="6" applyNumberFormat="1" applyFont="1" applyBorder="1" applyAlignment="1">
      <alignment vertical="center"/>
    </xf>
    <xf numFmtId="0" fontId="48" fillId="0" borderId="19" xfId="6" applyFont="1" applyBorder="1" applyAlignment="1" applyProtection="1">
      <alignment horizontal="center" vertical="center" wrapText="1"/>
      <protection locked="0"/>
    </xf>
    <xf numFmtId="1" fontId="21" fillId="0" borderId="15" xfId="6" applyNumberFormat="1" applyFont="1" applyBorder="1" applyAlignment="1" applyProtection="1">
      <alignment vertical="center"/>
      <protection locked="0"/>
    </xf>
    <xf numFmtId="3" fontId="48" fillId="0" borderId="15" xfId="6" applyNumberFormat="1" applyFont="1" applyBorder="1" applyAlignment="1" applyProtection="1">
      <alignment vertical="center"/>
      <protection locked="0"/>
    </xf>
    <xf numFmtId="0" fontId="22" fillId="0" borderId="20" xfId="6" applyFont="1" applyBorder="1" applyAlignment="1">
      <alignment horizontal="center" vertical="center" wrapText="1"/>
    </xf>
    <xf numFmtId="1" fontId="48" fillId="0" borderId="15" xfId="6" applyNumberFormat="1" applyFont="1" applyBorder="1" applyAlignment="1" applyProtection="1">
      <alignment horizontal="center" vertical="center"/>
      <protection locked="0"/>
    </xf>
    <xf numFmtId="3" fontId="22" fillId="0" borderId="4" xfId="6" applyNumberFormat="1" applyFont="1" applyBorder="1" applyAlignment="1">
      <alignment vertical="center"/>
    </xf>
    <xf numFmtId="3" fontId="21" fillId="0" borderId="3" xfId="6" applyNumberFormat="1" applyFont="1" applyBorder="1" applyAlignment="1">
      <alignment horizontal="right" vertical="center"/>
    </xf>
    <xf numFmtId="3" fontId="21" fillId="0" borderId="5" xfId="6" applyNumberFormat="1" applyFont="1" applyBorder="1" applyAlignment="1">
      <alignment vertical="center"/>
    </xf>
    <xf numFmtId="3" fontId="50" fillId="0" borderId="15" xfId="6" applyNumberFormat="1" applyFont="1" applyBorder="1" applyAlignment="1">
      <alignment vertical="center"/>
    </xf>
    <xf numFmtId="0" fontId="21" fillId="0" borderId="23" xfId="6" applyFont="1" applyBorder="1" applyAlignment="1">
      <alignment horizontal="center" vertical="center"/>
    </xf>
    <xf numFmtId="0" fontId="47" fillId="0" borderId="15" xfId="0" applyFont="1" applyBorder="1" applyAlignment="1" applyProtection="1">
      <alignment horizontal="center" vertical="center"/>
      <protection locked="0"/>
    </xf>
    <xf numFmtId="3" fontId="22" fillId="0" borderId="15" xfId="6" applyNumberFormat="1" applyFont="1" applyBorder="1" applyAlignment="1">
      <alignment vertical="center"/>
    </xf>
    <xf numFmtId="0" fontId="21" fillId="0" borderId="1" xfId="0" applyFont="1" applyBorder="1" applyAlignment="1" applyProtection="1">
      <alignment horizontal="center" vertical="center" wrapText="1"/>
      <protection locked="0"/>
    </xf>
    <xf numFmtId="3" fontId="50" fillId="0" borderId="17" xfId="6" applyNumberFormat="1" applyFont="1" applyBorder="1" applyAlignment="1" applyProtection="1">
      <alignment vertical="center"/>
      <protection locked="0"/>
    </xf>
    <xf numFmtId="0" fontId="22" fillId="0" borderId="17" xfId="6" applyFont="1" applyBorder="1" applyAlignment="1" applyProtection="1">
      <alignment horizontal="center" vertical="center" wrapText="1"/>
      <protection locked="0"/>
    </xf>
    <xf numFmtId="3" fontId="22" fillId="0" borderId="15" xfId="6" applyNumberFormat="1" applyFont="1" applyBorder="1" applyAlignment="1">
      <alignment vertical="center" wrapText="1"/>
    </xf>
    <xf numFmtId="3" fontId="50" fillId="0" borderId="19" xfId="6" applyNumberFormat="1" applyFont="1" applyBorder="1" applyAlignment="1" applyProtection="1">
      <alignment vertical="center"/>
      <protection locked="0"/>
    </xf>
    <xf numFmtId="0" fontId="22" fillId="0" borderId="19" xfId="6" applyFont="1" applyBorder="1" applyAlignment="1" applyProtection="1">
      <alignment horizontal="center" vertical="center" wrapText="1"/>
      <protection locked="0"/>
    </xf>
    <xf numFmtId="3" fontId="50" fillId="0" borderId="15" xfId="6" applyNumberFormat="1" applyFont="1" applyBorder="1" applyAlignment="1" applyProtection="1">
      <alignment vertical="center"/>
      <protection locked="0"/>
    </xf>
    <xf numFmtId="3" fontId="22" fillId="0" borderId="17" xfId="6" applyNumberFormat="1" applyFont="1" applyBorder="1" applyAlignment="1">
      <alignment vertical="center" wrapText="1"/>
    </xf>
    <xf numFmtId="0" fontId="22" fillId="0" borderId="17" xfId="6" applyFont="1" applyBorder="1" applyAlignment="1">
      <alignment horizontal="center" vertical="center" wrapText="1"/>
    </xf>
    <xf numFmtId="0" fontId="22" fillId="0" borderId="19" xfId="6" applyFont="1" applyBorder="1" applyAlignment="1">
      <alignment horizontal="left" vertical="center" wrapText="1"/>
    </xf>
    <xf numFmtId="3" fontId="22" fillId="0" borderId="19" xfId="6" applyNumberFormat="1" applyFont="1" applyBorder="1" applyAlignment="1">
      <alignment vertical="center" wrapText="1"/>
    </xf>
    <xf numFmtId="3" fontId="22" fillId="0" borderId="27" xfId="6" applyNumberFormat="1" applyFont="1" applyBorder="1" applyAlignment="1">
      <alignment vertical="center" wrapText="1"/>
    </xf>
    <xf numFmtId="0" fontId="22" fillId="0" borderId="21" xfId="6" applyFont="1" applyBorder="1" applyAlignment="1">
      <alignment horizontal="center" vertical="center" wrapText="1"/>
    </xf>
    <xf numFmtId="3" fontId="22" fillId="0" borderId="32" xfId="6" applyNumberFormat="1" applyFont="1" applyBorder="1" applyAlignment="1">
      <alignment vertical="center" wrapText="1"/>
    </xf>
    <xf numFmtId="0" fontId="21" fillId="0" borderId="13" xfId="0" applyFont="1" applyBorder="1" applyAlignment="1">
      <alignment horizontal="center" vertical="center" wrapText="1"/>
    </xf>
    <xf numFmtId="3" fontId="21" fillId="0" borderId="15" xfId="6" applyNumberFormat="1" applyFont="1" applyBorder="1" applyAlignment="1" applyProtection="1">
      <alignment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14" fontId="0" fillId="0" borderId="15" xfId="0" applyNumberFormat="1" applyBorder="1" applyAlignment="1" applyProtection="1">
      <alignment horizontal="center" vertical="center"/>
      <protection locked="0"/>
    </xf>
    <xf numFmtId="3" fontId="0" fillId="0" borderId="15" xfId="0" applyNumberForma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right" vertical="center"/>
    </xf>
    <xf numFmtId="0" fontId="21" fillId="0" borderId="23" xfId="0" applyFont="1" applyBorder="1" applyAlignment="1">
      <alignment horizontal="center" vertical="center"/>
    </xf>
    <xf numFmtId="0" fontId="47" fillId="0" borderId="17" xfId="0" applyFont="1" applyBorder="1" applyAlignment="1" applyProtection="1">
      <alignment horizontal="center" vertical="center" wrapText="1"/>
      <protection locked="0"/>
    </xf>
    <xf numFmtId="0" fontId="48" fillId="0" borderId="15" xfId="6" applyFont="1" applyBorder="1" applyAlignment="1" applyProtection="1">
      <alignment horizontal="right" vertical="center"/>
      <protection locked="0"/>
    </xf>
    <xf numFmtId="0" fontId="21" fillId="0" borderId="15" xfId="11" applyFont="1" applyBorder="1" applyAlignment="1">
      <alignment vertical="center" wrapText="1"/>
    </xf>
    <xf numFmtId="14" fontId="21" fillId="0" borderId="15" xfId="0" applyNumberFormat="1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77" fillId="0" borderId="15" xfId="3" applyFont="1" applyBorder="1" applyAlignment="1">
      <alignment horizontal="center" vertical="center" wrapText="1"/>
    </xf>
    <xf numFmtId="0" fontId="22" fillId="0" borderId="17" xfId="6" applyFont="1" applyBorder="1" applyAlignment="1">
      <alignment horizontal="left" vertical="center" wrapText="1"/>
    </xf>
    <xf numFmtId="0" fontId="21" fillId="0" borderId="8" xfId="6" applyFont="1" applyBorder="1" applyAlignment="1">
      <alignment horizontal="center" vertical="center" wrapText="1"/>
    </xf>
    <xf numFmtId="0" fontId="22" fillId="0" borderId="4" xfId="6" applyFont="1" applyBorder="1" applyAlignment="1">
      <alignment horizontal="center" vertical="center" wrapText="1"/>
    </xf>
    <xf numFmtId="0" fontId="21" fillId="0" borderId="2" xfId="6" applyFont="1" applyBorder="1" applyAlignment="1">
      <alignment horizontal="center" vertical="center" wrapText="1"/>
    </xf>
    <xf numFmtId="0" fontId="3" fillId="0" borderId="15" xfId="15" applyBorder="1"/>
    <xf numFmtId="0" fontId="21" fillId="0" borderId="17" xfId="0" applyFont="1" applyBorder="1" applyAlignment="1">
      <alignment horizontal="center" vertical="center"/>
    </xf>
    <xf numFmtId="0" fontId="21" fillId="0" borderId="15" xfId="16" applyFont="1" applyBorder="1" applyAlignment="1">
      <alignment vertical="center" wrapText="1"/>
    </xf>
    <xf numFmtId="0" fontId="21" fillId="0" borderId="15" xfId="16" applyFont="1" applyBorder="1" applyAlignment="1">
      <alignment horizontal="center" vertical="center" wrapText="1"/>
    </xf>
    <xf numFmtId="0" fontId="21" fillId="0" borderId="15" xfId="16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2" fillId="0" borderId="23" xfId="6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24" xfId="0" applyFont="1" applyBorder="1" applyAlignment="1">
      <alignment vertical="center"/>
    </xf>
    <xf numFmtId="3" fontId="21" fillId="0" borderId="1" xfId="0" applyNumberFormat="1" applyFont="1" applyBorder="1" applyAlignment="1" applyProtection="1">
      <alignment vertical="center"/>
      <protection locked="0"/>
    </xf>
    <xf numFmtId="3" fontId="21" fillId="0" borderId="19" xfId="0" applyNumberFormat="1" applyFont="1" applyBorder="1" applyAlignment="1">
      <alignment horizontal="center" vertical="center"/>
    </xf>
    <xf numFmtId="3" fontId="21" fillId="0" borderId="15" xfId="0" applyNumberFormat="1" applyFont="1" applyBorder="1" applyAlignment="1" applyProtection="1">
      <alignment horizontal="center" vertical="center"/>
      <protection locked="0"/>
    </xf>
    <xf numFmtId="0" fontId="48" fillId="0" borderId="0" xfId="6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2" fillId="10" borderId="0" xfId="6" applyFont="1" applyFill="1" applyAlignment="1">
      <alignment horizontal="left" vertical="center"/>
    </xf>
    <xf numFmtId="0" fontId="47" fillId="0" borderId="0" xfId="6" applyAlignment="1" applyProtection="1">
      <alignment horizontal="center" vertical="center"/>
      <protection locked="0"/>
    </xf>
    <xf numFmtId="0" fontId="53" fillId="0" borderId="0" xfId="6" applyFont="1" applyProtection="1"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10" fillId="0" borderId="20" xfId="0" applyFont="1" applyBorder="1" applyAlignment="1">
      <alignment horizontal="center" vertical="center"/>
    </xf>
    <xf numFmtId="0" fontId="48" fillId="0" borderId="27" xfId="6" applyFont="1" applyBorder="1" applyAlignment="1" applyProtection="1">
      <alignment horizontal="center" vertical="center"/>
      <protection locked="0"/>
    </xf>
    <xf numFmtId="0" fontId="52" fillId="0" borderId="15" xfId="6" applyFont="1" applyBorder="1" applyAlignment="1" applyProtection="1">
      <alignment horizontal="center" vertical="center"/>
      <protection locked="0"/>
    </xf>
    <xf numFmtId="0" fontId="1" fillId="0" borderId="0" xfId="7" applyFont="1" applyAlignment="1">
      <alignment horizontal="center"/>
    </xf>
    <xf numFmtId="0" fontId="47" fillId="0" borderId="15" xfId="6" applyBorder="1" applyAlignment="1" applyProtection="1">
      <alignment horizontal="center" vertical="center"/>
      <protection locked="0"/>
    </xf>
    <xf numFmtId="14" fontId="47" fillId="0" borderId="15" xfId="6" applyNumberFormat="1" applyBorder="1" applyAlignment="1" applyProtection="1">
      <alignment horizontal="center" vertical="center"/>
      <protection locked="0"/>
    </xf>
    <xf numFmtId="3" fontId="21" fillId="0" borderId="2" xfId="6" applyNumberFormat="1" applyFont="1" applyBorder="1" applyAlignment="1">
      <alignment vertical="center"/>
    </xf>
    <xf numFmtId="0" fontId="47" fillId="0" borderId="15" xfId="6" applyBorder="1" applyProtection="1">
      <protection locked="0"/>
    </xf>
    <xf numFmtId="3" fontId="48" fillId="0" borderId="19" xfId="6" applyNumberFormat="1" applyFont="1" applyBorder="1" applyAlignment="1" applyProtection="1">
      <alignment horizontal="center" vertical="center"/>
      <protection locked="0"/>
    </xf>
    <xf numFmtId="0" fontId="22" fillId="0" borderId="5" xfId="6" applyFont="1" applyBorder="1" applyAlignment="1">
      <alignment horizontal="center" vertical="center"/>
    </xf>
    <xf numFmtId="1" fontId="21" fillId="0" borderId="13" xfId="6" applyNumberFormat="1" applyFont="1" applyBorder="1" applyAlignment="1">
      <alignment vertical="center"/>
    </xf>
    <xf numFmtId="3" fontId="21" fillId="0" borderId="6" xfId="6" applyNumberFormat="1" applyFont="1" applyBorder="1" applyAlignment="1">
      <alignment horizontal="right" vertical="center"/>
    </xf>
    <xf numFmtId="3" fontId="21" fillId="0" borderId="24" xfId="6" applyNumberFormat="1" applyFont="1" applyBorder="1" applyAlignment="1">
      <alignment horizontal="right" vertical="center"/>
    </xf>
    <xf numFmtId="3" fontId="22" fillId="0" borderId="3" xfId="6" applyNumberFormat="1" applyFont="1" applyBorder="1" applyAlignment="1">
      <alignment horizontal="right" vertical="center"/>
    </xf>
    <xf numFmtId="1" fontId="21" fillId="0" borderId="1" xfId="6" applyNumberFormat="1" applyFont="1" applyBorder="1" applyAlignment="1">
      <alignment horizontal="left" vertical="center"/>
    </xf>
    <xf numFmtId="3" fontId="22" fillId="0" borderId="1" xfId="6" applyNumberFormat="1" applyFont="1" applyBorder="1" applyAlignment="1">
      <alignment horizontal="right" vertical="center"/>
    </xf>
    <xf numFmtId="1" fontId="21" fillId="0" borderId="1" xfId="6" applyNumberFormat="1" applyFont="1" applyBorder="1" applyAlignment="1">
      <alignment horizontal="center" vertical="center"/>
    </xf>
    <xf numFmtId="0" fontId="21" fillId="0" borderId="0" xfId="6" applyFont="1" applyAlignment="1" applyProtection="1">
      <alignment horizontal="right" vertical="center"/>
      <protection locked="0"/>
    </xf>
    <xf numFmtId="165" fontId="21" fillId="0" borderId="15" xfId="10" applyNumberFormat="1" applyFont="1" applyFill="1" applyBorder="1" applyAlignment="1">
      <alignment horizontal="right" vertical="center"/>
    </xf>
    <xf numFmtId="0" fontId="21" fillId="0" borderId="27" xfId="6" applyFont="1" applyBorder="1" applyAlignment="1">
      <alignment horizontal="center" vertical="center" wrapText="1"/>
    </xf>
    <xf numFmtId="0" fontId="11" fillId="0" borderId="15" xfId="3" applyBorder="1" applyAlignment="1">
      <alignment horizontal="right" vertical="center"/>
    </xf>
    <xf numFmtId="0" fontId="77" fillId="0" borderId="19" xfId="3" applyFont="1" applyBorder="1" applyAlignment="1">
      <alignment horizontal="center" vertical="center" wrapText="1"/>
    </xf>
    <xf numFmtId="0" fontId="11" fillId="0" borderId="19" xfId="3" applyBorder="1" applyAlignment="1">
      <alignment horizontal="left" vertical="center"/>
    </xf>
    <xf numFmtId="0" fontId="77" fillId="0" borderId="19" xfId="3" applyFont="1" applyBorder="1" applyAlignment="1">
      <alignment horizontal="center" vertical="center"/>
    </xf>
    <xf numFmtId="0" fontId="11" fillId="0" borderId="19" xfId="3" applyBorder="1" applyAlignment="1">
      <alignment horizontal="right" vertical="center"/>
    </xf>
    <xf numFmtId="0" fontId="82" fillId="0" borderId="0" xfId="6" applyFont="1" applyProtection="1">
      <protection locked="0"/>
    </xf>
    <xf numFmtId="0" fontId="77" fillId="0" borderId="17" xfId="3" applyFont="1" applyBorder="1" applyAlignment="1">
      <alignment horizontal="center" vertical="center" wrapText="1"/>
    </xf>
    <xf numFmtId="0" fontId="11" fillId="0" borderId="17" xfId="3" applyBorder="1" applyAlignment="1">
      <alignment horizontal="left" vertical="center"/>
    </xf>
    <xf numFmtId="0" fontId="77" fillId="0" borderId="17" xfId="3" applyFont="1" applyBorder="1" applyAlignment="1">
      <alignment horizontal="center" vertical="center"/>
    </xf>
    <xf numFmtId="0" fontId="48" fillId="0" borderId="32" xfId="6" applyFont="1" applyBorder="1" applyAlignment="1" applyProtection="1">
      <alignment horizontal="center" vertical="center"/>
      <protection locked="0"/>
    </xf>
    <xf numFmtId="0" fontId="11" fillId="0" borderId="19" xfId="3" applyBorder="1" applyAlignment="1">
      <alignment horizontal="left" vertical="center" wrapText="1"/>
    </xf>
    <xf numFmtId="3" fontId="21" fillId="0" borderId="13" xfId="6" applyNumberFormat="1" applyFont="1" applyBorder="1" applyAlignment="1">
      <alignment horizontal="right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48" fillId="0" borderId="0" xfId="6" applyFont="1" applyProtection="1">
      <protection locked="0"/>
    </xf>
    <xf numFmtId="0" fontId="48" fillId="0" borderId="0" xfId="6" applyFont="1" applyAlignment="1" applyProtection="1">
      <alignment wrapText="1"/>
      <protection locked="0"/>
    </xf>
    <xf numFmtId="0" fontId="49" fillId="0" borderId="0" xfId="6" applyFont="1" applyAlignment="1" applyProtection="1">
      <alignment horizontal="center"/>
      <protection locked="0"/>
    </xf>
    <xf numFmtId="0" fontId="47" fillId="0" borderId="0" xfId="6" applyAlignment="1" applyProtection="1">
      <alignment horizontal="right"/>
      <protection locked="0"/>
    </xf>
    <xf numFmtId="0" fontId="48" fillId="0" borderId="30" xfId="6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>
      <alignment horizontal="center" vertical="center"/>
    </xf>
    <xf numFmtId="0" fontId="21" fillId="0" borderId="21" xfId="0" applyFont="1" applyBorder="1" applyAlignment="1" applyProtection="1">
      <alignment horizontal="center" vertical="center"/>
      <protection locked="0"/>
    </xf>
    <xf numFmtId="3" fontId="21" fillId="0" borderId="13" xfId="0" applyNumberFormat="1" applyFont="1" applyBorder="1" applyAlignment="1" applyProtection="1">
      <alignment vertical="center"/>
      <protection locked="0"/>
    </xf>
    <xf numFmtId="0" fontId="51" fillId="0" borderId="20" xfId="6" applyFont="1" applyBorder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 wrapText="1"/>
    </xf>
    <xf numFmtId="0" fontId="21" fillId="0" borderId="20" xfId="6" applyFont="1" applyBorder="1" applyAlignment="1" applyProtection="1">
      <alignment horizontal="center" vertical="center"/>
      <protection locked="0"/>
    </xf>
    <xf numFmtId="0" fontId="48" fillId="0" borderId="29" xfId="6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>
      <alignment horizontal="center" vertical="center"/>
    </xf>
    <xf numFmtId="14" fontId="48" fillId="0" borderId="22" xfId="6" applyNumberFormat="1" applyFont="1" applyBorder="1" applyAlignment="1" applyProtection="1">
      <alignment horizontal="right" vertical="center"/>
      <protection locked="0"/>
    </xf>
    <xf numFmtId="3" fontId="48" fillId="0" borderId="19" xfId="6" applyNumberFormat="1" applyFont="1" applyBorder="1" applyAlignment="1" applyProtection="1">
      <alignment vertical="center"/>
      <protection locked="0"/>
    </xf>
    <xf numFmtId="3" fontId="83" fillId="0" borderId="19" xfId="6" applyNumberFormat="1" applyFont="1" applyBorder="1" applyAlignment="1" applyProtection="1">
      <alignment vertical="center"/>
      <protection locked="0"/>
    </xf>
    <xf numFmtId="14" fontId="48" fillId="0" borderId="15" xfId="6" applyNumberFormat="1" applyFont="1" applyBorder="1" applyAlignment="1" applyProtection="1">
      <alignment horizontal="right" vertical="center"/>
      <protection locked="0"/>
    </xf>
    <xf numFmtId="0" fontId="47" fillId="0" borderId="15" xfId="6" applyBorder="1" applyAlignment="1" applyProtection="1">
      <alignment horizontal="center"/>
      <protection locked="0"/>
    </xf>
    <xf numFmtId="14" fontId="48" fillId="0" borderId="0" xfId="6" applyNumberFormat="1" applyFont="1" applyAlignment="1" applyProtection="1">
      <alignment horizontal="center" vertical="center"/>
      <protection locked="0"/>
    </xf>
    <xf numFmtId="14" fontId="10" fillId="0" borderId="15" xfId="0" applyNumberFormat="1" applyFont="1" applyBorder="1" applyAlignment="1">
      <alignment horizontal="center" vertical="center"/>
    </xf>
    <xf numFmtId="3" fontId="0" fillId="0" borderId="15" xfId="0" applyNumberFormat="1" applyBorder="1" applyAlignment="1" applyProtection="1">
      <alignment vertical="center"/>
      <protection locked="0"/>
    </xf>
    <xf numFmtId="0" fontId="47" fillId="0" borderId="15" xfId="0" quotePrefix="1" applyFont="1" applyBorder="1" applyAlignment="1" applyProtection="1">
      <alignment horizontal="center" vertical="center"/>
      <protection locked="0"/>
    </xf>
    <xf numFmtId="0" fontId="49" fillId="0" borderId="34" xfId="0" quotePrefix="1" applyFont="1" applyBorder="1" applyAlignment="1">
      <alignment horizontal="center" vertical="center" wrapText="1"/>
    </xf>
    <xf numFmtId="0" fontId="49" fillId="0" borderId="15" xfId="0" quotePrefix="1" applyFont="1" applyBorder="1" applyAlignment="1">
      <alignment horizontal="center" vertical="center"/>
    </xf>
    <xf numFmtId="3" fontId="48" fillId="0" borderId="0" xfId="6" applyNumberFormat="1" applyFont="1" applyAlignment="1" applyProtection="1">
      <alignment vertical="center"/>
      <protection locked="0"/>
    </xf>
    <xf numFmtId="0" fontId="47" fillId="0" borderId="0" xfId="6" applyAlignment="1" applyProtection="1">
      <alignment vertical="center"/>
      <protection locked="0"/>
    </xf>
    <xf numFmtId="0" fontId="55" fillId="0" borderId="15" xfId="0" applyFont="1" applyBorder="1" applyAlignment="1" applyProtection="1">
      <alignment horizontal="center" vertical="center" wrapText="1"/>
      <protection locked="0"/>
    </xf>
    <xf numFmtId="3" fontId="0" fillId="0" borderId="15" xfId="0" applyNumberFormat="1" applyBorder="1" applyProtection="1">
      <protection locked="0"/>
    </xf>
    <xf numFmtId="0" fontId="0" fillId="0" borderId="15" xfId="0" applyBorder="1" applyAlignment="1" applyProtection="1">
      <alignment horizontal="right"/>
      <protection locked="0"/>
    </xf>
    <xf numFmtId="3" fontId="0" fillId="0" borderId="15" xfId="0" applyNumberFormat="1" applyBorder="1" applyAlignment="1" applyProtection="1">
      <alignment horizontal="right"/>
      <protection locked="0"/>
    </xf>
    <xf numFmtId="0" fontId="81" fillId="0" borderId="0" xfId="0" applyFont="1" applyAlignment="1">
      <alignment horizontal="center" vertical="center"/>
    </xf>
    <xf numFmtId="0" fontId="47" fillId="0" borderId="0" xfId="0" applyFont="1" applyAlignment="1">
      <alignment horizontal="right"/>
    </xf>
    <xf numFmtId="0" fontId="55" fillId="0" borderId="0" xfId="0" applyFont="1" applyAlignment="1">
      <alignment horizontal="right"/>
    </xf>
    <xf numFmtId="3" fontId="104" fillId="11" borderId="15" xfId="0" applyNumberFormat="1" applyFont="1" applyFill="1" applyBorder="1" applyAlignment="1">
      <alignment vertical="center"/>
    </xf>
    <xf numFmtId="0" fontId="6" fillId="4" borderId="0" xfId="7" applyFill="1"/>
    <xf numFmtId="3" fontId="105" fillId="0" borderId="0" xfId="0" applyNumberFormat="1" applyFont="1"/>
    <xf numFmtId="0" fontId="105" fillId="0" borderId="0" xfId="0" applyFont="1"/>
    <xf numFmtId="165" fontId="21" fillId="0" borderId="15" xfId="10" applyNumberFormat="1" applyFont="1" applyFill="1" applyBorder="1" applyAlignment="1" applyProtection="1">
      <alignment vertical="center"/>
      <protection locked="0"/>
    </xf>
    <xf numFmtId="0" fontId="9" fillId="0" borderId="24" xfId="6" applyFont="1" applyBorder="1" applyAlignment="1" applyProtection="1">
      <alignment horizontal="right" vertical="center" wrapText="1"/>
      <protection locked="0"/>
    </xf>
    <xf numFmtId="0" fontId="52" fillId="0" borderId="15" xfId="6" applyFont="1" applyBorder="1" applyAlignment="1" applyProtection="1">
      <alignment horizontal="right" vertical="center"/>
      <protection locked="0"/>
    </xf>
    <xf numFmtId="0" fontId="0" fillId="0" borderId="15" xfId="0" applyBorder="1" applyAlignment="1" applyProtection="1">
      <alignment horizontal="right" vertical="center"/>
      <protection locked="0"/>
    </xf>
    <xf numFmtId="0" fontId="10" fillId="0" borderId="15" xfId="0" applyFont="1" applyBorder="1" applyAlignment="1">
      <alignment horizontal="right" vertical="center"/>
    </xf>
    <xf numFmtId="0" fontId="48" fillId="0" borderId="0" xfId="6" applyFont="1" applyAlignment="1" applyProtection="1">
      <alignment horizontal="right"/>
      <protection locked="0"/>
    </xf>
    <xf numFmtId="0" fontId="56" fillId="0" borderId="15" xfId="0" applyFont="1" applyBorder="1" applyAlignment="1" applyProtection="1">
      <alignment horizontal="right" vertical="center"/>
      <protection locked="0"/>
    </xf>
    <xf numFmtId="3" fontId="56" fillId="0" borderId="15" xfId="0" applyNumberFormat="1" applyFont="1" applyBorder="1" applyAlignment="1" applyProtection="1">
      <alignment vertical="center"/>
      <protection locked="0"/>
    </xf>
    <xf numFmtId="3" fontId="55" fillId="0" borderId="0" xfId="0" applyNumberFormat="1" applyFont="1" applyProtection="1">
      <protection locked="0"/>
    </xf>
    <xf numFmtId="3" fontId="78" fillId="0" borderId="0" xfId="0" applyNumberFormat="1" applyFont="1" applyAlignment="1" applyProtection="1">
      <alignment vertical="center"/>
      <protection locked="0"/>
    </xf>
    <xf numFmtId="3" fontId="78" fillId="0" borderId="15" xfId="0" applyNumberFormat="1" applyFont="1" applyBorder="1" applyAlignment="1">
      <alignment vertical="center"/>
    </xf>
    <xf numFmtId="3" fontId="56" fillId="0" borderId="0" xfId="0" applyNumberFormat="1" applyFont="1" applyAlignment="1">
      <alignment horizontal="center"/>
    </xf>
    <xf numFmtId="3" fontId="79" fillId="0" borderId="15" xfId="0" applyNumberFormat="1" applyFont="1" applyBorder="1" applyAlignment="1" applyProtection="1">
      <alignment horizontal="center" vertical="center"/>
      <protection locked="0"/>
    </xf>
    <xf numFmtId="3" fontId="79" fillId="0" borderId="15" xfId="0" applyNumberFormat="1" applyFont="1" applyBorder="1" applyAlignment="1">
      <alignment horizontal="center" vertical="center"/>
    </xf>
    <xf numFmtId="3" fontId="55" fillId="0" borderId="0" xfId="0" applyNumberFormat="1" applyFont="1" applyAlignment="1" applyProtection="1">
      <alignment horizontal="right"/>
      <protection locked="0"/>
    </xf>
    <xf numFmtId="0" fontId="55" fillId="0" borderId="0" xfId="0" applyFont="1" applyAlignment="1" applyProtection="1">
      <alignment horizontal="right"/>
      <protection locked="0"/>
    </xf>
    <xf numFmtId="0" fontId="55" fillId="0" borderId="0" xfId="0" applyFont="1" applyAlignment="1" applyProtection="1">
      <alignment horizontal="center"/>
      <protection locked="0"/>
    </xf>
    <xf numFmtId="2" fontId="47" fillId="0" borderId="0" xfId="0" applyNumberFormat="1" applyFont="1" applyAlignment="1" applyProtection="1">
      <alignment horizontal="right" vertical="center"/>
      <protection locked="0"/>
    </xf>
    <xf numFmtId="2" fontId="55" fillId="0" borderId="0" xfId="0" applyNumberFormat="1" applyFont="1" applyAlignment="1" applyProtection="1">
      <alignment horizontal="right" vertical="center"/>
      <protection locked="0"/>
    </xf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vertical="center"/>
    </xf>
    <xf numFmtId="0" fontId="108" fillId="0" borderId="15" xfId="6" applyFont="1" applyBorder="1" applyAlignment="1">
      <alignment horizontal="center" vertical="center" wrapText="1"/>
    </xf>
    <xf numFmtId="0" fontId="109" fillId="0" borderId="23" xfId="6" applyFont="1" applyBorder="1" applyAlignment="1">
      <alignment horizontal="left" vertical="center" wrapText="1"/>
    </xf>
    <xf numFmtId="0" fontId="108" fillId="0" borderId="15" xfId="6" applyFont="1" applyBorder="1" applyAlignment="1">
      <alignment horizontal="right" vertical="center" wrapText="1"/>
    </xf>
    <xf numFmtId="3" fontId="108" fillId="0" borderId="15" xfId="6" applyNumberFormat="1" applyFont="1" applyBorder="1" applyAlignment="1">
      <alignment horizontal="right" vertical="center" wrapText="1"/>
    </xf>
    <xf numFmtId="0" fontId="108" fillId="0" borderId="15" xfId="6" applyFont="1" applyBorder="1" applyAlignment="1">
      <alignment horizontal="left" vertical="center" wrapText="1"/>
    </xf>
    <xf numFmtId="0" fontId="108" fillId="0" borderId="15" xfId="6" applyFont="1" applyBorder="1" applyAlignment="1" applyProtection="1">
      <alignment horizontal="center" vertical="center" wrapText="1"/>
      <protection locked="0"/>
    </xf>
    <xf numFmtId="0" fontId="110" fillId="0" borderId="0" xfId="6" applyFont="1" applyAlignment="1" applyProtection="1">
      <alignment horizontal="center" vertical="center"/>
      <protection locked="0"/>
    </xf>
    <xf numFmtId="0" fontId="111" fillId="0" borderId="0" xfId="6" applyFont="1" applyProtection="1">
      <protection locked="0"/>
    </xf>
    <xf numFmtId="0" fontId="110" fillId="0" borderId="15" xfId="6" applyFont="1" applyBorder="1" applyAlignment="1" applyProtection="1">
      <alignment horizontal="center" vertical="center"/>
      <protection locked="0"/>
    </xf>
    <xf numFmtId="0" fontId="110" fillId="0" borderId="15" xfId="6" applyFont="1" applyBorder="1" applyAlignment="1" applyProtection="1">
      <alignment vertical="center"/>
      <protection locked="0"/>
    </xf>
    <xf numFmtId="0" fontId="47" fillId="0" borderId="15" xfId="0" applyFont="1" applyBorder="1" applyAlignment="1" applyProtection="1">
      <alignment horizontal="center"/>
      <protection locked="0"/>
    </xf>
    <xf numFmtId="0" fontId="47" fillId="0" borderId="15" xfId="6" quotePrefix="1" applyBorder="1" applyAlignment="1" applyProtection="1">
      <alignment vertical="center"/>
      <protection locked="0"/>
    </xf>
    <xf numFmtId="3" fontId="79" fillId="0" borderId="0" xfId="0" applyNumberFormat="1" applyFont="1" applyAlignment="1">
      <alignment horizontal="right" vertical="center"/>
    </xf>
    <xf numFmtId="0" fontId="81" fillId="0" borderId="0" xfId="0" quotePrefix="1" applyFont="1" applyAlignment="1">
      <alignment horizontal="center" vertical="center"/>
    </xf>
    <xf numFmtId="0" fontId="22" fillId="0" borderId="6" xfId="6" applyFont="1" applyBorder="1" applyAlignment="1">
      <alignment horizontal="right" vertical="center"/>
    </xf>
    <xf numFmtId="0" fontId="22" fillId="0" borderId="13" xfId="6" applyFont="1" applyBorder="1" applyAlignment="1">
      <alignment horizontal="right" vertical="center"/>
    </xf>
    <xf numFmtId="0" fontId="22" fillId="0" borderId="19" xfId="6" applyFont="1" applyBorder="1" applyAlignment="1">
      <alignment horizontal="right" vertical="center" wrapText="1"/>
    </xf>
    <xf numFmtId="0" fontId="21" fillId="0" borderId="15" xfId="11" applyFont="1" applyBorder="1" applyAlignment="1">
      <alignment horizontal="right" vertical="center" wrapText="1"/>
    </xf>
    <xf numFmtId="0" fontId="21" fillId="0" borderId="13" xfId="0" applyFont="1" applyBorder="1" applyAlignment="1">
      <alignment horizontal="right" vertical="center"/>
    </xf>
    <xf numFmtId="3" fontId="21" fillId="0" borderId="1" xfId="0" applyNumberFormat="1" applyFont="1" applyBorder="1" applyAlignment="1" applyProtection="1">
      <alignment horizontal="right" vertical="center"/>
      <protection locked="0"/>
    </xf>
    <xf numFmtId="3" fontId="21" fillId="0" borderId="3" xfId="0" applyNumberFormat="1" applyFont="1" applyBorder="1" applyAlignment="1" applyProtection="1">
      <alignment horizontal="right" vertical="center"/>
      <protection locked="0"/>
    </xf>
    <xf numFmtId="3" fontId="21" fillId="0" borderId="5" xfId="0" applyNumberFormat="1" applyFont="1" applyBorder="1" applyAlignment="1" applyProtection="1">
      <alignment horizontal="right" vertical="center"/>
      <protection locked="0"/>
    </xf>
    <xf numFmtId="0" fontId="48" fillId="4" borderId="0" xfId="6" applyFont="1" applyFill="1" applyAlignment="1" applyProtection="1">
      <alignment horizontal="center" vertical="center"/>
      <protection locked="0"/>
    </xf>
    <xf numFmtId="0" fontId="47" fillId="4" borderId="0" xfId="6" applyFill="1" applyProtection="1">
      <protection locked="0"/>
    </xf>
    <xf numFmtId="0" fontId="107" fillId="0" borderId="0" xfId="0" applyFont="1" applyAlignment="1" applyProtection="1">
      <alignment horizontal="center" vertical="center"/>
      <protection locked="0"/>
    </xf>
    <xf numFmtId="3" fontId="21" fillId="0" borderId="15" xfId="0" applyNumberFormat="1" applyFont="1" applyBorder="1" applyAlignment="1" applyProtection="1">
      <alignment horizontal="right" vertical="center"/>
      <protection locked="0"/>
    </xf>
    <xf numFmtId="0" fontId="21" fillId="0" borderId="0" xfId="0" applyFont="1" applyAlignment="1">
      <alignment horizontal="center" vertical="center"/>
    </xf>
    <xf numFmtId="0" fontId="21" fillId="0" borderId="26" xfId="6" applyFont="1" applyBorder="1" applyAlignment="1">
      <alignment horizontal="center" vertical="center" wrapText="1"/>
    </xf>
    <xf numFmtId="0" fontId="3" fillId="0" borderId="17" xfId="15" applyBorder="1" applyAlignment="1">
      <alignment vertical="center"/>
    </xf>
    <xf numFmtId="0" fontId="3" fillId="0" borderId="15" xfId="15" applyBorder="1" applyAlignment="1">
      <alignment vertical="center"/>
    </xf>
    <xf numFmtId="0" fontId="102" fillId="0" borderId="19" xfId="0" applyFont="1" applyBorder="1" applyAlignment="1">
      <alignment vertical="center"/>
    </xf>
    <xf numFmtId="0" fontId="1" fillId="0" borderId="0" xfId="8" applyFont="1" applyAlignment="1" applyProtection="1">
      <alignment vertical="center"/>
      <protection locked="0"/>
    </xf>
    <xf numFmtId="0" fontId="38" fillId="0" borderId="0" xfId="3" applyFont="1" applyAlignment="1">
      <alignment horizontal="left"/>
    </xf>
    <xf numFmtId="0" fontId="9" fillId="0" borderId="0" xfId="3" applyFont="1" applyAlignment="1">
      <alignment horizontal="left" vertical="center"/>
    </xf>
    <xf numFmtId="0" fontId="11" fillId="0" borderId="15" xfId="3" applyBorder="1" applyAlignment="1">
      <alignment horizontal="center" vertical="center" wrapText="1"/>
    </xf>
    <xf numFmtId="0" fontId="11" fillId="0" borderId="15" xfId="3" applyBorder="1" applyAlignment="1">
      <alignment horizontal="center" vertical="center"/>
    </xf>
    <xf numFmtId="0" fontId="11" fillId="0" borderId="20" xfId="3" applyBorder="1" applyAlignment="1">
      <alignment horizontal="center" vertical="center" wrapText="1"/>
    </xf>
    <xf numFmtId="0" fontId="11" fillId="0" borderId="21" xfId="3" applyBorder="1" applyAlignment="1">
      <alignment horizontal="center" vertical="center" wrapText="1"/>
    </xf>
    <xf numFmtId="0" fontId="11" fillId="0" borderId="19" xfId="3" applyBorder="1" applyAlignment="1">
      <alignment horizontal="center" vertical="center" wrapText="1"/>
    </xf>
    <xf numFmtId="0" fontId="11" fillId="0" borderId="17" xfId="3" applyBorder="1" applyAlignment="1">
      <alignment horizontal="center" vertical="center" wrapText="1"/>
    </xf>
    <xf numFmtId="0" fontId="26" fillId="0" borderId="0" xfId="3" applyFont="1" applyAlignment="1">
      <alignment horizontal="left" wrapText="1"/>
    </xf>
    <xf numFmtId="0" fontId="26" fillId="0" borderId="0" xfId="3" applyFont="1" applyAlignment="1">
      <alignment horizontal="center" vertical="center"/>
    </xf>
    <xf numFmtId="0" fontId="37" fillId="0" borderId="0" xfId="3" applyFont="1" applyAlignment="1">
      <alignment horizontal="left" vertical="center"/>
    </xf>
    <xf numFmtId="0" fontId="54" fillId="0" borderId="15" xfId="0" applyFont="1" applyBorder="1" applyAlignment="1">
      <alignment horizontal="center" vertical="center" wrapText="1"/>
    </xf>
    <xf numFmtId="0" fontId="55" fillId="0" borderId="0" xfId="0" applyFont="1" applyAlignment="1" applyProtection="1">
      <alignment horizontal="center" vertical="center"/>
      <protection locked="0"/>
    </xf>
    <xf numFmtId="0" fontId="19" fillId="0" borderId="0" xfId="6" applyFont="1" applyAlignment="1">
      <alignment horizontal="center" vertical="center"/>
    </xf>
    <xf numFmtId="0" fontId="19" fillId="0" borderId="0" xfId="6" applyFont="1" applyAlignment="1">
      <alignment horizontal="right" vertical="center"/>
    </xf>
    <xf numFmtId="0" fontId="19" fillId="0" borderId="0" xfId="6" applyFont="1" applyAlignment="1">
      <alignment vertical="center"/>
    </xf>
    <xf numFmtId="0" fontId="19" fillId="0" borderId="10" xfId="6" applyFont="1" applyBorder="1" applyAlignment="1">
      <alignment horizontal="center" vertical="center"/>
    </xf>
    <xf numFmtId="0" fontId="19" fillId="0" borderId="10" xfId="6" applyFont="1" applyBorder="1" applyAlignment="1">
      <alignment horizontal="right" vertical="center"/>
    </xf>
    <xf numFmtId="0" fontId="19" fillId="0" borderId="10" xfId="6" applyFont="1" applyBorder="1" applyAlignment="1">
      <alignment vertical="center"/>
    </xf>
    <xf numFmtId="0" fontId="0" fillId="0" borderId="15" xfId="0" applyBorder="1" applyAlignment="1" applyProtection="1">
      <alignment horizontal="center" wrapText="1"/>
      <protection locked="0"/>
    </xf>
    <xf numFmtId="0" fontId="47" fillId="0" borderId="15" xfId="0" applyFont="1" applyBorder="1" applyAlignment="1" applyProtection="1">
      <alignment horizontal="center" vertical="center"/>
      <protection locked="0"/>
    </xf>
    <xf numFmtId="3" fontId="104" fillId="11" borderId="21" xfId="0" applyNumberFormat="1" applyFont="1" applyFill="1" applyBorder="1" applyAlignment="1">
      <alignment horizontal="center" vertical="center"/>
    </xf>
    <xf numFmtId="3" fontId="104" fillId="11" borderId="15" xfId="0" applyNumberFormat="1" applyFont="1" applyFill="1" applyBorder="1" applyAlignment="1">
      <alignment horizontal="center" vertical="center"/>
    </xf>
    <xf numFmtId="0" fontId="79" fillId="0" borderId="15" xfId="0" applyFont="1" applyBorder="1" applyAlignment="1" applyProtection="1">
      <alignment horizontal="left" vertical="center" wrapText="1"/>
      <protection locked="0"/>
    </xf>
    <xf numFmtId="3" fontId="78" fillId="0" borderId="0" xfId="0" applyNumberFormat="1" applyFont="1" applyAlignment="1">
      <alignment horizontal="left" vertical="center" wrapText="1"/>
    </xf>
    <xf numFmtId="3" fontId="112" fillId="0" borderId="0" xfId="0" applyNumberFormat="1" applyFont="1" applyAlignment="1">
      <alignment horizontal="left" vertical="center" wrapText="1"/>
    </xf>
    <xf numFmtId="0" fontId="79" fillId="0" borderId="15" xfId="0" applyFont="1" applyBorder="1" applyAlignment="1" applyProtection="1">
      <alignment horizontal="left" vertical="center"/>
      <protection locked="0"/>
    </xf>
    <xf numFmtId="0" fontId="78" fillId="0" borderId="0" xfId="0" applyFont="1" applyAlignment="1" applyProtection="1">
      <alignment horizontal="right" vertical="center"/>
      <protection locked="0"/>
    </xf>
    <xf numFmtId="0" fontId="21" fillId="0" borderId="0" xfId="7" applyFont="1" applyAlignment="1">
      <alignment horizontal="center" vertical="center"/>
    </xf>
    <xf numFmtId="2" fontId="63" fillId="0" borderId="29" xfId="8" applyNumberFormat="1" applyFont="1" applyBorder="1" applyAlignment="1">
      <alignment horizontal="center" vertical="center"/>
    </xf>
    <xf numFmtId="0" fontId="72" fillId="0" borderId="20" xfId="9" applyFont="1" applyBorder="1" applyAlignment="1" applyProtection="1">
      <alignment horizontal="left" vertical="center"/>
      <protection locked="0"/>
    </xf>
    <xf numFmtId="0" fontId="72" fillId="0" borderId="21" xfId="9" applyFont="1" applyBorder="1" applyAlignment="1" applyProtection="1">
      <alignment horizontal="left" vertical="center"/>
      <protection locked="0"/>
    </xf>
    <xf numFmtId="0" fontId="72" fillId="0" borderId="20" xfId="9" applyFont="1" applyBorder="1" applyAlignment="1" applyProtection="1">
      <alignment horizontal="left" vertical="center" wrapText="1"/>
      <protection locked="0"/>
    </xf>
    <xf numFmtId="0" fontId="72" fillId="0" borderId="21" xfId="9" applyFont="1" applyBorder="1" applyAlignment="1" applyProtection="1">
      <alignment horizontal="left" vertical="center" wrapText="1"/>
      <protection locked="0"/>
    </xf>
    <xf numFmtId="2" fontId="72" fillId="0" borderId="15" xfId="8" applyNumberFormat="1" applyFont="1" applyBorder="1" applyAlignment="1" applyProtection="1">
      <alignment horizontal="right" vertical="center"/>
      <protection locked="0"/>
    </xf>
    <xf numFmtId="0" fontId="65" fillId="0" borderId="15" xfId="9" applyFont="1" applyBorder="1" applyAlignment="1" applyProtection="1">
      <alignment horizontal="left" vertical="center"/>
      <protection locked="0"/>
    </xf>
    <xf numFmtId="2" fontId="65" fillId="0" borderId="15" xfId="8" applyNumberFormat="1" applyFont="1" applyBorder="1" applyAlignment="1" applyProtection="1">
      <alignment horizontal="left" vertical="center" wrapText="1"/>
      <protection locked="0"/>
    </xf>
    <xf numFmtId="2" fontId="65" fillId="0" borderId="32" xfId="8" applyNumberFormat="1" applyFont="1" applyBorder="1" applyAlignment="1" applyProtection="1">
      <alignment horizontal="right" vertical="center"/>
      <protection locked="0"/>
    </xf>
    <xf numFmtId="2" fontId="65" fillId="0" borderId="30" xfId="8" applyNumberFormat="1" applyFont="1" applyBorder="1" applyAlignment="1" applyProtection="1">
      <alignment horizontal="right" vertical="center"/>
      <protection locked="0"/>
    </xf>
    <xf numFmtId="0" fontId="71" fillId="0" borderId="17" xfId="8" applyFont="1" applyBorder="1" applyAlignment="1" applyProtection="1">
      <alignment horizontal="center" vertical="center"/>
      <protection locked="0"/>
    </xf>
    <xf numFmtId="0" fontId="72" fillId="0" borderId="15" xfId="8" applyFont="1" applyBorder="1" applyAlignment="1" applyProtection="1">
      <alignment horizontal="center" vertical="center"/>
      <protection locked="0"/>
    </xf>
    <xf numFmtId="0" fontId="65" fillId="0" borderId="20" xfId="9" applyFont="1" applyBorder="1" applyAlignment="1" applyProtection="1">
      <alignment horizontal="left" vertical="center"/>
      <protection locked="0"/>
    </xf>
    <xf numFmtId="0" fontId="65" fillId="0" borderId="21" xfId="9" applyFont="1" applyBorder="1" applyAlignment="1" applyProtection="1">
      <alignment horizontal="left" vertical="center"/>
      <protection locked="0"/>
    </xf>
    <xf numFmtId="2" fontId="65" fillId="0" borderId="15" xfId="8" applyNumberFormat="1" applyFont="1" applyBorder="1" applyAlignment="1" applyProtection="1">
      <alignment horizontal="left" vertical="center"/>
      <protection locked="0"/>
    </xf>
    <xf numFmtId="0" fontId="65" fillId="0" borderId="27" xfId="9" applyFont="1" applyBorder="1" applyAlignment="1" applyProtection="1">
      <alignment horizontal="left" vertical="center"/>
      <protection locked="0"/>
    </xf>
    <xf numFmtId="0" fontId="65" fillId="0" borderId="26" xfId="9" applyFont="1" applyBorder="1" applyAlignment="1" applyProtection="1">
      <alignment horizontal="left" vertical="center"/>
      <protection locked="0"/>
    </xf>
    <xf numFmtId="2" fontId="65" fillId="0" borderId="19" xfId="8" applyNumberFormat="1" applyFont="1" applyBorder="1" applyAlignment="1" applyProtection="1">
      <alignment horizontal="left" vertical="center"/>
      <protection locked="0"/>
    </xf>
    <xf numFmtId="0" fontId="62" fillId="0" borderId="15" xfId="8" applyFont="1" applyBorder="1" applyAlignment="1">
      <alignment horizontal="center" vertical="center" wrapText="1"/>
    </xf>
    <xf numFmtId="0" fontId="62" fillId="0" borderId="20" xfId="8" applyFont="1" applyBorder="1" applyAlignment="1">
      <alignment horizontal="center" vertical="center" wrapText="1"/>
    </xf>
    <xf numFmtId="14" fontId="63" fillId="0" borderId="20" xfId="8" applyNumberFormat="1" applyFont="1" applyBorder="1" applyAlignment="1">
      <alignment horizontal="right" vertical="center" wrapText="1"/>
    </xf>
    <xf numFmtId="14" fontId="63" fillId="0" borderId="29" xfId="8" applyNumberFormat="1" applyFont="1" applyBorder="1" applyAlignment="1">
      <alignment horizontal="right" vertical="center" wrapText="1"/>
    </xf>
    <xf numFmtId="14" fontId="62" fillId="0" borderId="20" xfId="8" applyNumberFormat="1" applyFont="1" applyBorder="1" applyAlignment="1">
      <alignment horizontal="left" vertical="center"/>
    </xf>
    <xf numFmtId="14" fontId="62" fillId="0" borderId="29" xfId="8" applyNumberFormat="1" applyFont="1" applyBorder="1" applyAlignment="1">
      <alignment horizontal="left" vertical="center"/>
    </xf>
    <xf numFmtId="14" fontId="62" fillId="0" borderId="15" xfId="8" applyNumberFormat="1" applyFont="1" applyBorder="1" applyAlignment="1">
      <alignment horizontal="right" vertical="center"/>
    </xf>
    <xf numFmtId="14" fontId="62" fillId="0" borderId="20" xfId="8" applyNumberFormat="1" applyFont="1" applyBorder="1" applyAlignment="1">
      <alignment horizontal="right" vertical="center"/>
    </xf>
    <xf numFmtId="0" fontId="65" fillId="0" borderId="16" xfId="8" applyFont="1" applyBorder="1" applyAlignment="1" applyProtection="1">
      <alignment horizontal="left" vertical="center"/>
      <protection locked="0"/>
    </xf>
    <xf numFmtId="0" fontId="65" fillId="0" borderId="30" xfId="8" applyFont="1" applyBorder="1" applyAlignment="1" applyProtection="1">
      <alignment horizontal="left" vertical="center"/>
      <protection locked="0"/>
    </xf>
    <xf numFmtId="0" fontId="65" fillId="0" borderId="20" xfId="8" applyFont="1" applyBorder="1" applyAlignment="1" applyProtection="1">
      <alignment horizontal="center" vertical="center"/>
      <protection locked="0"/>
    </xf>
    <xf numFmtId="0" fontId="65" fillId="0" borderId="29" xfId="8" applyFont="1" applyBorder="1" applyAlignment="1" applyProtection="1">
      <alignment horizontal="center" vertical="center"/>
      <protection locked="0"/>
    </xf>
    <xf numFmtId="0" fontId="65" fillId="0" borderId="21" xfId="8" applyFont="1" applyBorder="1" applyAlignment="1" applyProtection="1">
      <alignment horizontal="center" vertical="center"/>
      <protection locked="0"/>
    </xf>
    <xf numFmtId="0" fontId="63" fillId="0" borderId="29" xfId="8" applyFont="1" applyBorder="1" applyAlignment="1">
      <alignment horizontal="center" vertical="center"/>
    </xf>
    <xf numFmtId="14" fontId="62" fillId="0" borderId="20" xfId="8" applyNumberFormat="1" applyFont="1" applyBorder="1" applyAlignment="1">
      <alignment horizontal="center" vertical="center"/>
    </xf>
    <xf numFmtId="14" fontId="62" fillId="0" borderId="29" xfId="8" applyNumberFormat="1" applyFont="1" applyBorder="1" applyAlignment="1">
      <alignment horizontal="center" vertical="center"/>
    </xf>
    <xf numFmtId="0" fontId="62" fillId="0" borderId="25" xfId="8" applyFont="1" applyBorder="1" applyAlignment="1">
      <alignment horizontal="center" vertical="center" wrapText="1"/>
    </xf>
    <xf numFmtId="0" fontId="62" fillId="0" borderId="0" xfId="8" applyFont="1" applyAlignment="1">
      <alignment horizontal="center" vertical="center" wrapText="1"/>
    </xf>
    <xf numFmtId="0" fontId="62" fillId="0" borderId="15" xfId="8" applyFont="1" applyBorder="1" applyAlignment="1">
      <alignment horizontal="right" vertical="center" wrapText="1"/>
    </xf>
    <xf numFmtId="0" fontId="61" fillId="0" borderId="20" xfId="8" applyBorder="1" applyAlignment="1">
      <alignment horizontal="right"/>
    </xf>
    <xf numFmtId="0" fontId="62" fillId="0" borderId="21" xfId="8" applyFont="1" applyBorder="1" applyAlignment="1">
      <alignment horizontal="center" vertical="center"/>
    </xf>
    <xf numFmtId="0" fontId="61" fillId="0" borderId="20" xfId="8" applyBorder="1" applyAlignment="1"/>
    <xf numFmtId="0" fontId="62" fillId="0" borderId="21" xfId="8" applyFont="1" applyBorder="1" applyAlignment="1">
      <alignment horizontal="center" vertical="center" wrapText="1"/>
    </xf>
    <xf numFmtId="0" fontId="61" fillId="0" borderId="20" xfId="8" applyBorder="1" applyAlignment="1">
      <alignment horizontal="center" wrapText="1"/>
    </xf>
    <xf numFmtId="0" fontId="62" fillId="0" borderId="26" xfId="8" applyFont="1" applyBorder="1" applyAlignment="1">
      <alignment horizontal="center" vertical="center"/>
    </xf>
    <xf numFmtId="0" fontId="62" fillId="0" borderId="27" xfId="8" applyFont="1" applyBorder="1" applyAlignment="1">
      <alignment horizontal="center" vertical="center"/>
    </xf>
    <xf numFmtId="0" fontId="62" fillId="0" borderId="28" xfId="8" applyFont="1" applyBorder="1" applyAlignment="1">
      <alignment horizontal="center" vertical="center"/>
    </xf>
    <xf numFmtId="0" fontId="88" fillId="0" borderId="33" xfId="19" applyFont="1" applyBorder="1" applyAlignment="1">
      <alignment horizontal="center" vertical="center" wrapText="1"/>
    </xf>
    <xf numFmtId="0" fontId="88" fillId="0" borderId="0" xfId="19" applyFont="1" applyAlignment="1">
      <alignment horizontal="center" vertical="center" wrapText="1"/>
    </xf>
    <xf numFmtId="0" fontId="88" fillId="0" borderId="8" xfId="19" applyFont="1" applyBorder="1" applyAlignment="1">
      <alignment horizontal="center" vertical="center" wrapText="1"/>
    </xf>
    <xf numFmtId="0" fontId="88" fillId="0" borderId="10" xfId="19" applyFont="1" applyBorder="1" applyAlignment="1">
      <alignment horizontal="center" vertical="center" wrapText="1"/>
    </xf>
    <xf numFmtId="0" fontId="88" fillId="0" borderId="23" xfId="19" applyFont="1" applyBorder="1" applyAlignment="1">
      <alignment horizontal="center" vertical="center" wrapText="1"/>
    </xf>
    <xf numFmtId="0" fontId="97" fillId="0" borderId="15" xfId="19" applyFont="1" applyBorder="1" applyAlignment="1">
      <alignment horizontal="right" vertical="center" wrapText="1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5" fillId="0" borderId="0" xfId="0" applyFont="1" applyAlignment="1" applyProtection="1">
      <alignment horizontal="center" vertical="center" wrapText="1"/>
      <protection locked="0"/>
    </xf>
    <xf numFmtId="0" fontId="26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9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/>
    <xf numFmtId="0" fontId="32" fillId="0" borderId="0" xfId="1" applyFont="1" applyAlignment="1">
      <alignment horizontal="center" vertical="center"/>
    </xf>
    <xf numFmtId="0" fontId="33" fillId="0" borderId="0" xfId="1" applyFont="1" applyAlignment="1">
      <alignment horizontal="left" wrapText="1"/>
    </xf>
    <xf numFmtId="0" fontId="26" fillId="0" borderId="0" xfId="1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/>
    <xf numFmtId="0" fontId="14" fillId="0" borderId="0" xfId="0" applyFont="1" applyAlignment="1">
      <alignment horizontal="left" vertical="center" wrapText="1"/>
    </xf>
    <xf numFmtId="0" fontId="26" fillId="3" borderId="15" xfId="1" applyFont="1" applyFill="1" applyBorder="1" applyAlignment="1">
      <alignment horizontal="center" vertical="center"/>
    </xf>
    <xf numFmtId="0" fontId="26" fillId="0" borderId="18" xfId="1" applyFont="1" applyBorder="1" applyAlignment="1">
      <alignment horizontal="center" vertical="center" wrapText="1"/>
    </xf>
    <xf numFmtId="0" fontId="35" fillId="3" borderId="0" xfId="1" applyFont="1" applyFill="1" applyAlignment="1">
      <alignment horizontal="center" vertical="center"/>
    </xf>
    <xf numFmtId="0" fontId="13" fillId="0" borderId="0" xfId="1" applyFont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0" fontId="40" fillId="0" borderId="18" xfId="1" applyFont="1" applyBorder="1" applyAlignment="1">
      <alignment horizontal="center" vertical="center" wrapText="1"/>
    </xf>
    <xf numFmtId="0" fontId="45" fillId="0" borderId="0" xfId="1" applyFont="1" applyAlignment="1">
      <alignment horizontal="center" vertical="center"/>
    </xf>
    <xf numFmtId="0" fontId="41" fillId="0" borderId="0" xfId="1" applyFont="1" applyAlignment="1">
      <alignment horizontal="left" wrapText="1"/>
    </xf>
    <xf numFmtId="0" fontId="40" fillId="0" borderId="0" xfId="1" applyFont="1" applyAlignment="1">
      <alignment horizontal="left" wrapText="1"/>
    </xf>
    <xf numFmtId="0" fontId="40" fillId="0" borderId="0" xfId="1" applyFont="1" applyAlignment="1">
      <alignment horizontal="center" vertical="center"/>
    </xf>
    <xf numFmtId="0" fontId="40" fillId="0" borderId="0" xfId="1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27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Alignment="1"/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/>
    <xf numFmtId="0" fontId="16" fillId="0" borderId="14" xfId="0" applyFont="1" applyBorder="1" applyAlignment="1">
      <alignment horizontal="left" vertical="center" wrapText="1"/>
    </xf>
    <xf numFmtId="0" fontId="11" fillId="0" borderId="14" xfId="0" applyFont="1" applyBorder="1" applyAlignment="1"/>
  </cellXfs>
  <cellStyles count="20">
    <cellStyle name="Comma" xfId="10" builtinId="3"/>
    <cellStyle name="Comma 2" xfId="14" xr:uid="{C97BAEC8-7616-48FA-8572-2BCDA71629B3}"/>
    <cellStyle name="Comma 2 2" xfId="18" xr:uid="{843A3483-33CF-4BBA-A34E-C6BFF289F91D}"/>
    <cellStyle name="Comma 3" xfId="12" xr:uid="{10C4EADE-11BB-4F59-8524-34E4E6996F07}"/>
    <cellStyle name="Comma 4" xfId="17" xr:uid="{319C33A0-9E65-4105-861E-D2FFB588A07E}"/>
    <cellStyle name="Normal" xfId="0" builtinId="0"/>
    <cellStyle name="Normal 10" xfId="16" xr:uid="{363BB0D8-7066-4236-B7EC-80B17A9DECF5}"/>
    <cellStyle name="Normal 11" xfId="19" xr:uid="{EDF81A91-1532-48C9-B89D-84310D5D929B}"/>
    <cellStyle name="Normal 2" xfId="1" xr:uid="{00000000-0005-0000-0000-000001000000}"/>
    <cellStyle name="Normal 2 2" xfId="9" xr:uid="{FDBE845C-AE4A-4210-AF39-66F763A8F729}"/>
    <cellStyle name="Normal 2 3" xfId="13" xr:uid="{D49E700B-59B6-4A8B-BF8D-E0396A85E8F5}"/>
    <cellStyle name="Normal 3" xfId="2" xr:uid="{00000000-0005-0000-0000-000002000000}"/>
    <cellStyle name="Normal 3 2" xfId="4" xr:uid="{00000000-0005-0000-0000-000003000000}"/>
    <cellStyle name="Normal 4" xfId="3" xr:uid="{00000000-0005-0000-0000-000004000000}"/>
    <cellStyle name="Normal 4 2" xfId="5" xr:uid="{00000000-0005-0000-0000-000005000000}"/>
    <cellStyle name="Normal 5" xfId="6" xr:uid="{33EFC198-0BC2-44AD-85AB-654C3DCD9048}"/>
    <cellStyle name="Normal 6" xfId="7" xr:uid="{BC655178-2B29-4005-A3F5-2B17D1B23D03}"/>
    <cellStyle name="Normal 7" xfId="8" xr:uid="{F7030262-3D8E-4ECF-929F-24005C651FB1}"/>
    <cellStyle name="Normal 8" xfId="11" xr:uid="{8C972195-2DBF-4993-A340-EFBD576B92DC}"/>
    <cellStyle name="Normal 9" xfId="15" xr:uid="{796B9D8A-531A-44FF-A014-D10CD91DBF6C}"/>
  </cellStyles>
  <dxfs count="17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538440</xdr:colOff>
      <xdr:row>23</xdr:row>
      <xdr:rowOff>32802</xdr:rowOff>
    </xdr:from>
    <xdr:to>
      <xdr:col>8</xdr:col>
      <xdr:colOff>539160</xdr:colOff>
      <xdr:row>23</xdr:row>
      <xdr:rowOff>199122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9265F6A-C5AF-0BBE-687C-A648123FD41E}"/>
                </a:ext>
              </a:extLst>
            </xdr14:cNvPr>
            <xdr14:cNvContentPartPr/>
          </xdr14:nvContentPartPr>
          <xdr14:nvPr macro=""/>
          <xdr14:xfrm>
            <a:off x="10063440" y="7222106"/>
            <a:ext cx="720" cy="1663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9265F6A-C5AF-0BBE-687C-A648123FD4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051200" y="7215986"/>
              <a:ext cx="2520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570937</xdr:colOff>
      <xdr:row>23</xdr:row>
      <xdr:rowOff>184319</xdr:rowOff>
    </xdr:from>
    <xdr:to>
      <xdr:col>10</xdr:col>
      <xdr:colOff>439496</xdr:colOff>
      <xdr:row>23</xdr:row>
      <xdr:rowOff>192599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27926E8-FB55-9481-86C7-2007A36AD680}"/>
                </a:ext>
              </a:extLst>
            </xdr14:cNvPr>
            <xdr14:cNvContentPartPr/>
          </xdr14:nvContentPartPr>
          <xdr14:nvPr macro=""/>
          <xdr14:xfrm flipV="1">
            <a:off x="5009587" y="8613944"/>
            <a:ext cx="2097409" cy="82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27926E8-FB55-9481-86C7-2007A36AD6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 flipV="1">
              <a:off x="10057320" y="7373921"/>
              <a:ext cx="2116080" cy="200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436332</xdr:colOff>
      <xdr:row>23</xdr:row>
      <xdr:rowOff>25602</xdr:rowOff>
    </xdr:from>
    <xdr:to>
      <xdr:col>10</xdr:col>
      <xdr:colOff>441012</xdr:colOff>
      <xdr:row>23</xdr:row>
      <xdr:rowOff>190842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F8C24E28-CB3F-119C-9ED1-DEED09C4F2D2}"/>
                </a:ext>
              </a:extLst>
            </xdr14:cNvPr>
            <xdr14:cNvContentPartPr/>
          </xdr14:nvContentPartPr>
          <xdr14:nvPr macro=""/>
          <xdr14:xfrm>
            <a:off x="7103832" y="8455227"/>
            <a:ext cx="4680" cy="1652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F8C24E28-CB3F-119C-9ED1-DEED09C4F2D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165840" y="7208786"/>
              <a:ext cx="1692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546397</xdr:colOff>
      <xdr:row>23</xdr:row>
      <xdr:rowOff>37122</xdr:rowOff>
    </xdr:from>
    <xdr:to>
      <xdr:col>9</xdr:col>
      <xdr:colOff>546757</xdr:colOff>
      <xdr:row>23</xdr:row>
      <xdr:rowOff>182562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133389D-9744-1279-9BAF-8C9B19020BA3}"/>
                </a:ext>
              </a:extLst>
            </xdr14:cNvPr>
            <xdr14:cNvContentPartPr/>
          </xdr14:nvContentPartPr>
          <xdr14:nvPr macro=""/>
          <xdr14:xfrm>
            <a:off x="11106723" y="7226426"/>
            <a:ext cx="360" cy="1454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133389D-9744-1279-9BAF-8C9B19020BA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100603" y="7220306"/>
              <a:ext cx="1260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1847609</xdr:colOff>
      <xdr:row>23</xdr:row>
      <xdr:rowOff>247095</xdr:rowOff>
    </xdr:from>
    <xdr:to>
      <xdr:col>7</xdr:col>
      <xdr:colOff>104774</xdr:colOff>
      <xdr:row>23</xdr:row>
      <xdr:rowOff>247815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51790D9-05AB-CCB9-CCDC-1844B4DDB4EA}"/>
                </a:ext>
              </a:extLst>
            </xdr14:cNvPr>
            <xdr14:cNvContentPartPr/>
          </xdr14:nvContentPartPr>
          <xdr14:nvPr macro=""/>
          <xdr14:xfrm>
            <a:off x="1847609" y="8676720"/>
            <a:ext cx="1514715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51790D9-05AB-CCB9-CCDC-1844B4DDB4E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841490" y="8670600"/>
              <a:ext cx="1526954" cy="12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07:11:41.0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23513,'0'461'0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07:12:02.6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20 24119,'5826'22'0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07:12:57.6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10 458 24575,'2'-133'0,"-5"-150"0,0 261-1365,-2 2-5461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07:13:41.0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1 403 24575,'0'-388'-1365,"0"373"-5461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11:10:28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4208 11 21389,'-4207'0'0</inkml:trace>
</inkml: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pproval" id="{BA99763C-9914-4171-84D0-CEFB39E3374A}">
    <nsvFilter filterId="{639B1A6B-224F-48FF-AA97-11F885490F5E}" ref="A3:Z329" tableId="0">
      <columnFilter colId="5">
        <filter colId="5">
          <x:filters blank="1">
            <x:filter val="All Filter"/>
            <x:filter val="Applied Mechanics"/>
            <x:filter val="Automobile"/>
            <x:filter val="Biomedical"/>
            <x:filter val="Central Store-Equipment"/>
            <x:filter val="Chemical"/>
            <x:filter val="Civil"/>
            <x:filter val="EC"/>
            <x:filter val="Electrical"/>
            <x:filter val="Environment"/>
            <x:filter val="I.C"/>
            <x:filter val="Mechanical"/>
            <x:filter val="Plastic Tech"/>
            <x:filter val="Rubber Tech"/>
            <x:filter val="S&amp;H"/>
            <x:filter val="Textile"/>
          </x:filters>
        </filter>
      </columnFilter>
      <columnFilter colId="10">
        <filter colId="10">
          <x:filters blank="1">
            <x:filter val="All Filter"/>
            <x:filter val="Equipment"/>
          </x:filters>
        </filter>
      </columnFilter>
      <columnFilter colId="11">
        <filter colId="11">
          <x:filters blank="1">
            <x:filter val="All Filter"/>
            <x:filter val="Bid cancelled"/>
            <x:filter val="Bid Published"/>
            <x:filter val="Bill submitted"/>
            <x:filter val="Order placed"/>
            <x:filter val="Pre DPC/DLPC"/>
            <x:filter val="Under DPC"/>
            <x:filter val="Under Scrutiny"/>
            <x:filter val="Undersign"/>
          </x:filters>
        </filter>
      </columnFilter>
    </nsvFilter>
  </namedSheetView>
  <namedSheetView name="Services" id="{C5E1328B-6F89-4FF4-A991-7EA7A09A275C}">
    <nsvFilter filterId="{639B1A6B-224F-48FF-AA97-11F885490F5E}" ref="A3:Z329" tableId="0">
      <columnFilter colId="10">
        <filter colId="10">
          <x:filters blank="1">
            <x:filter val="All Filter"/>
            <x:filter val="Service"/>
          </x:filters>
        </filter>
      </columnFilter>
    </nsvFilter>
  </namedSheetView>
  <namedSheetView name="Under Process" id="{109EF6A1-F52A-4E21-8132-A908E5B8A5B6}">
    <nsvFilter filterId="{639B1A6B-224F-48FF-AA97-11F885490F5E}" ref="A3:Z329" tableId="0">
      <columnFilter colId="5">
        <filter colId="5">
          <x:filters>
            <x:filter val="All Filter"/>
            <x:filter val="Applied Mechanics"/>
            <x:filter val="Automobile"/>
            <x:filter val="Biomedical"/>
            <x:filter val="Central Store-Equipment"/>
            <x:filter val="Chemical"/>
            <x:filter val="Civil"/>
            <x:filter val="Computer Eng"/>
            <x:filter val="EC"/>
            <x:filter val="Electrical"/>
            <x:filter val="Environment"/>
            <x:filter val="I.C"/>
            <x:filter val="IT"/>
            <x:filter val="Mechanical"/>
            <x:filter val="Plastic Tech"/>
            <x:filter val="Rubber Tech"/>
            <x:filter val="S&amp;H"/>
            <x:filter val="Textile"/>
            <x:filter val="Various dept."/>
          </x:filters>
        </filter>
      </columnFilter>
      <columnFilter colId="10">
        <filter colId="10">
          <x:filters>
            <x:filter val="All Filter"/>
            <x:filter val="Equipment"/>
          </x:filters>
        </filter>
      </columnFilter>
      <columnFilter colId="11">
        <filter colId="11">
          <x:filters>
            <x:filter val="All Filter"/>
            <x:filter val="Bid Published"/>
            <x:filter val="Bill submitted"/>
            <x:filter val="Order placed"/>
            <x:filter val="Pre DPC/DLPC"/>
            <x:filter val="Under DPC"/>
            <x:filter val="Under Scrutiny"/>
            <x:filter val="Undersign"/>
          </x:filters>
        </filter>
      </columnFilter>
      <columnFilter colId="12">
        <filter colId="12">
          <x:filters blank="1"/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VIJAY DASLANIYA" id="{723C1004-FA66-4A58-B269-3DBBF43612D7}" userId="S::VIJAY.DASLANIYA@gujgov.edu.in::437b8b62-d451-41b8-8441-ec824fe71dd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" refreshedDate="46110.636200115739" createdVersion="8" refreshedVersion="8" minRefreshableVersion="3" recordCount="364" xr:uid="{FF58CDFB-90E2-4533-B3CF-69587193DFAF}">
  <cacheSource type="worksheet">
    <worksheetSource ref="A3:S367" sheet="Statement 1 (Non-IT Equip)"/>
  </cacheSource>
  <cacheFields count="19">
    <cacheField name="Sr." numFmtId="0">
      <sharedItems containsBlank="1" containsMixedTypes="1" containsNumber="1" containsInteger="1" minValue="0" maxValue="285"/>
    </cacheField>
    <cacheField name="Name of Item" numFmtId="0">
      <sharedItems containsBlank="1"/>
    </cacheField>
    <cacheField name="Qty._x000a_Required" numFmtId="0">
      <sharedItems containsString="0" containsBlank="1" containsNumber="1" containsInteger="1" minValue="1" maxValue="1000"/>
    </cacheField>
    <cacheField name="Approx. Rate_x000a_(Rs.)" numFmtId="0">
      <sharedItems containsBlank="1" containsMixedTypes="1" containsNumber="1" minValue="100" maxValue="22000000"/>
    </cacheField>
    <cacheField name="Total Amount_x000a_(Rs.) " numFmtId="0">
      <sharedItems containsString="0" containsBlank="1" containsNumber="1" containsInteger="1" minValue="1000" maxValue="90148152"/>
    </cacheField>
    <cacheField name="Department /_x000a_Discipline" numFmtId="0">
      <sharedItems containsBlank="1" count="24">
        <s v="All Filter"/>
        <s v="Applied Mechanics"/>
        <s v="Automobile"/>
        <s v="Biomedical"/>
        <s v="Chemical"/>
        <s v="Civil"/>
        <s v="Computer Eng"/>
        <s v="Electrical"/>
        <s v="Electrical "/>
        <s v="Environment"/>
        <s v="IT"/>
        <s v="Mechanical"/>
        <s v="Rubber Tech"/>
        <s v="Textile"/>
        <s v="Various dept."/>
        <s v="Library"/>
        <s v="Central Store-Equipment"/>
        <s v="Hostel-Services"/>
        <s v="Institute-Services"/>
        <s v="I.C"/>
        <s v="EC"/>
        <s v="S&amp;H"/>
        <s v="Plastic Tech"/>
        <m/>
      </sharedItems>
    </cacheField>
    <cacheField name="Avalable Qty." numFmtId="0">
      <sharedItems containsBlank="1" containsMixedTypes="1" containsNumber="1" containsInteger="1" minValue="0" maxValue="167"/>
    </cacheField>
    <cacheField name="Detailed Justification" numFmtId="0">
      <sharedItems containsBlank="1"/>
    </cacheField>
    <cacheField name="Available on   GeM? (Yes or No)" numFmtId="0">
      <sharedItems containsBlank="1"/>
    </cacheField>
    <cacheField name="U.G/P.G" numFmtId="0">
      <sharedItems containsBlank="1"/>
    </cacheField>
    <cacheField name="Product /Service" numFmtId="0">
      <sharedItems containsBlank="1" count="6">
        <s v="All Filter"/>
        <s v="Equipment"/>
        <s v="Service"/>
        <s v="Consumable"/>
        <s v="Office Exp"/>
        <m/>
      </sharedItems>
    </cacheField>
    <cacheField name="Status" numFmtId="0">
      <sharedItems containsBlank="1" count="10">
        <s v="All Filter"/>
        <s v="Bill submitted "/>
        <s v="Order placed"/>
        <s v="Action pending"/>
        <s v="Bid Published"/>
        <s v="Bid cancelled"/>
        <s v="Not approved"/>
        <s v="Under DPC"/>
        <m/>
        <s v="Pre DPC/DLPC" u="1"/>
      </sharedItems>
    </cacheField>
    <cacheField name="L1 Amount" numFmtId="0">
      <sharedItems containsString="0" containsBlank="1" containsNumber="1" containsInteger="1" minValue="0" maxValue="44360733"/>
    </cacheField>
    <cacheField name="Party" numFmtId="0">
      <sharedItems containsBlank="1"/>
    </cacheField>
    <cacheField name="Remarks" numFmtId="0">
      <sharedItems containsBlank="1"/>
    </cacheField>
    <cacheField name="Bill  Net Amount" numFmtId="0">
      <sharedItems containsString="0" containsBlank="1" containsNumber="1" containsInteger="1" minValue="0" maxValue="25575782"/>
    </cacheField>
    <cacheField name="Bill No." numFmtId="0">
      <sharedItems containsBlank="1"/>
    </cacheField>
    <cacheField name="Date" numFmtId="0">
      <sharedItems containsDate="1" containsBlank="1" containsMixedTypes="1" minDate="2024-08-08T00:00:00" maxDate="2026-03-25T00:00:00"/>
    </cacheField>
    <cacheField name="S.D" numFmtId="0">
      <sharedItems containsBlank="1" containsMixedTypes="1" containsNumber="1" containsInteger="1" minValue="245175" maxValue="711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" refreshedDate="46116.589601504631" createdVersion="8" refreshedVersion="8" minRefreshableVersion="3" recordCount="335" xr:uid="{06DA3F87-BDB4-44F4-9635-70414D3D4540}">
  <cacheSource type="worksheet">
    <worksheetSource ref="A3:U338" sheet="Statement 1 (Non-IT Equip)"/>
  </cacheSource>
  <cacheFields count="21">
    <cacheField name="Sr." numFmtId="0">
      <sharedItems containsBlank="1" containsMixedTypes="1" containsNumber="1" containsInteger="1" minValue="0" maxValue="285"/>
    </cacheField>
    <cacheField name="Name of Item" numFmtId="0">
      <sharedItems containsBlank="1"/>
    </cacheField>
    <cacheField name="Qty._x000a_Required" numFmtId="0">
      <sharedItems containsString="0" containsBlank="1" containsNumber="1" containsInteger="1" minValue="1" maxValue="1000"/>
    </cacheField>
    <cacheField name="Approx. Rate_x000a_(Rs.)" numFmtId="0">
      <sharedItems containsBlank="1" containsMixedTypes="1" containsNumber="1" minValue="100" maxValue="22000000"/>
    </cacheField>
    <cacheField name="Total Amount_x000a_(Rs.) " numFmtId="0">
      <sharedItems containsString="0" containsBlank="1" containsNumber="1" containsInteger="1" minValue="1000" maxValue="89628152"/>
    </cacheField>
    <cacheField name="Department /_x000a_Discipline" numFmtId="0">
      <sharedItems containsBlank="1" count="24">
        <s v="All Filter"/>
        <s v="Applied Mechanics"/>
        <s v="Automobile"/>
        <s v="Biomedical"/>
        <s v="Chemical"/>
        <s v="Civil"/>
        <s v="Computer Eng"/>
        <s v="Electrical"/>
        <s v="Electrical "/>
        <s v="Environment"/>
        <s v="IT"/>
        <s v="Mechanical"/>
        <s v="Rubber Tech"/>
        <s v="Textile"/>
        <s v="Various dept."/>
        <s v="Library"/>
        <s v="Central Store-Equipment"/>
        <s v="Hostel-Services"/>
        <s v="Institute-Services"/>
        <s v="I.C"/>
        <s v="EC"/>
        <s v="S&amp;H"/>
        <s v="Plastic Tech"/>
        <m/>
      </sharedItems>
    </cacheField>
    <cacheField name="Avalable Qty." numFmtId="0">
      <sharedItems containsBlank="1" containsMixedTypes="1" containsNumber="1" containsInteger="1" minValue="0" maxValue="167"/>
    </cacheField>
    <cacheField name="Detailed Justification" numFmtId="0">
      <sharedItems containsBlank="1"/>
    </cacheField>
    <cacheField name="Available on   GeM? (Yes or No)" numFmtId="0">
      <sharedItems containsBlank="1"/>
    </cacheField>
    <cacheField name="U.G/P.G" numFmtId="0">
      <sharedItems containsBlank="1"/>
    </cacheField>
    <cacheField name="Product /Service" numFmtId="0">
      <sharedItems containsBlank="1" count="6">
        <s v="All Filter"/>
        <s v="Equipment"/>
        <s v="Service"/>
        <s v="Consumable"/>
        <s v="Office Exp"/>
        <m/>
      </sharedItems>
    </cacheField>
    <cacheField name="Status" numFmtId="0">
      <sharedItems containsBlank="1" count="11">
        <s v="All Filter"/>
        <s v="Bill submitted "/>
        <s v="Rejected"/>
        <s v="Action pending"/>
        <s v="Bid Published"/>
        <s v="Bid cancelled"/>
        <s v="Not approved"/>
        <s v="Under DPC"/>
        <s v="Order placed"/>
        <s v="Not Supply "/>
        <m/>
      </sharedItems>
    </cacheField>
    <cacheField name="L1 Amount" numFmtId="0">
      <sharedItems containsString="0" containsBlank="1" containsNumber="1" containsInteger="1" minValue="0" maxValue="44360733"/>
    </cacheField>
    <cacheField name="Party" numFmtId="0">
      <sharedItems containsBlank="1"/>
    </cacheField>
    <cacheField name="Remarks" numFmtId="0">
      <sharedItems containsBlank="1"/>
    </cacheField>
    <cacheField name="Bill  Net Amount" numFmtId="0">
      <sharedItems containsString="0" containsBlank="1" containsNumber="1" containsInteger="1" minValue="0" maxValue="25575782"/>
    </cacheField>
    <cacheField name="Bill No." numFmtId="0">
      <sharedItems containsBlank="1"/>
    </cacheField>
    <cacheField name="Date" numFmtId="0">
      <sharedItems containsDate="1" containsBlank="1" containsMixedTypes="1" minDate="2024-08-08T00:00:00" maxDate="2026-03-25T00:00:00"/>
    </cacheField>
    <cacheField name="S.D" numFmtId="0">
      <sharedItems containsBlank="1" containsMixedTypes="1" containsNumber="1" minValue="12139.35" maxValue="711827"/>
    </cacheField>
    <cacheField name="Rs." numFmtId="0">
      <sharedItems containsString="0" containsBlank="1" containsNumber="1" minValue="862" maxValue="84300"/>
    </cacheField>
    <cacheField name="Remarks2" numFmtId="0">
      <sharedItems containsDate="1" containsBlank="1" containsMixedTypes="1" minDate="2026-03-19T00:00:00" maxDate="2026-03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n v="177"/>
    <s v="All Filter"/>
    <n v="518"/>
    <s v="Total"/>
    <n v="90148152"/>
    <x v="0"/>
    <n v="33"/>
    <s v="All Filter"/>
    <s v="All Filter"/>
    <s v="All Filter"/>
    <x v="0"/>
    <x v="0"/>
    <n v="44360733"/>
    <s v="All Filter"/>
    <s v="All Filter"/>
    <n v="25575782"/>
    <s v="All Filter"/>
    <s v="All Filter"/>
    <s v="All Filter"/>
  </r>
  <r>
    <n v="1"/>
    <s v="Slump test apparatus with tamping rod"/>
    <n v="1"/>
    <n v="3000"/>
    <n v="3000"/>
    <x v="1"/>
    <n v="1"/>
    <s v="Basic requiremnet at UG and PG level research and testing"/>
    <s v="yes"/>
    <s v="U.G"/>
    <x v="1"/>
    <x v="1"/>
    <n v="2000"/>
    <s v="Steel Fabricators"/>
    <s v="DP"/>
    <n v="1980"/>
    <s v="GEM-63696205"/>
    <d v="2025-09-13T00:00:00"/>
    <s v="N.A"/>
  </r>
  <r>
    <n v="2"/>
    <s v="Nonconcurrent coplanar force apparatus"/>
    <n v="1"/>
    <n v="9000"/>
    <n v="9000"/>
    <x v="1"/>
    <n v="1"/>
    <s v="Basic requiremnet at UG level"/>
    <s v="yes"/>
    <s v="U.G"/>
    <x v="1"/>
    <x v="2"/>
    <n v="2080"/>
    <m/>
    <s v="DP"/>
    <n v="0"/>
    <m/>
    <m/>
    <s v="N.A"/>
  </r>
  <r>
    <n v="3"/>
    <s v="Weighing scale 5 kg with 1 gm resolution"/>
    <n v="1"/>
    <n v="12000"/>
    <n v="12000"/>
    <x v="1"/>
    <n v="1"/>
    <s v="Basic requiremnet at UG and PG level research and testing"/>
    <s v="yes"/>
    <s v="U.G"/>
    <x v="1"/>
    <x v="1"/>
    <n v="9999"/>
    <s v="B.R Chemical Suppliers, Jodhpur"/>
    <s v="DP"/>
    <n v="9899"/>
    <s v="GEM-62062887"/>
    <d v="2025-08-06T00:00:00"/>
    <s v="N.A"/>
  </r>
  <r>
    <n v="4"/>
    <s v="Weighing scale 10 kg with 10 gm resolution"/>
    <n v="1"/>
    <n v="13000"/>
    <n v="13000"/>
    <x v="1"/>
    <n v="1"/>
    <s v="Basic requiremnet at UG and PG level research and testing"/>
    <s v="yes"/>
    <s v="U.G"/>
    <x v="1"/>
    <x v="1"/>
    <n v="3000"/>
    <s v="Apolo scale industry, Agra"/>
    <s v="DP"/>
    <n v="3000"/>
    <s v="GEM-63342027"/>
    <d v="2025-09-05T00:00:00"/>
    <s v="N.A"/>
  </r>
  <r>
    <n v="5"/>
    <s v="Two Hinged Arch Apparatus"/>
    <n v="1"/>
    <n v="80000"/>
    <n v="80000"/>
    <x v="1"/>
    <n v="0"/>
    <s v="Basic requiremnet at UG level"/>
    <s v="yes"/>
    <s v="U.G"/>
    <x v="1"/>
    <x v="2"/>
    <n v="83500"/>
    <s v="Engineering Models &amp; Equipment,Roorkee"/>
    <s v="DLPC-6"/>
    <n v="0"/>
    <m/>
    <m/>
    <m/>
  </r>
  <r>
    <n v="6"/>
    <s v="Three Hinged Arch Apparatus"/>
    <n v="1"/>
    <n v="80000"/>
    <n v="80000"/>
    <x v="1"/>
    <n v="0"/>
    <s v="Basic requiremnet at UG level"/>
    <s v="yes"/>
    <s v="U.G"/>
    <x v="1"/>
    <x v="2"/>
    <n v="84200"/>
    <s v="Engineering Models &amp; Equipment,Roorkee"/>
    <s v="DLPC-6"/>
    <n v="0"/>
    <m/>
    <m/>
    <m/>
  </r>
  <r>
    <n v="7"/>
    <s v="Concrete permeability apparatus"/>
    <n v="1"/>
    <n v="90000"/>
    <n v="90000"/>
    <x v="1"/>
    <n v="1"/>
    <s v="Basic requiremnet at UG and PG level research and testing"/>
    <s v="yes"/>
    <s v="U.G"/>
    <x v="1"/>
    <x v="3"/>
    <m/>
    <m/>
    <m/>
    <m/>
    <m/>
    <m/>
    <m/>
  </r>
  <r>
    <n v="8"/>
    <s v="Portable concrete core cutter"/>
    <n v="1"/>
    <n v="360000"/>
    <n v="360000"/>
    <x v="1"/>
    <n v="0"/>
    <s v="Basic requiremnet at UG and PG level research and testing"/>
    <s v="yes"/>
    <s v="U.G"/>
    <x v="1"/>
    <x v="2"/>
    <n v="202000"/>
    <s v="Intellitest Solutions Pvt. Ltd., Faridabad"/>
    <s v="DLPC-5"/>
    <n v="0"/>
    <m/>
    <m/>
    <m/>
  </r>
  <r>
    <n v="9"/>
    <s v="Viscometer"/>
    <n v="1"/>
    <n v="24500"/>
    <n v="24500"/>
    <x v="2"/>
    <n v="0"/>
    <s v="UG course"/>
    <s v="yes"/>
    <s v="U.G"/>
    <x v="1"/>
    <x v="3"/>
    <m/>
    <m/>
    <m/>
    <m/>
    <m/>
    <m/>
    <m/>
  </r>
  <r>
    <n v="10"/>
    <s v="Spark plug tester and cleaner"/>
    <n v="1"/>
    <n v="45000"/>
    <n v="45000"/>
    <x v="2"/>
    <n v="0"/>
    <s v="UG course"/>
    <s v="yes"/>
    <s v="U.G"/>
    <x v="1"/>
    <x v="3"/>
    <m/>
    <m/>
    <m/>
    <m/>
    <m/>
    <m/>
    <m/>
  </r>
  <r>
    <n v="11"/>
    <s v="Rotary and inline fuel pump"/>
    <n v="1"/>
    <n v="50000"/>
    <n v="50000"/>
    <x v="2"/>
    <n v="0"/>
    <s v="UG course"/>
    <s v="yes"/>
    <s v="U.G"/>
    <x v="1"/>
    <x v="3"/>
    <m/>
    <m/>
    <m/>
    <m/>
    <m/>
    <m/>
    <m/>
  </r>
  <r>
    <n v="12"/>
    <s v="Air compressor 5HP"/>
    <n v="1"/>
    <n v="65000"/>
    <n v="65000"/>
    <x v="2"/>
    <n v="0"/>
    <s v="UG course"/>
    <s v="yes"/>
    <s v="U.G"/>
    <x v="1"/>
    <x v="4"/>
    <m/>
    <m/>
    <m/>
    <m/>
    <m/>
    <m/>
    <m/>
  </r>
  <r>
    <n v="13"/>
    <s v="Raspberry pi kit with 8 GB storage"/>
    <n v="5"/>
    <n v="20000"/>
    <n v="100000"/>
    <x v="2"/>
    <n v="0"/>
    <s v="UG course"/>
    <s v="yes"/>
    <s v="U.G"/>
    <x v="1"/>
    <x v="4"/>
    <m/>
    <m/>
    <m/>
    <m/>
    <m/>
    <m/>
    <m/>
  </r>
  <r>
    <n v="14"/>
    <s v="Electronic weighing scale (min. 1000kg)"/>
    <n v="1"/>
    <n v="150000"/>
    <n v="150000"/>
    <x v="2"/>
    <n v="0"/>
    <s v="UG course"/>
    <s v="yes"/>
    <s v="U.G"/>
    <x v="1"/>
    <x v="1"/>
    <n v="16000"/>
    <s v="Maruti Weightech Pvt. Ltd."/>
    <s v="DP"/>
    <n v="15920"/>
    <s v="GEM-67230898"/>
    <d v="2025-12-08T00:00:00"/>
    <s v="N.A"/>
  </r>
  <r>
    <n v="15"/>
    <s v="SCISSOR LIFT"/>
    <n v="1"/>
    <n v="200000"/>
    <n v="200000"/>
    <x v="2"/>
    <n v="0"/>
    <s v="UG course"/>
    <s v="yes"/>
    <s v="U.G"/>
    <x v="1"/>
    <x v="1"/>
    <n v="131000"/>
    <s v="Pantron Automation Pvt. Ltd."/>
    <s v="DLPC-5"/>
    <n v="129690"/>
    <s v="GEM-70289864"/>
    <d v="2026-02-13T00:00:00"/>
    <s v="Exempted"/>
  </r>
  <r>
    <n v="16"/>
    <s v="Gas analyzer ( 5 gas)"/>
    <n v="1"/>
    <n v="250000"/>
    <n v="250000"/>
    <x v="2"/>
    <n v="0"/>
    <s v="UG course"/>
    <s v="yes"/>
    <s v="U.G"/>
    <x v="1"/>
    <x v="1"/>
    <n v="187600"/>
    <s v="Pantron Automation Pvt. Ltd."/>
    <s v="DLPC-5"/>
    <n v="187600"/>
    <s v="GEM-71614380"/>
    <d v="2026-03-06T00:00:00"/>
    <s v="Exempted"/>
  </r>
  <r>
    <n v="17"/>
    <s v="Biomedical Sensor Interface Trainer Kit"/>
    <n v="3"/>
    <n v="20000"/>
    <n v="60000"/>
    <x v="3"/>
    <n v="0"/>
    <s v="Required as per GTU syllabus"/>
    <s v="yes"/>
    <s v="U.G"/>
    <x v="1"/>
    <x v="1"/>
    <n v="48300"/>
    <s v="Royale Electronics Sales &amp; Services"/>
    <s v="DLPC-1"/>
    <n v="47576"/>
    <s v="GEM-64369436"/>
    <d v="2025-09-27T00:00:00"/>
    <s v="0554825IPG000054"/>
  </r>
  <r>
    <n v="18"/>
    <s v="ESP32 IoT Development Trainer Kit"/>
    <n v="3"/>
    <n v="20000"/>
    <n v="60000"/>
    <x v="3"/>
    <n v="0"/>
    <s v="Required as per GTU syllabus"/>
    <s v="yes"/>
    <s v="U.G"/>
    <x v="1"/>
    <x v="1"/>
    <n v="58587"/>
    <s v="Prajakta Enterprise"/>
    <s v="DLPC-1"/>
    <n v="58587"/>
    <s v="GEM-64167332"/>
    <d v="2025-09-29T00:00:00"/>
    <s v="004418"/>
  </r>
  <r>
    <n v="19"/>
    <s v="PIC Development Board Trainer Kit"/>
    <n v="3"/>
    <n v="20000"/>
    <n v="60000"/>
    <x v="3"/>
    <n v="0"/>
    <s v="Required as per GTU syllabus"/>
    <s v="yes"/>
    <s v="U.G"/>
    <x v="1"/>
    <x v="1"/>
    <n v="58410"/>
    <s v="Prajakta Enterprise"/>
    <s v="DLPC-1"/>
    <n v="58410"/>
    <s v="GEM-64167341"/>
    <d v="2025-09-24T00:00:00"/>
    <s v="004419"/>
  </r>
  <r>
    <n v="20"/>
    <s v="Orange Pi 5 Plus 32GB Development Kit"/>
    <n v="3"/>
    <n v="80000"/>
    <n v="240000"/>
    <x v="3"/>
    <n v="0"/>
    <s v="Required as per GTU syllabus"/>
    <s v="yes"/>
    <s v="U.G"/>
    <x v="1"/>
    <x v="3"/>
    <m/>
    <m/>
    <m/>
    <m/>
    <m/>
    <m/>
    <m/>
  </r>
  <r>
    <n v="21"/>
    <s v="NVIDIA Jetson Orin Nano 8GB Developer Kit"/>
    <n v="4"/>
    <n v="80000"/>
    <n v="320000"/>
    <x v="3"/>
    <n v="0"/>
    <s v="For Project Work "/>
    <s v="yes"/>
    <s v="U.G"/>
    <x v="1"/>
    <x v="3"/>
    <m/>
    <m/>
    <m/>
    <m/>
    <m/>
    <m/>
    <m/>
  </r>
  <r>
    <n v="22"/>
    <s v="Jetson AGX Orin Developer Kit"/>
    <n v="2"/>
    <n v="240000"/>
    <n v="480000"/>
    <x v="3"/>
    <n v="0"/>
    <s v="Required as per GTU syllabus"/>
    <s v="yes"/>
    <s v="U.G"/>
    <x v="1"/>
    <x v="3"/>
    <m/>
    <m/>
    <m/>
    <m/>
    <m/>
    <m/>
    <m/>
  </r>
  <r>
    <n v="23"/>
    <s v="Heating Mental 500ml"/>
    <n v="4"/>
    <n v="1000"/>
    <n v="4000"/>
    <x v="4"/>
    <n v="0"/>
    <s v="UG course (Regular Lab)"/>
    <s v="yes"/>
    <s v="U.G"/>
    <x v="1"/>
    <x v="3"/>
    <m/>
    <m/>
    <m/>
    <m/>
    <m/>
    <m/>
    <m/>
  </r>
  <r>
    <n v="24"/>
    <s v="Heating Mental 2 lit"/>
    <n v="2"/>
    <n v="2000"/>
    <n v="4000"/>
    <x v="4"/>
    <n v="0"/>
    <s v="UG course (Regular Lab)"/>
    <s v="yes"/>
    <s v="U.G"/>
    <x v="1"/>
    <x v="3"/>
    <m/>
    <m/>
    <m/>
    <m/>
    <m/>
    <m/>
    <m/>
  </r>
  <r>
    <n v="25"/>
    <s v="Heating Mental 1lit"/>
    <n v="4"/>
    <n v="1500"/>
    <n v="6000"/>
    <x v="4"/>
    <n v="0"/>
    <s v="UG course (Regular Lab)"/>
    <s v="yes"/>
    <s v="U.G"/>
    <x v="1"/>
    <x v="3"/>
    <m/>
    <m/>
    <m/>
    <m/>
    <m/>
    <m/>
    <m/>
  </r>
  <r>
    <n v="26"/>
    <s v="Bimettalic Thermometer"/>
    <n v="1"/>
    <n v="15000"/>
    <n v="15000"/>
    <x v="4"/>
    <n v="0"/>
    <s v="UG course (Regular Lab)"/>
    <s v="yes"/>
    <s v="U.G"/>
    <x v="1"/>
    <x v="3"/>
    <m/>
    <m/>
    <m/>
    <m/>
    <m/>
    <m/>
    <m/>
  </r>
  <r>
    <n v="27"/>
    <s v="Magnetic stirrer with heating"/>
    <n v="2"/>
    <n v="12000"/>
    <n v="24000"/>
    <x v="4"/>
    <n v="0"/>
    <s v="UG course (Regular Lab)"/>
    <s v="yes"/>
    <s v="U.G"/>
    <x v="1"/>
    <x v="1"/>
    <n v="21776"/>
    <s v="M/s Scinos Research &amp; Synthesis, Ahmedabad"/>
    <s v="DP"/>
    <n v="21200"/>
    <s v="GEM-62387604"/>
    <d v="2025-08-13T00:00:00"/>
    <s v="N.A"/>
  </r>
  <r>
    <n v="28"/>
    <s v="Vacuum filtration apparatus with pump"/>
    <n v="1"/>
    <n v="25000"/>
    <n v="25000"/>
    <x v="4"/>
    <n v="0"/>
    <s v="UG course (Regular Lab)"/>
    <s v="yes"/>
    <s v="U.G"/>
    <x v="1"/>
    <x v="1"/>
    <n v="21900"/>
    <s v="Scinos Research &amp; Synthesis, Ahmedabad"/>
    <s v="DP"/>
    <n v="21890"/>
    <s v="GEM-70993018"/>
    <d v="2026-02-24T00:00:00"/>
    <s v="NA"/>
  </r>
  <r>
    <n v="29"/>
    <s v="Muffle furnace"/>
    <n v="1"/>
    <n v="30000"/>
    <n v="30000"/>
    <x v="4"/>
    <n v="0"/>
    <s v="UG course (Regular Lab)"/>
    <s v="yes"/>
    <s v="U.G"/>
    <x v="1"/>
    <x v="3"/>
    <m/>
    <m/>
    <m/>
    <m/>
    <m/>
    <m/>
    <m/>
  </r>
  <r>
    <n v="30"/>
    <s v="High temperature oil bath (1000 ml capacity)"/>
    <n v="1"/>
    <n v="35000"/>
    <n v="35000"/>
    <x v="4"/>
    <n v="0"/>
    <s v="UG course (Regular Lab)"/>
    <s v="yes"/>
    <s v="U.G"/>
    <x v="1"/>
    <x v="1"/>
    <n v="24900"/>
    <s v="Scinos Research &amp; Synthesis,Ahmedabad"/>
    <s v="DP"/>
    <n v="24601"/>
    <s v="GEM-71499657"/>
    <d v="2026-03-03T00:00:00"/>
    <s v="N.A"/>
  </r>
  <r>
    <n v="31"/>
    <s v="TDS meter"/>
    <n v="3"/>
    <n v="15000"/>
    <n v="45000"/>
    <x v="4"/>
    <n v="0"/>
    <s v="UG course (Regular Lab)"/>
    <s v="yes"/>
    <s v="U.G"/>
    <x v="1"/>
    <x v="3"/>
    <m/>
    <m/>
    <m/>
    <m/>
    <m/>
    <m/>
    <m/>
  </r>
  <r>
    <n v="32"/>
    <s v="Digital pH meter"/>
    <n v="3"/>
    <n v="16000"/>
    <n v="48000"/>
    <x v="4"/>
    <n v="0"/>
    <s v="UG course (Regular Lab)"/>
    <s v="yes"/>
    <s v="U.G"/>
    <x v="1"/>
    <x v="1"/>
    <n v="24314"/>
    <s v="Tej Corporation, Punjab"/>
    <s v="DP"/>
    <n v="24192"/>
    <s v="GEM-71480391"/>
    <d v="2026-03-03T00:00:00"/>
    <s v="N.A"/>
  </r>
  <r>
    <n v="33"/>
    <s v="Conductivity meter"/>
    <n v="3"/>
    <n v="16000"/>
    <n v="48000"/>
    <x v="4"/>
    <n v="0"/>
    <s v="UG course (Regular Lab)"/>
    <s v="yes"/>
    <s v="U.G"/>
    <x v="1"/>
    <x v="3"/>
    <m/>
    <m/>
    <m/>
    <m/>
    <m/>
    <m/>
    <m/>
  </r>
  <r>
    <n v="34"/>
    <s v="High temperature oil bath (500 ml capacity)"/>
    <n v="2"/>
    <n v="30000"/>
    <n v="60000"/>
    <x v="4"/>
    <n v="0"/>
    <s v="UG course (Regular Lab)"/>
    <s v="yes"/>
    <s v="U.G"/>
    <x v="1"/>
    <x v="1"/>
    <n v="24850"/>
    <s v="Scinos Research &amp; Synthesis,Ahmedabad"/>
    <s v="DP"/>
    <n v="24651"/>
    <s v="GEM-71233182"/>
    <d v="2026-02-27T00:00:00"/>
    <s v="N.A"/>
  </r>
  <r>
    <n v="35"/>
    <s v="Syringe Infusion Pump"/>
    <n v="3"/>
    <n v="45000"/>
    <n v="135000"/>
    <x v="4"/>
    <n v="0"/>
    <s v="UG course (Regular Lab)"/>
    <s v="yes"/>
    <s v="U.G"/>
    <x v="1"/>
    <x v="3"/>
    <m/>
    <m/>
    <m/>
    <m/>
    <m/>
    <m/>
    <m/>
  </r>
  <r>
    <n v="36"/>
    <s v="Refractometer"/>
    <n v="1"/>
    <n v="450000"/>
    <n v="450000"/>
    <x v="4"/>
    <n v="0"/>
    <s v="UG course (Analytical Lab)"/>
    <s v="yes"/>
    <s v="U.G"/>
    <x v="1"/>
    <x v="3"/>
    <m/>
    <m/>
    <m/>
    <m/>
    <m/>
    <m/>
    <m/>
  </r>
  <r>
    <n v="37"/>
    <s v="Probe Sonicator"/>
    <n v="1"/>
    <n v="480000"/>
    <n v="480000"/>
    <x v="4"/>
    <n v="0"/>
    <s v="UG course (Research Lab)"/>
    <s v="yes"/>
    <s v="U.G"/>
    <x v="1"/>
    <x v="1"/>
    <n v="121400"/>
    <s v="Ravi Scientific Industries"/>
    <s v="DLPC-5"/>
    <n v="121400"/>
    <s v="GEM-70114791"/>
    <d v="2026-02-10T00:00:00"/>
    <s v="Pending"/>
  </r>
  <r>
    <n v="38"/>
    <s v="Digital Infrared Thermometer"/>
    <n v="1"/>
    <n v="1000"/>
    <n v="1000"/>
    <x v="5"/>
    <n v="0"/>
    <s v="required for BE civil students"/>
    <s v="yes"/>
    <s v="U.G"/>
    <x v="1"/>
    <x v="3"/>
    <m/>
    <m/>
    <m/>
    <m/>
    <m/>
    <m/>
    <m/>
  </r>
  <r>
    <n v="39"/>
    <s v="Flakiness  Index Gauge"/>
    <n v="2"/>
    <n v="2000"/>
    <n v="4000"/>
    <x v="5"/>
    <n v="2"/>
    <s v="required for BE civil students"/>
    <s v="yes"/>
    <s v="U.G"/>
    <x v="1"/>
    <x v="3"/>
    <m/>
    <m/>
    <m/>
    <m/>
    <m/>
    <m/>
    <m/>
  </r>
  <r>
    <n v="40"/>
    <s v="Elongation Index Gauge"/>
    <n v="2"/>
    <n v="2000"/>
    <n v="4000"/>
    <x v="5"/>
    <n v="2"/>
    <s v="required for BE civil students"/>
    <s v="yes"/>
    <s v="U.G"/>
    <x v="1"/>
    <x v="3"/>
    <m/>
    <m/>
    <m/>
    <m/>
    <m/>
    <m/>
    <m/>
  </r>
  <r>
    <n v="41"/>
    <s v="Mercury Manometer"/>
    <n v="1"/>
    <n v="10000"/>
    <n v="10000"/>
    <x v="5"/>
    <n v="0"/>
    <s v="required for BE civil students"/>
    <s v="yes"/>
    <s v="U.G"/>
    <x v="1"/>
    <x v="3"/>
    <m/>
    <m/>
    <m/>
    <m/>
    <m/>
    <m/>
    <m/>
  </r>
  <r>
    <n v="42"/>
    <s v="Impact Test for Aggregate"/>
    <n v="1"/>
    <n v="20000"/>
    <n v="20000"/>
    <x v="5"/>
    <n v="1"/>
    <s v="required for BE civil students"/>
    <s v="yes"/>
    <s v="U.G"/>
    <x v="1"/>
    <x v="3"/>
    <m/>
    <m/>
    <m/>
    <m/>
    <m/>
    <m/>
    <m/>
  </r>
  <r>
    <n v="43"/>
    <s v="Muffle furnace"/>
    <n v="1"/>
    <n v="30000"/>
    <n v="30000"/>
    <x v="5"/>
    <n v="0"/>
    <s v="required for BE civil students"/>
    <s v="yes"/>
    <s v="U.G"/>
    <x v="1"/>
    <x v="3"/>
    <m/>
    <m/>
    <m/>
    <m/>
    <m/>
    <m/>
    <m/>
  </r>
  <r>
    <n v="44"/>
    <s v="BOD INCUBATOR"/>
    <n v="1"/>
    <n v="40000"/>
    <n v="40000"/>
    <x v="5"/>
    <n v="1"/>
    <s v="required for BE civil students"/>
    <s v="yes"/>
    <s v="U.G"/>
    <x v="1"/>
    <x v="3"/>
    <m/>
    <m/>
    <m/>
    <m/>
    <m/>
    <m/>
    <m/>
  </r>
  <r>
    <n v="45"/>
    <s v="Venturimeter "/>
    <n v="1"/>
    <n v="60000"/>
    <n v="60000"/>
    <x v="5"/>
    <n v="0"/>
    <s v="required for BE civil students"/>
    <s v="yes"/>
    <s v="U.G"/>
    <x v="1"/>
    <x v="3"/>
    <m/>
    <m/>
    <m/>
    <m/>
    <m/>
    <m/>
    <m/>
  </r>
  <r>
    <n v="46"/>
    <s v="Orifice and Mouthpiece Apparatus "/>
    <n v="1"/>
    <n v="80000"/>
    <n v="80000"/>
    <x v="5"/>
    <n v="0"/>
    <s v="required for BE civil students"/>
    <s v="yes"/>
    <s v="U.G"/>
    <x v="1"/>
    <x v="3"/>
    <m/>
    <m/>
    <m/>
    <m/>
    <m/>
    <m/>
    <m/>
  </r>
  <r>
    <n v="47"/>
    <s v="Bernoulli's Apparatus "/>
    <n v="1"/>
    <n v="100000"/>
    <n v="100000"/>
    <x v="5"/>
    <n v="0"/>
    <s v="required for BE civil students"/>
    <s v="yes"/>
    <s v="U.G"/>
    <x v="1"/>
    <x v="3"/>
    <m/>
    <m/>
    <m/>
    <m/>
    <m/>
    <m/>
    <m/>
  </r>
  <r>
    <n v="48"/>
    <s v="Six gas analyser"/>
    <n v="1"/>
    <n v="250000"/>
    <n v="250000"/>
    <x v="5"/>
    <n v="0"/>
    <s v="required for BE civil students"/>
    <s v="yes"/>
    <s v="U.G"/>
    <x v="1"/>
    <x v="3"/>
    <m/>
    <m/>
    <m/>
    <m/>
    <m/>
    <m/>
    <m/>
  </r>
  <r>
    <n v="49"/>
    <s v="Portable Vacuum cleaner"/>
    <n v="2"/>
    <n v="5000"/>
    <n v="10000"/>
    <x v="6"/>
    <n v="0"/>
    <s v="For cleaning of IT eqipments"/>
    <s v="yes"/>
    <s v="U.G"/>
    <x v="1"/>
    <x v="3"/>
    <m/>
    <m/>
    <m/>
    <m/>
    <m/>
    <m/>
    <m/>
  </r>
  <r>
    <n v="50"/>
    <s v="DSLR Camera"/>
    <n v="1"/>
    <n v="35000"/>
    <n v="35000"/>
    <x v="6"/>
    <n v="0"/>
    <s v="As per GTU syllabus"/>
    <s v="yes"/>
    <s v="U.G"/>
    <x v="1"/>
    <x v="3"/>
    <m/>
    <m/>
    <m/>
    <m/>
    <m/>
    <m/>
    <m/>
  </r>
  <r>
    <n v="51"/>
    <s v="Bldc ceiling Fan with led light and remote control"/>
    <n v="1"/>
    <n v="3000"/>
    <n v="3000"/>
    <x v="7"/>
    <n v="0"/>
    <s v="UG course, Minor course of EV and PG course "/>
    <s v="yes"/>
    <s v="U.G"/>
    <x v="1"/>
    <x v="3"/>
    <m/>
    <m/>
    <s v="Not available on GeM as per requirement"/>
    <m/>
    <m/>
    <m/>
    <m/>
  </r>
  <r>
    <n v="52"/>
    <s v="Bldc pedstal Fan with  remote control"/>
    <n v="1"/>
    <n v="3000"/>
    <n v="3000"/>
    <x v="7"/>
    <n v="0"/>
    <s v="UG course, Minor course of EV and PG course "/>
    <s v="yes"/>
    <s v="U.G"/>
    <x v="1"/>
    <x v="3"/>
    <m/>
    <m/>
    <s v="Not available on GeM as per requirement"/>
    <m/>
    <m/>
    <m/>
    <m/>
  </r>
  <r>
    <n v="54"/>
    <s v="SMD rework station"/>
    <n v="2"/>
    <n v="10000"/>
    <n v="20000"/>
    <x v="7"/>
    <n v="0"/>
    <s v="UG course"/>
    <s v="yes"/>
    <s v="U.G"/>
    <x v="1"/>
    <x v="1"/>
    <n v="16000"/>
    <s v="Champion Interconnects, Mumbai"/>
    <s v="DP"/>
    <n v="16000"/>
    <s v="GEM-64295212"/>
    <d v="2025-09-26T00:00:00"/>
    <s v="N.A"/>
  </r>
  <r>
    <n v="56"/>
    <s v="Digital multimeter"/>
    <n v="8"/>
    <n v="3000"/>
    <n v="24000"/>
    <x v="7"/>
    <n v="8"/>
    <s v="UG course"/>
    <s v="yes"/>
    <s v="U.G"/>
    <x v="1"/>
    <x v="3"/>
    <m/>
    <m/>
    <m/>
    <m/>
    <m/>
    <m/>
    <m/>
  </r>
  <r>
    <n v="57"/>
    <s v="Handicapped electric tricycle"/>
    <n v="1"/>
    <n v="90000"/>
    <n v="90000"/>
    <x v="7"/>
    <n v="0"/>
    <s v="UG course, Minor course of EV and PG course"/>
    <s v="yes"/>
    <s v="U.G"/>
    <x v="1"/>
    <x v="3"/>
    <m/>
    <m/>
    <s v="Item Not Available"/>
    <m/>
    <m/>
    <m/>
    <m/>
  </r>
  <r>
    <n v="58"/>
    <s v="Electric two wheeler"/>
    <n v="1"/>
    <n v="120000"/>
    <n v="120000"/>
    <x v="7"/>
    <n v="0"/>
    <s v="UG course, Minor course of EV and PG course "/>
    <s v="yes"/>
    <s v="U.G"/>
    <x v="1"/>
    <x v="5"/>
    <n v="0"/>
    <m/>
    <s v="Cancelled due to RTO Registration Issue"/>
    <m/>
    <m/>
    <m/>
    <m/>
  </r>
  <r>
    <n v="59"/>
    <s v="Electrical Insulation mat (1000 mm X 2000 mm)"/>
    <n v="20"/>
    <n v="1200"/>
    <n v="240000"/>
    <x v="7"/>
    <n v="0"/>
    <s v="For student safety purpose working with live terminals in electrical labs."/>
    <s v="yes"/>
    <s v="U.G"/>
    <x v="1"/>
    <x v="1"/>
    <n v="24800"/>
    <s v="V.S Cables, Rajsthan"/>
    <s v="DP"/>
    <n v="24800"/>
    <s v="GEM-62185339"/>
    <d v="2024-08-08T00:00:00"/>
    <s v="N.A"/>
  </r>
  <r>
    <n v="60"/>
    <s v="Infrared Thermal Imaging Camera - handly for pictures"/>
    <n v="1"/>
    <n v="281000"/>
    <n v="281000"/>
    <x v="8"/>
    <n v="0"/>
    <s v="UG course, Minor course of EV and PG course incudes the thermal management system of EV and storage system"/>
    <s v="yes"/>
    <s v="U.G"/>
    <x v="1"/>
    <x v="5"/>
    <n v="0"/>
    <m/>
    <s v="L1 Price 1.5 times estimated price"/>
    <m/>
    <m/>
    <m/>
    <m/>
  </r>
  <r>
    <n v="61"/>
    <s v="colony counter"/>
    <n v="1"/>
    <n v="11000"/>
    <n v="11000"/>
    <x v="9"/>
    <n v="0"/>
    <s v="UG course, and for research purpose"/>
    <s v="yes"/>
    <s v="U.G"/>
    <x v="1"/>
    <x v="1"/>
    <n v="5754"/>
    <s v="N.K Enterprises"/>
    <s v="DP"/>
    <n v="5754"/>
    <s v="GEM-62986916"/>
    <d v="2025-08-29T00:00:00"/>
    <s v="N.A"/>
  </r>
  <r>
    <n v="62"/>
    <s v="Ceramic Heating Element"/>
    <n v="3"/>
    <n v="5000"/>
    <n v="15000"/>
    <x v="9"/>
    <n v="2"/>
    <s v="UG course, and for research purpose"/>
    <s v="yes"/>
    <s v="U.G"/>
    <x v="1"/>
    <x v="3"/>
    <m/>
    <m/>
    <m/>
    <m/>
    <m/>
    <m/>
    <m/>
  </r>
  <r>
    <n v="63"/>
    <s v="Medical Centrifuge"/>
    <n v="1"/>
    <n v="24000"/>
    <n v="24000"/>
    <x v="9"/>
    <n v="0"/>
    <s v="UG course, and for research purpose"/>
    <s v="yes"/>
    <s v="U.G"/>
    <x v="1"/>
    <x v="1"/>
    <n v="22001"/>
    <s v="Perfect Scientific Works"/>
    <s v="DP"/>
    <n v="21891"/>
    <s v="GEM-63212633"/>
    <d v="2025-09-02T00:00:00"/>
    <s v="N.A"/>
  </r>
  <r>
    <n v="64"/>
    <s v="Water Bath"/>
    <n v="1"/>
    <n v="40000"/>
    <n v="40000"/>
    <x v="9"/>
    <n v="0"/>
    <s v="UG course, and for research purpose"/>
    <s v="yes"/>
    <s v="U.G"/>
    <x v="1"/>
    <x v="1"/>
    <n v="29890"/>
    <s v="Gurukripa Enterprises, Ahmedabad"/>
    <s v="DLPC-3"/>
    <n v="29890"/>
    <s v="GEM-68141826"/>
    <d v="2025-12-28T00:00:00"/>
    <m/>
  </r>
  <r>
    <n v="65"/>
    <s v="Laboratory stirrer"/>
    <n v="2"/>
    <n v="20000"/>
    <n v="40000"/>
    <x v="9"/>
    <n v="0"/>
    <s v="UG course, and for research purpose"/>
    <s v="yes"/>
    <s v="U.G"/>
    <x v="1"/>
    <x v="1"/>
    <n v="38740"/>
    <s v="Gurukripa Enterprises, Ahmedabad"/>
    <s v="DLPC-3"/>
    <n v="38740"/>
    <s v="GEM-68141792"/>
    <d v="2025-12-28T00:00:00"/>
    <m/>
  </r>
  <r>
    <n v="66"/>
    <s v="Colorimeter"/>
    <n v="1"/>
    <n v="75000"/>
    <n v="75000"/>
    <x v="9"/>
    <n v="0"/>
    <s v="UG course, and for research purpose"/>
    <s v="yes"/>
    <s v="U.G"/>
    <x v="1"/>
    <x v="3"/>
    <m/>
    <m/>
    <m/>
    <m/>
    <m/>
    <m/>
    <m/>
  </r>
  <r>
    <n v="67"/>
    <s v="Magnetic Stirrer"/>
    <n v="6"/>
    <n v="25000"/>
    <n v="150000"/>
    <x v="9"/>
    <n v="2"/>
    <s v="UG course, and for research purpose"/>
    <s v="yes"/>
    <s v="U.G &amp; P.G"/>
    <x v="1"/>
    <x v="1"/>
    <n v="149280"/>
    <s v="Gurukripa Enterprises, Ahmedabad"/>
    <s v="DLPC-3"/>
    <n v="149280"/>
    <s v="GEM-68141721"/>
    <d v="2025-12-28T00:00:00"/>
    <s v="N.A"/>
  </r>
  <r>
    <n v="68"/>
    <s v="Turbidity meter"/>
    <n v="2"/>
    <n v="40000"/>
    <n v="80000"/>
    <x v="9"/>
    <n v="1"/>
    <s v="UG course, and for research purpose"/>
    <s v="yes"/>
    <s v="U.G"/>
    <x v="1"/>
    <x v="1"/>
    <n v="53000"/>
    <s v="Gurukripa Enterprises, Ahmedabad"/>
    <s v="DLPC-3"/>
    <n v="53000"/>
    <s v="GEM-68141762"/>
    <d v="2028-12-28T00:00:00"/>
    <s v="N.A"/>
  </r>
  <r>
    <n v="69"/>
    <s v="Laboratory Incubator"/>
    <n v="1"/>
    <n v="81000"/>
    <n v="81000"/>
    <x v="9"/>
    <n v="0"/>
    <s v="UG course, and for research purpose"/>
    <s v="yes"/>
    <s v="U.G"/>
    <x v="1"/>
    <x v="1"/>
    <n v="58700"/>
    <s v="M/S Hightech Instruments, Chandigarh"/>
    <s v="DLPC-3"/>
    <n v="58700"/>
    <s v="GEM-68435505"/>
    <d v="2026-01-05T00:00:00"/>
    <m/>
  </r>
  <r>
    <n v="70"/>
    <s v="Flame photometer"/>
    <n v="1"/>
    <n v="90000"/>
    <n v="90000"/>
    <x v="9"/>
    <n v="0"/>
    <s v="UG course, and for research purpose"/>
    <s v="yes"/>
    <s v="U.G"/>
    <x v="1"/>
    <x v="1"/>
    <n v="41900"/>
    <s v="Batra Trading Co., Ambala"/>
    <s v="DLPC-3"/>
    <n v="41900"/>
    <s v="GEM-68728576"/>
    <d v="2026-01-12T00:00:00"/>
    <m/>
  </r>
  <r>
    <n v="71"/>
    <s v="Hand Held Gps"/>
    <n v="1"/>
    <n v="140000"/>
    <n v="140000"/>
    <x v="9"/>
    <n v="0"/>
    <s v="UG course, and for research purpose"/>
    <s v="yes"/>
    <s v="U.G"/>
    <x v="1"/>
    <x v="5"/>
    <n v="0"/>
    <m/>
    <m/>
    <m/>
    <m/>
    <m/>
    <m/>
  </r>
  <r>
    <n v="72"/>
    <s v="Laminar Air flow"/>
    <n v="1"/>
    <n v="200000"/>
    <n v="200000"/>
    <x v="9"/>
    <n v="0"/>
    <s v="UG course, and for research purpose"/>
    <s v="yes"/>
    <s v="U.G"/>
    <x v="1"/>
    <x v="1"/>
    <n v="98800"/>
    <s v="Creative Lab world, Delhi"/>
    <s v="DLPC-3"/>
    <n v="98800"/>
    <s v="GEM-68518534"/>
    <d v="2026-01-07T00:00:00"/>
    <m/>
  </r>
  <r>
    <n v="73"/>
    <s v="Laboratory Refrigerator"/>
    <n v="1"/>
    <n v="200000"/>
    <n v="200000"/>
    <x v="9"/>
    <n v="0"/>
    <s v="UG course, and for research purpose"/>
    <s v="yes"/>
    <s v="U.G"/>
    <x v="1"/>
    <x v="1"/>
    <n v="165275"/>
    <s v="Advance Biotech Solutions Pvt. Ltd, Delhi"/>
    <s v="DLPC-3"/>
    <n v="165275"/>
    <s v="GEM-68001940"/>
    <d v="2025-12-24T00:00:00"/>
    <m/>
  </r>
  <r>
    <n v="74"/>
    <s v="High Quality Water Purification system "/>
    <n v="1"/>
    <n v="490000"/>
    <n v="490000"/>
    <x v="9"/>
    <n v="0"/>
    <s v="UG course, and for research purpose"/>
    <s v="yes"/>
    <s v="U.G"/>
    <x v="1"/>
    <x v="5"/>
    <n v="0"/>
    <m/>
    <m/>
    <m/>
    <m/>
    <m/>
    <m/>
  </r>
  <r>
    <n v="75"/>
    <s v="Air Blower"/>
    <n v="2"/>
    <n v="5000"/>
    <n v="10000"/>
    <x v="10"/>
    <n v="0"/>
    <s v="For cleaning of computer and laboratory"/>
    <s v="yes"/>
    <s v="U.G"/>
    <x v="1"/>
    <x v="3"/>
    <m/>
    <m/>
    <m/>
    <m/>
    <m/>
    <m/>
    <m/>
  </r>
  <r>
    <n v="76"/>
    <s v="WATER DISPENSAR"/>
    <n v="2"/>
    <n v="20000"/>
    <n v="40000"/>
    <x v="10"/>
    <n v="0"/>
    <s v="General purpose use"/>
    <s v="yes"/>
    <s v="U.G"/>
    <x v="1"/>
    <x v="3"/>
    <m/>
    <m/>
    <m/>
    <m/>
    <m/>
    <m/>
    <m/>
  </r>
  <r>
    <n v="77"/>
    <s v="Vaccum Cleaner"/>
    <n v="2"/>
    <n v="25000"/>
    <n v="50000"/>
    <x v="10"/>
    <n v="0"/>
    <s v="For cleaning of computer and laboratory"/>
    <s v="yes"/>
    <s v="U.G"/>
    <x v="1"/>
    <x v="3"/>
    <m/>
    <m/>
    <m/>
    <m/>
    <m/>
    <m/>
    <m/>
  </r>
  <r>
    <n v="78"/>
    <s v="IOT Trainer Kit"/>
    <n v="2"/>
    <n v="25000"/>
    <n v="50000"/>
    <x v="10"/>
    <n v="0"/>
    <s v="subject syllabus"/>
    <s v="yes"/>
    <s v="U.G"/>
    <x v="1"/>
    <x v="3"/>
    <m/>
    <m/>
    <m/>
    <m/>
    <m/>
    <m/>
    <m/>
  </r>
  <r>
    <n v="79"/>
    <s v="Reynolds Apparatus"/>
    <n v="1"/>
    <n v="70000"/>
    <n v="70000"/>
    <x v="11"/>
    <n v="1"/>
    <s v="Presently available equipment is not repairable. UG course requirement"/>
    <s v="yes"/>
    <s v="U.G"/>
    <x v="1"/>
    <x v="3"/>
    <m/>
    <m/>
    <m/>
    <m/>
    <m/>
    <m/>
    <m/>
  </r>
  <r>
    <n v="80"/>
    <s v="Impact Of Jet Apparatus,"/>
    <n v="1"/>
    <n v="80000"/>
    <n v="80000"/>
    <x v="11"/>
    <n v="1"/>
    <s v="Presently available equipment is not repairable. UG course requirement"/>
    <s v="yes"/>
    <s v="U.G"/>
    <x v="1"/>
    <x v="1"/>
    <n v="64400"/>
    <s v="Gurukripa Enterprises, Bharuch"/>
    <s v="DLPC-2"/>
    <n v="63756"/>
    <s v="GEM-66293068"/>
    <d v="2025-11-16T00:00:00"/>
    <s v="Pending"/>
  </r>
  <r>
    <n v="81"/>
    <s v="Shell and tube heat exchanger"/>
    <n v="1"/>
    <n v="150000"/>
    <n v="150000"/>
    <x v="11"/>
    <n v="0"/>
    <s v="UG course requirement"/>
    <s v="yes"/>
    <s v="U.G"/>
    <x v="1"/>
    <x v="3"/>
    <m/>
    <m/>
    <m/>
    <m/>
    <m/>
    <m/>
    <m/>
  </r>
  <r>
    <n v="82"/>
    <s v="Sample Mounting press"/>
    <n v="1"/>
    <n v="150000"/>
    <n v="150000"/>
    <x v="11"/>
    <n v="0"/>
    <s v="UG course requirement"/>
    <s v="yes"/>
    <s v="U.G"/>
    <x v="1"/>
    <x v="3"/>
    <m/>
    <m/>
    <m/>
    <m/>
    <m/>
    <m/>
    <m/>
  </r>
  <r>
    <n v="83"/>
    <s v="Abrasive cut-off wheel"/>
    <n v="1"/>
    <n v="300000"/>
    <n v="300000"/>
    <x v="11"/>
    <n v="0"/>
    <s v="UG course requirement"/>
    <s v="yes"/>
    <s v="U.G"/>
    <x v="1"/>
    <x v="3"/>
    <m/>
    <m/>
    <m/>
    <m/>
    <m/>
    <m/>
    <m/>
  </r>
  <r>
    <n v="84"/>
    <s v="Automatic polishing machine"/>
    <n v="1"/>
    <n v="400000"/>
    <n v="400000"/>
    <x v="11"/>
    <n v="0"/>
    <s v="UG course requirement"/>
    <s v="yes"/>
    <s v="U.G"/>
    <x v="1"/>
    <x v="3"/>
    <m/>
    <m/>
    <m/>
    <m/>
    <m/>
    <m/>
    <m/>
  </r>
  <r>
    <n v="85"/>
    <s v="KAPLAN TURBINE TEST RIG"/>
    <n v="1"/>
    <n v="490000"/>
    <n v="490000"/>
    <x v="11"/>
    <n v="1"/>
    <s v="Under writeoff"/>
    <s v="yes"/>
    <s v="U.G"/>
    <x v="1"/>
    <x v="4"/>
    <m/>
    <m/>
    <m/>
    <m/>
    <m/>
    <m/>
    <m/>
  </r>
  <r>
    <n v="86"/>
    <s v="PELTON WHEEL TURBINE TEST RIG"/>
    <n v="1"/>
    <n v="490000"/>
    <n v="490000"/>
    <x v="11"/>
    <n v="1"/>
    <s v="Under writeoff"/>
    <s v="yes"/>
    <s v="U.G"/>
    <x v="1"/>
    <x v="1"/>
    <n v="169000"/>
    <s v="Ether Engineers, Ambala"/>
    <s v="DLPC-5"/>
    <n v="166465"/>
    <s v="GEM-71117366"/>
    <d v="2026-02-25T00:00:00"/>
    <s v="Pending"/>
  </r>
  <r>
    <e v="#REF!"/>
    <s v="Spark tester"/>
    <n v="1"/>
    <n v="10000"/>
    <n v="10000"/>
    <x v="12"/>
    <n v="0"/>
    <s v="Required as per syllabus"/>
    <s v="yes"/>
    <s v="U.G"/>
    <x v="1"/>
    <x v="3"/>
    <m/>
    <m/>
    <m/>
    <m/>
    <m/>
    <m/>
    <m/>
  </r>
  <r>
    <e v="#REF!"/>
    <s v="Ring and Ball Appartus"/>
    <n v="1"/>
    <n v="50000"/>
    <n v="50000"/>
    <x v="12"/>
    <n v="0"/>
    <s v="Required as per syllabus"/>
    <s v="yes"/>
    <s v="U.G"/>
    <x v="1"/>
    <x v="3"/>
    <m/>
    <m/>
    <m/>
    <m/>
    <m/>
    <m/>
    <m/>
  </r>
  <r>
    <e v="#REF!"/>
    <s v="Aniline Point Appratus"/>
    <n v="1"/>
    <n v="55000"/>
    <n v="55000"/>
    <x v="12"/>
    <n v="0"/>
    <s v="Required as per syllabus"/>
    <s v="yes"/>
    <s v="U.G"/>
    <x v="1"/>
    <x v="3"/>
    <m/>
    <m/>
    <m/>
    <m/>
    <m/>
    <m/>
    <m/>
  </r>
  <r>
    <e v="#REF!"/>
    <s v="Reynolds Apparatus"/>
    <n v="1"/>
    <n v="60000"/>
    <m/>
    <x v="12"/>
    <n v="0"/>
    <s v="Required as per syllabus"/>
    <s v="yes"/>
    <s v="U.G"/>
    <x v="1"/>
    <x v="6"/>
    <n v="0"/>
    <s v="Roorkee Equipments"/>
    <s v="Not Approved, L1 Vendor EMD exception not valid-DLPC-1"/>
    <m/>
    <m/>
    <m/>
    <s v="Not Approved"/>
  </r>
  <r>
    <e v="#REF!"/>
    <s v="Planetary Mixer"/>
    <n v="1"/>
    <n v="100000"/>
    <n v="100000"/>
    <x v="12"/>
    <n v="0"/>
    <s v="Required as per syllabus"/>
    <s v="yes"/>
    <s v="U.G"/>
    <x v="1"/>
    <x v="3"/>
    <m/>
    <m/>
    <m/>
    <m/>
    <m/>
    <m/>
    <m/>
  </r>
  <r>
    <e v="#REF!"/>
    <s v="LCD display Moisture Analyzer"/>
    <n v="1"/>
    <n v="110000"/>
    <n v="110000"/>
    <x v="12"/>
    <n v="0"/>
    <s v="Required as per syllabus"/>
    <s v="yes"/>
    <s v="U.G"/>
    <x v="1"/>
    <x v="4"/>
    <m/>
    <m/>
    <m/>
    <m/>
    <m/>
    <m/>
    <m/>
  </r>
  <r>
    <e v="#REF!"/>
    <s v="Portable Surface Roughness Tester"/>
    <n v="1"/>
    <n v="125000"/>
    <n v="125000"/>
    <x v="12"/>
    <n v="0"/>
    <s v="Required as per syllabus"/>
    <s v="yes"/>
    <s v="U.G"/>
    <x v="1"/>
    <x v="4"/>
    <m/>
    <m/>
    <m/>
    <m/>
    <m/>
    <m/>
    <m/>
  </r>
  <r>
    <e v="#REF!"/>
    <s v="GSM Cutter"/>
    <n v="1"/>
    <n v="16000"/>
    <n v="16000"/>
    <x v="13"/>
    <n v="0"/>
    <s v="As per GTU syllabus"/>
    <s v="yes"/>
    <s v="U.G"/>
    <x v="1"/>
    <x v="3"/>
    <m/>
    <m/>
    <m/>
    <m/>
    <m/>
    <m/>
    <m/>
  </r>
  <r>
    <e v="#REF!"/>
    <s v="Electronic weighing scale - 600 gram , 0.01 g (10 mg)"/>
    <n v="1"/>
    <n v="21000"/>
    <n v="21000"/>
    <x v="13"/>
    <n v="0"/>
    <s v="As per GTU syllabus"/>
    <s v="yes"/>
    <s v="U.G"/>
    <x v="1"/>
    <x v="3"/>
    <m/>
    <m/>
    <m/>
    <m/>
    <m/>
    <m/>
    <m/>
  </r>
  <r>
    <e v="#REF!"/>
    <s v="Magnetic Stirrer with hot Plate"/>
    <n v="1"/>
    <n v="22500"/>
    <n v="22500"/>
    <x v="13"/>
    <n v="0"/>
    <s v="As per GTU syllabus"/>
    <s v="yes"/>
    <s v="U.G"/>
    <x v="1"/>
    <x v="3"/>
    <m/>
    <m/>
    <m/>
    <m/>
    <m/>
    <m/>
    <m/>
  </r>
  <r>
    <e v="#REF!"/>
    <s v="Digital Moisture Meter"/>
    <n v="1"/>
    <n v="45000"/>
    <n v="45000"/>
    <x v="13"/>
    <n v="0"/>
    <s v="As per GTU syllabus"/>
    <s v="yes"/>
    <s v="U.G"/>
    <x v="1"/>
    <x v="3"/>
    <m/>
    <m/>
    <m/>
    <m/>
    <m/>
    <m/>
    <m/>
  </r>
  <r>
    <e v="#REF!"/>
    <s v="Tearing Strength Tester"/>
    <n v="1"/>
    <n v="88000"/>
    <n v="88000"/>
    <x v="13"/>
    <n v="0"/>
    <s v="As per GTU syllabus"/>
    <s v="yes"/>
    <s v="U.G"/>
    <x v="1"/>
    <x v="3"/>
    <m/>
    <m/>
    <m/>
    <m/>
    <m/>
    <m/>
    <m/>
  </r>
  <r>
    <e v="#REF!"/>
    <s v="Hot Air Oven - Digital"/>
    <n v="1"/>
    <n v="88000"/>
    <n v="88000"/>
    <x v="13"/>
    <n v="0"/>
    <s v="As per GTU syllabus (Old machine not working)"/>
    <s v="yes"/>
    <s v="U.G"/>
    <x v="1"/>
    <x v="3"/>
    <m/>
    <m/>
    <m/>
    <m/>
    <m/>
    <m/>
    <m/>
  </r>
  <r>
    <e v="#REF!"/>
    <s v="Water Heating Bath"/>
    <n v="1"/>
    <n v="125000"/>
    <n v="125000"/>
    <x v="13"/>
    <n v="0"/>
    <s v="As per GTU syllabus"/>
    <s v="yes"/>
    <s v="U.G"/>
    <x v="1"/>
    <x v="3"/>
    <m/>
    <m/>
    <m/>
    <m/>
    <m/>
    <m/>
    <m/>
  </r>
  <r>
    <e v="#REF!"/>
    <s v="Trolley "/>
    <n v="16"/>
    <n v="3000"/>
    <n v="48000"/>
    <x v="14"/>
    <n v="2"/>
    <s v="Required for multiple dept."/>
    <s v="yes"/>
    <s v="U.G"/>
    <x v="1"/>
    <x v="3"/>
    <m/>
    <m/>
    <m/>
    <m/>
    <m/>
    <m/>
    <m/>
  </r>
  <r>
    <e v="#REF!"/>
    <s v="Trolley Mic"/>
    <n v="17"/>
    <n v="3000"/>
    <n v="51000"/>
    <x v="14"/>
    <n v="0"/>
    <s v="Required for multiple dept."/>
    <s v="yes"/>
    <s v="U.G"/>
    <x v="1"/>
    <x v="3"/>
    <m/>
    <m/>
    <m/>
    <m/>
    <m/>
    <m/>
    <m/>
  </r>
  <r>
    <e v="#REF!"/>
    <s v="Bluetooth Mic with Speaker"/>
    <n v="32"/>
    <n v="6000"/>
    <n v="192000"/>
    <x v="14"/>
    <n v="0"/>
    <s v="Required for multiple dept."/>
    <s v="yes"/>
    <s v="U.G"/>
    <x v="1"/>
    <x v="3"/>
    <m/>
    <m/>
    <m/>
    <m/>
    <m/>
    <m/>
    <m/>
  </r>
  <r>
    <e v="#REF!"/>
    <s v="Teaching Assistant Mic"/>
    <n v="92"/>
    <n v="3000"/>
    <n v="276000"/>
    <x v="14"/>
    <n v="0"/>
    <s v="Required for multiple dept."/>
    <s v="yes"/>
    <s v="U.G"/>
    <x v="1"/>
    <x v="3"/>
    <m/>
    <m/>
    <m/>
    <m/>
    <m/>
    <m/>
    <m/>
  </r>
  <r>
    <e v="#REF!"/>
    <s v="Projector Screen"/>
    <n v="27"/>
    <n v="15000"/>
    <n v="405000"/>
    <x v="14"/>
    <n v="18"/>
    <s v="Required for multiple dept."/>
    <s v="yes"/>
    <s v="U.G"/>
    <x v="1"/>
    <x v="3"/>
    <m/>
    <m/>
    <m/>
    <m/>
    <m/>
    <m/>
    <m/>
  </r>
  <r>
    <e v="#REF!"/>
    <s v="Compression testing machine"/>
    <n v="1"/>
    <n v="1500000"/>
    <n v="1500000"/>
    <x v="1"/>
    <n v="0"/>
    <s v="Basic requiremnet at UG and PG level research and testing"/>
    <s v="yes"/>
    <s v="U.G"/>
    <x v="1"/>
    <x v="1"/>
    <n v="1081920"/>
    <s v="EIE Instruments Pvt. Ltd., Ahmedabad"/>
    <s v="DPC"/>
    <n v="1080800"/>
    <s v="GEM-72018586"/>
    <d v="2026-03-12T00:00:00"/>
    <s v="Pending"/>
  </r>
  <r>
    <e v="#REF!"/>
    <s v="Atomic absorption Spectrophotometer (UV- Visible Double Beam Spectrophotometer)"/>
    <n v="1"/>
    <n v="600000"/>
    <n v="600000"/>
    <x v="5"/>
    <m/>
    <s v="UG course, and for research purpose"/>
    <s v="yes"/>
    <s v="U.G"/>
    <x v="1"/>
    <x v="7"/>
    <n v="596250"/>
    <s v="Labtronik,Ahmedabad"/>
    <s v="DPC"/>
    <n v="0"/>
    <m/>
    <m/>
    <m/>
  </r>
  <r>
    <e v="#REF!"/>
    <s v="TOTAL SATATION"/>
    <n v="2"/>
    <n v="1250000"/>
    <n v="2500000"/>
    <x v="5"/>
    <n v="3"/>
    <s v="UG course, and for research purpose"/>
    <s v="yes"/>
    <s v="U.G"/>
    <x v="1"/>
    <x v="4"/>
    <m/>
    <m/>
    <m/>
    <m/>
    <m/>
    <m/>
    <m/>
  </r>
  <r>
    <e v="#REF!"/>
    <s v="VR/AR Headsets"/>
    <n v="10"/>
    <n v="125000"/>
    <n v="1250000"/>
    <x v="6"/>
    <n v="0"/>
    <s v="As per GTU syllabus"/>
    <s v="yes"/>
    <s v="U.G"/>
    <x v="1"/>
    <x v="3"/>
    <m/>
    <m/>
    <m/>
    <m/>
    <m/>
    <m/>
    <m/>
  </r>
  <r>
    <e v="#REF!"/>
    <s v="PCB prototyping machine"/>
    <n v="1"/>
    <n v="500000"/>
    <n v="500000"/>
    <x v="7"/>
    <n v="0"/>
    <s v="UG course"/>
    <s v="yes"/>
    <s v="U.G"/>
    <x v="1"/>
    <x v="1"/>
    <n v="400000"/>
    <s v="Dinesh Scientific,Haryana"/>
    <s v="DLPC-5"/>
    <n v="398000"/>
    <s v="GEM-71175160"/>
    <d v="2026-02-26T00:00:00"/>
    <m/>
  </r>
  <r>
    <e v="#REF!"/>
    <s v="Electrical machine trainer"/>
    <n v="2"/>
    <n v="800000"/>
    <n v="1600000"/>
    <x v="7"/>
    <n v="0"/>
    <s v="UG course"/>
    <s v="yes"/>
    <s v="U.G"/>
    <x v="1"/>
    <x v="1"/>
    <n v="242787"/>
    <s v="Araby Technologies,Pune"/>
    <s v="DLPC-5"/>
    <n v="239144"/>
    <s v="GEM-69563159"/>
    <d v="2026-01-31T00:00:00"/>
    <s v="Pending"/>
  </r>
  <r>
    <e v="#REF!"/>
    <s v="Infrared Thermal imaging Camera with video recording"/>
    <n v="1"/>
    <n v="3900000"/>
    <n v="3900000"/>
    <x v="8"/>
    <n v="0"/>
    <s v="UG course, Minor course of EV and PG course incudes the thermal management system of EV and storage system"/>
    <s v="yes"/>
    <s v="U.G"/>
    <x v="1"/>
    <x v="3"/>
    <m/>
    <m/>
    <m/>
    <m/>
    <m/>
    <m/>
    <m/>
  </r>
  <r>
    <e v="#REF!"/>
    <s v="Water quality analyzer for ions"/>
    <n v="1"/>
    <n v="500000"/>
    <n v="500000"/>
    <x v="9"/>
    <n v="0"/>
    <s v="UG course, and for research purpose"/>
    <s v="yes"/>
    <s v="U.G"/>
    <x v="1"/>
    <x v="5"/>
    <n v="0"/>
    <s v="Labdart Instruments Pvt. Ltd."/>
    <s v="DLPC-5"/>
    <m/>
    <m/>
    <m/>
    <m/>
  </r>
  <r>
    <e v="#REF!"/>
    <s v="Micro hardness tester"/>
    <n v="1"/>
    <n v="1500000"/>
    <n v="1500000"/>
    <x v="11"/>
    <n v="0"/>
    <s v="UG course requirement"/>
    <s v="yes"/>
    <s v="U.G"/>
    <x v="1"/>
    <x v="3"/>
    <m/>
    <m/>
    <m/>
    <m/>
    <m/>
    <m/>
    <m/>
  </r>
  <r>
    <e v="#REF!"/>
    <s v="Vertical Milling Machine"/>
    <n v="1"/>
    <n v="2000000"/>
    <n v="2000000"/>
    <x v="11"/>
    <n v="0"/>
    <s v="UG course requirement"/>
    <s v="yes"/>
    <s v="U.G"/>
    <x v="1"/>
    <x v="3"/>
    <m/>
    <m/>
    <m/>
    <m/>
    <m/>
    <m/>
    <m/>
  </r>
  <r>
    <e v="#REF!"/>
    <s v="High end Metallurgical Microscope"/>
    <n v="1"/>
    <n v="2500000"/>
    <n v="2500000"/>
    <x v="11"/>
    <n v="0"/>
    <s v="UG course requirement"/>
    <s v="yes"/>
    <s v="U.G"/>
    <x v="1"/>
    <x v="3"/>
    <m/>
    <m/>
    <m/>
    <m/>
    <m/>
    <m/>
    <m/>
  </r>
  <r>
    <s v="95R1"/>
    <s v="Brooke Field Viscometer "/>
    <n v="1"/>
    <n v="400000"/>
    <n v="400000"/>
    <x v="12"/>
    <n v="0"/>
    <s v="Required as per syllabus"/>
    <s v="yes"/>
    <s v="U.G"/>
    <x v="1"/>
    <x v="1"/>
    <n v="168800"/>
    <s v="Ravi Scientific Industries"/>
    <s v="DLPC-5"/>
    <n v="168800"/>
    <s v="GEM-71255476"/>
    <d v="2026-02-27T00:00:00"/>
    <m/>
  </r>
  <r>
    <e v="#VALUE!"/>
    <s v="Socks Knitting Machine"/>
    <n v="1"/>
    <n v="630000"/>
    <n v="630000"/>
    <x v="13"/>
    <n v="0"/>
    <s v="As per GTU syllabus"/>
    <s v="yes"/>
    <s v="U.G"/>
    <x v="1"/>
    <x v="3"/>
    <m/>
    <m/>
    <m/>
    <m/>
    <m/>
    <m/>
    <m/>
  </r>
  <r>
    <e v="#VALUE!"/>
    <s v="Circular Knitting Machine- Sinkerbody"/>
    <n v="1"/>
    <n v="657000"/>
    <n v="657000"/>
    <x v="13"/>
    <n v="0"/>
    <s v="As per GTU syllabus"/>
    <s v="yes"/>
    <s v="U.G"/>
    <x v="1"/>
    <x v="3"/>
    <m/>
    <m/>
    <m/>
    <m/>
    <m/>
    <m/>
    <m/>
  </r>
  <r>
    <e v="#VALUE!"/>
    <s v="Circular Knitting Machine- RIB"/>
    <n v="1"/>
    <n v="682500"/>
    <n v="682500"/>
    <x v="13"/>
    <n v="0"/>
    <s v="As per GTU syllabus"/>
    <s v="yes"/>
    <s v="U.G"/>
    <x v="1"/>
    <x v="3"/>
    <m/>
    <m/>
    <m/>
    <m/>
    <m/>
    <m/>
    <m/>
  </r>
  <r>
    <e v="#VALUE!"/>
    <s v="Circular Knitting Machine- Interlock"/>
    <n v="1"/>
    <n v="709000"/>
    <n v="709000"/>
    <x v="13"/>
    <n v="0"/>
    <s v="As per GTU syllabus"/>
    <s v="yes"/>
    <s v="U.G"/>
    <x v="1"/>
    <x v="3"/>
    <m/>
    <m/>
    <m/>
    <m/>
    <m/>
    <m/>
    <m/>
  </r>
  <r>
    <e v="#VALUE!"/>
    <s v="Computerized Tensile strength Tester for Textile"/>
    <n v="1"/>
    <n v="1000000"/>
    <n v="1000000"/>
    <x v="13"/>
    <n v="0"/>
    <s v="As per GTU syllabus"/>
    <s v="yes"/>
    <s v="U.G"/>
    <x v="1"/>
    <x v="3"/>
    <m/>
    <m/>
    <m/>
    <m/>
    <m/>
    <m/>
    <m/>
  </r>
  <r>
    <e v="#VALUE!"/>
    <s v="Automatic Tensile Strength Tester 500 kg +1000kg(Strio &amp; Grab + Lea + Tear + Tenacity + Seam Slippage + Peal bond Strength + Stretch Recovery)"/>
    <n v="1"/>
    <n v="1138000"/>
    <n v="1138000"/>
    <x v="13"/>
    <n v="0"/>
    <s v="As per GTU syllabus"/>
    <s v="yes"/>
    <s v="U.G"/>
    <x v="1"/>
    <x v="1"/>
    <n v="864480"/>
    <s v="Mag Solvics Pvt. Ltd."/>
    <s v="DLPC-1"/>
    <n v="864480"/>
    <s v="GEM-66891026"/>
    <d v="2025-11-30T00:00:00"/>
    <s v="055163"/>
  </r>
  <r>
    <e v="#VALUE!"/>
    <s v="Raschel warp knitting Machine"/>
    <n v="1"/>
    <n v="5000000"/>
    <n v="5000000"/>
    <x v="13"/>
    <n v="0"/>
    <s v="As per GTU syllabus"/>
    <s v="yes"/>
    <s v="U.G"/>
    <x v="1"/>
    <x v="3"/>
    <m/>
    <m/>
    <m/>
    <m/>
    <m/>
    <m/>
    <m/>
  </r>
  <r>
    <e v="#VALUE!"/>
    <s v="Tricot Warp Knitting Machine"/>
    <n v="1"/>
    <n v="5000000"/>
    <n v="5000000"/>
    <x v="13"/>
    <n v="0"/>
    <s v="As per GTU syllabus"/>
    <s v="yes"/>
    <s v="U.G"/>
    <x v="1"/>
    <x v="3"/>
    <m/>
    <m/>
    <m/>
    <m/>
    <m/>
    <m/>
    <m/>
  </r>
  <r>
    <e v="#VALUE!"/>
    <s v="Wall Mount Fan"/>
    <n v="147"/>
    <n v="4000"/>
    <n v="588000"/>
    <x v="14"/>
    <n v="8"/>
    <s v="Required for multiple dept."/>
    <s v="yes"/>
    <s v="U.G"/>
    <x v="1"/>
    <x v="3"/>
    <m/>
    <m/>
    <m/>
    <m/>
    <m/>
    <m/>
    <m/>
  </r>
  <r>
    <e v="#VALUE!"/>
    <s v="PA system"/>
    <n v="17"/>
    <n v="70000"/>
    <n v="1190000"/>
    <x v="14"/>
    <n v="8"/>
    <s v="Required for multiple dept."/>
    <s v="yes"/>
    <s v="U.G"/>
    <x v="1"/>
    <x v="3"/>
    <m/>
    <m/>
    <m/>
    <m/>
    <m/>
    <m/>
    <m/>
  </r>
  <r>
    <e v="#VALUE!"/>
    <s v="Ceiling Fan"/>
    <n v="259"/>
    <n v="5000"/>
    <n v="1295000"/>
    <x v="14"/>
    <n v="167"/>
    <s v="Required for multiple dept."/>
    <s v="yes"/>
    <s v="U.G"/>
    <x v="1"/>
    <x v="3"/>
    <m/>
    <m/>
    <m/>
    <m/>
    <m/>
    <m/>
    <m/>
  </r>
  <r>
    <e v="#VALUE!"/>
    <s v="Water Cooler with RO"/>
    <n v="20"/>
    <n v="150000"/>
    <n v="3000000"/>
    <x v="14"/>
    <n v="9"/>
    <s v="Required for multiple dept."/>
    <s v="yes"/>
    <s v="U.G"/>
    <x v="1"/>
    <x v="3"/>
    <m/>
    <m/>
    <m/>
    <m/>
    <m/>
    <m/>
    <m/>
  </r>
  <r>
    <e v="#VALUE!"/>
    <s v="Smart podium"/>
    <n v="27"/>
    <n v="200000"/>
    <n v="5400000"/>
    <x v="14"/>
    <n v="5"/>
    <s v="Required for multiple dept."/>
    <s v="yes"/>
    <s v="U.G"/>
    <x v="1"/>
    <x v="3"/>
    <m/>
    <m/>
    <m/>
    <m/>
    <m/>
    <m/>
    <m/>
  </r>
  <r>
    <e v="#VALUE!"/>
    <s v="Copier machine"/>
    <n v="23"/>
    <n v="250000"/>
    <n v="5750000"/>
    <x v="14"/>
    <n v="3"/>
    <s v="Required for multiple dept."/>
    <s v="yes"/>
    <s v="U.G"/>
    <x v="1"/>
    <x v="3"/>
    <m/>
    <m/>
    <m/>
    <m/>
    <m/>
    <m/>
    <m/>
  </r>
  <r>
    <e v="#VALUE!"/>
    <s v="Air conditioner for laboratory"/>
    <n v="97"/>
    <n v="70000"/>
    <n v="6790000"/>
    <x v="14"/>
    <n v="15"/>
    <s v="Required for multiple dept."/>
    <s v="yes"/>
    <s v="U.G"/>
    <x v="1"/>
    <x v="3"/>
    <m/>
    <m/>
    <m/>
    <m/>
    <m/>
    <m/>
    <m/>
  </r>
  <r>
    <n v="1"/>
    <s v="Hot Plate (with Stirrer)"/>
    <n v="1"/>
    <n v="15000"/>
    <n v="15000"/>
    <x v="13"/>
    <n v="0"/>
    <s v="As per GTU syllabus"/>
    <s v="yes"/>
    <s v="P.G"/>
    <x v="1"/>
    <x v="3"/>
    <m/>
    <m/>
    <m/>
    <m/>
    <m/>
    <m/>
    <m/>
  </r>
  <r>
    <n v="2"/>
    <s v="Dewar Vessel"/>
    <n v="2"/>
    <n v="25000"/>
    <n v="50000"/>
    <x v="11"/>
    <n v="0"/>
    <s v="Required for ME cryogenics system"/>
    <s v="yes"/>
    <s v="P.G"/>
    <x v="1"/>
    <x v="3"/>
    <m/>
    <m/>
    <m/>
    <m/>
    <m/>
    <m/>
    <m/>
  </r>
  <r>
    <n v="3"/>
    <s v="Peristaltic Pump"/>
    <n v="1"/>
    <n v="100000"/>
    <n v="100000"/>
    <x v="4"/>
    <n v="0"/>
    <s v="PG and Research Work"/>
    <s v="yes"/>
    <s v="P.G"/>
    <x v="1"/>
    <x v="3"/>
    <m/>
    <m/>
    <m/>
    <m/>
    <m/>
    <m/>
    <m/>
  </r>
  <r>
    <n v="4"/>
    <s v="High precision Weighing Balance"/>
    <n v="2"/>
    <n v="50000"/>
    <n v="100000"/>
    <x v="4"/>
    <n v="0"/>
    <s v="PG and Analytical Lab"/>
    <s v="yes"/>
    <s v="P.G"/>
    <x v="1"/>
    <x v="1"/>
    <n v="89000"/>
    <s v="Apple Weighinfra Limited"/>
    <s v="DLPC-7"/>
    <n v="89000"/>
    <s v="GEM-77015609"/>
    <d v="2026-03-12T00:00:00"/>
    <s v="Pending"/>
  </r>
  <r>
    <n v="5"/>
    <s v="PA system"/>
    <n v="2"/>
    <n v="70000"/>
    <n v="140000"/>
    <x v="14"/>
    <n v="2"/>
    <s v="Required for multiple dept."/>
    <s v="yes"/>
    <s v="P.G"/>
    <x v="1"/>
    <x v="3"/>
    <m/>
    <m/>
    <m/>
    <m/>
    <m/>
    <m/>
    <m/>
  </r>
  <r>
    <n v="6"/>
    <s v="Ultra low temperature deep freezer"/>
    <n v="1"/>
    <n v="150000"/>
    <n v="150000"/>
    <x v="4"/>
    <n v="0"/>
    <s v="PG and Research Work"/>
    <s v="yes"/>
    <s v="P.G"/>
    <x v="1"/>
    <x v="3"/>
    <m/>
    <m/>
    <m/>
    <m/>
    <m/>
    <m/>
    <m/>
  </r>
  <r>
    <n v="7"/>
    <s v="Flat bed knitting machine"/>
    <n v="1"/>
    <n v="150000"/>
    <n v="150000"/>
    <x v="13"/>
    <n v="0"/>
    <s v="As per GTU syllabus"/>
    <s v="yes"/>
    <s v="P.G"/>
    <x v="1"/>
    <x v="3"/>
    <m/>
    <m/>
    <m/>
    <m/>
    <m/>
    <m/>
    <m/>
  </r>
  <r>
    <n v="8"/>
    <s v="Projector Screen"/>
    <n v="10"/>
    <n v="15000"/>
    <n v="150000"/>
    <x v="14"/>
    <n v="6"/>
    <s v="Required for multiple dept."/>
    <s v="yes"/>
    <s v="P.G"/>
    <x v="1"/>
    <x v="3"/>
    <m/>
    <m/>
    <m/>
    <m/>
    <m/>
    <m/>
    <m/>
  </r>
  <r>
    <n v="9"/>
    <s v="Peristaltic Pump"/>
    <n v="2"/>
    <n v="125000"/>
    <n v="250000"/>
    <x v="9"/>
    <n v="0"/>
    <s v="PG course, and for research purpose"/>
    <s v="yes"/>
    <s v="P.G"/>
    <x v="1"/>
    <x v="5"/>
    <n v="0"/>
    <m/>
    <s v="Cancelled"/>
    <m/>
    <m/>
    <m/>
    <m/>
  </r>
  <r>
    <n v="10"/>
    <s v="Universal Laboratory Padding Mangle"/>
    <n v="1"/>
    <n v="250000"/>
    <n v="250000"/>
    <x v="13"/>
    <n v="0"/>
    <s v="As per GTU syllabus"/>
    <s v="yes"/>
    <s v="P.G"/>
    <x v="1"/>
    <x v="3"/>
    <m/>
    <m/>
    <m/>
    <m/>
    <m/>
    <m/>
    <m/>
  </r>
  <r>
    <n v="11"/>
    <s v="Rotary Vacuum Evaporator"/>
    <n v="1"/>
    <n v="350000"/>
    <n v="350000"/>
    <x v="4"/>
    <n v="0"/>
    <s v="PG and Research Work"/>
    <s v="yes"/>
    <s v="P.G"/>
    <x v="1"/>
    <x v="3"/>
    <m/>
    <m/>
    <m/>
    <m/>
    <m/>
    <m/>
    <m/>
  </r>
  <r>
    <n v="12"/>
    <s v="Fume Hood"/>
    <n v="1"/>
    <n v="350000"/>
    <n v="350000"/>
    <x v="9"/>
    <n v="0"/>
    <s v="PG course, and for research purpose"/>
    <s v="yes"/>
    <s v="P.G"/>
    <x v="1"/>
    <x v="1"/>
    <n v="305000"/>
    <s v="Narang Scientific Works Pvt. Ltd., New Delhi"/>
    <s v="DLPC-3"/>
    <n v="301950"/>
    <s v="GEM-69832077"/>
    <d v="2026-02-05T00:00:00"/>
    <s v="Exempted"/>
  </r>
  <r>
    <n v="13"/>
    <s v="Smart podium"/>
    <n v="4"/>
    <n v="200000"/>
    <n v="800000"/>
    <x v="14"/>
    <n v="0"/>
    <s v="Required for multiple dept."/>
    <s v="yes"/>
    <s v="P.G"/>
    <x v="1"/>
    <x v="3"/>
    <m/>
    <m/>
    <m/>
    <m/>
    <m/>
    <m/>
    <m/>
  </r>
  <r>
    <n v="14"/>
    <s v="Air conditioner for laboratory"/>
    <n v="14"/>
    <n v="70000"/>
    <n v="980000"/>
    <x v="14"/>
    <n v="2"/>
    <s v="Required for multiple dept."/>
    <s v="yes"/>
    <s v="P.G"/>
    <x v="1"/>
    <x v="3"/>
    <m/>
    <m/>
    <m/>
    <m/>
    <m/>
    <m/>
    <m/>
  </r>
  <r>
    <n v="15"/>
    <s v="Laser Cutting Machine"/>
    <n v="1"/>
    <n v="1000000"/>
    <n v="1000000"/>
    <x v="11"/>
    <n v="0"/>
    <s v="Required for ME CAD/CAM"/>
    <s v="yes"/>
    <s v="P.G"/>
    <x v="1"/>
    <x v="4"/>
    <m/>
    <m/>
    <m/>
    <m/>
    <m/>
    <m/>
    <m/>
  </r>
  <r>
    <n v="16"/>
    <s v="Water Cooler with RO"/>
    <n v="3"/>
    <n v="600000"/>
    <n v="1800000"/>
    <x v="14"/>
    <n v="2"/>
    <s v="Required for multiple dept."/>
    <s v="yes"/>
    <s v="P.G"/>
    <x v="1"/>
    <x v="3"/>
    <m/>
    <m/>
    <m/>
    <m/>
    <m/>
    <m/>
    <m/>
  </r>
  <r>
    <n v="17"/>
    <s v="FTIR Spectroscope"/>
    <n v="1"/>
    <n v="2500000"/>
    <n v="2500000"/>
    <x v="4"/>
    <n v="0"/>
    <s v="PG and Analytical Lab"/>
    <s v="yes"/>
    <s v="P.G"/>
    <x v="1"/>
    <x v="4"/>
    <m/>
    <m/>
    <m/>
    <m/>
    <m/>
    <m/>
    <m/>
  </r>
  <r>
    <n v="18"/>
    <s v="Atomic Absorption Spectrophotometer"/>
    <n v="1"/>
    <n v="2000000"/>
    <n v="2000000"/>
    <x v="4"/>
    <n v="0"/>
    <s v="PG and Analytical Lab"/>
    <s v="yes"/>
    <s v="P.G"/>
    <x v="1"/>
    <x v="3"/>
    <m/>
    <m/>
    <m/>
    <m/>
    <m/>
    <m/>
    <m/>
  </r>
  <r>
    <n v="0"/>
    <s v="Miniature handloom machine"/>
    <n v="1"/>
    <n v="200000"/>
    <n v="200000"/>
    <x v="13"/>
    <n v="0"/>
    <s v="As per GTU syllabus"/>
    <s v="yes"/>
    <s v="Add on "/>
    <x v="1"/>
    <x v="1"/>
    <n v="198500"/>
    <s v="Hindustan weaving looms, Azamgarh"/>
    <s v="DLPC-3"/>
    <n v="198500"/>
    <s v="GEM-69347947"/>
    <d v="2026-01-27T00:00:00"/>
    <n v="711827"/>
  </r>
  <r>
    <n v="0"/>
    <s v="Air conditioner for library"/>
    <n v="8"/>
    <n v="65000"/>
    <n v="520000"/>
    <x v="15"/>
    <n v="0"/>
    <s v="in the interest of Student-Gymkhana"/>
    <s v="yes"/>
    <s v="Add on "/>
    <x v="1"/>
    <x v="2"/>
    <m/>
    <m/>
    <m/>
    <m/>
    <m/>
    <m/>
    <m/>
  </r>
  <r>
    <n v="0"/>
    <s v="Air conditioner for laboratory-finalized to Procure"/>
    <n v="67"/>
    <n v="50000"/>
    <n v="3350000"/>
    <x v="16"/>
    <n v="17"/>
    <s v="Required for multiple dept."/>
    <s v="yes"/>
    <s v="Add on "/>
    <x v="1"/>
    <x v="1"/>
    <n v="3068600"/>
    <s v="Vedanta  Equipment Pvt. Ltd."/>
    <s v="DPC"/>
    <n v="3053257"/>
    <s v="GEM-71599823"/>
    <d v="2026-03-06T00:00:00"/>
    <s v="Received"/>
  </r>
  <r>
    <n v="1"/>
    <s v="House keeping for Hostel"/>
    <n v="1"/>
    <n v="5800000"/>
    <n v="5800000"/>
    <x v="17"/>
    <n v="0"/>
    <s v="Services required "/>
    <s v="yes"/>
    <s v="Add on "/>
    <x v="2"/>
    <x v="2"/>
    <n v="4565977"/>
    <s v="Gujarat Services"/>
    <s v="CTE"/>
    <m/>
    <m/>
    <m/>
    <s v="Pending"/>
  </r>
  <r>
    <n v="2"/>
    <s v="House keeping for Institute"/>
    <n v="1"/>
    <n v="9908765"/>
    <n v="9908765"/>
    <x v="18"/>
    <n v="0"/>
    <s v="Services required "/>
    <s v="yes"/>
    <s v="Add on "/>
    <x v="2"/>
    <x v="2"/>
    <n v="9908765"/>
    <s v="Gujarat Services"/>
    <s v="CTE"/>
    <m/>
    <m/>
    <m/>
    <s v="paid"/>
  </r>
  <r>
    <n v="3"/>
    <s v="AMC for Fire System &amp; Fire NOC for Hostel"/>
    <n v="1"/>
    <n v="2500000"/>
    <n v="2500000"/>
    <x v="17"/>
    <n v="0"/>
    <s v="Services required "/>
    <s v="yes"/>
    <s v="Add on "/>
    <x v="2"/>
    <x v="2"/>
    <n v="2345000"/>
    <s v="Gen X technologies"/>
    <s v="DPC-1"/>
    <m/>
    <m/>
    <m/>
    <s v="paid"/>
  </r>
  <r>
    <n v="4"/>
    <s v="AMC for Canteen/Mess services for Hostel"/>
    <n v="1"/>
    <n v="22000000"/>
    <m/>
    <x v="17"/>
    <n v="0"/>
    <s v="Services required "/>
    <s v="yes"/>
    <s v="Add on "/>
    <x v="2"/>
    <x v="5"/>
    <m/>
    <m/>
    <m/>
    <m/>
    <m/>
    <m/>
    <m/>
  </r>
  <r>
    <n v="5"/>
    <s v="Manpower Outsourcing services-30 Persons"/>
    <n v="1"/>
    <n v="7000000"/>
    <m/>
    <x v="18"/>
    <n v="0"/>
    <s v="Services required "/>
    <s v="yes"/>
    <s v="Add on "/>
    <x v="2"/>
    <x v="5"/>
    <m/>
    <m/>
    <m/>
    <m/>
    <m/>
    <m/>
    <m/>
  </r>
  <r>
    <n v="5"/>
    <s v="Manpower Outsourcing services-30 Persons"/>
    <n v="1"/>
    <n v="7000000"/>
    <m/>
    <x v="18"/>
    <n v="0"/>
    <s v="Services required "/>
    <s v="yes"/>
    <s v="Add on "/>
    <x v="2"/>
    <x v="5"/>
    <m/>
    <m/>
    <m/>
    <m/>
    <m/>
    <m/>
    <m/>
  </r>
  <r>
    <n v="5"/>
    <s v="Manpower Outsourcing services-30 Persons"/>
    <n v="1"/>
    <n v="7000000"/>
    <n v="7000000"/>
    <x v="18"/>
    <n v="0"/>
    <s v="Services required "/>
    <s v="yes"/>
    <s v="Add on "/>
    <x v="2"/>
    <x v="7"/>
    <n v="6479737"/>
    <s v="Hindusthan Services"/>
    <s v="CTE"/>
    <m/>
    <m/>
    <m/>
    <s v="Pending"/>
  </r>
  <r>
    <n v="6"/>
    <s v="AMC for RO plant for Hostel"/>
    <n v="1"/>
    <n v="300000"/>
    <n v="300000"/>
    <x v="17"/>
    <n v="0"/>
    <s v="Services required "/>
    <s v="yes"/>
    <s v="Add on "/>
    <x v="2"/>
    <x v="2"/>
    <n v="164880"/>
    <s v="Pure oxidant Tech. Pvt.Ltd."/>
    <s v="DLPC-1"/>
    <m/>
    <m/>
    <m/>
    <s v="Pending"/>
  </r>
  <r>
    <n v="1"/>
    <s v="Multi Output DC Power Supply"/>
    <n v="20"/>
    <n v="25000"/>
    <n v="500000"/>
    <x v="19"/>
    <n v="0"/>
    <s v="For UG and PG Lab"/>
    <s v="yes"/>
    <s v="Add on "/>
    <x v="1"/>
    <x v="1"/>
    <n v="269000"/>
    <s v="Batra trading Co., Haryana"/>
    <s v="DLPC-2"/>
    <n v="269000"/>
    <s v="GEM-67047923"/>
    <d v="2025-12-03T00:00:00"/>
    <s v="Pending"/>
  </r>
  <r>
    <n v="2"/>
    <s v="Digital Electronics Kits (With Additional Cards)"/>
    <n v="9"/>
    <n v="55550"/>
    <n v="499950"/>
    <x v="19"/>
    <n v="0"/>
    <s v="For UG and PG Lab"/>
    <s v="yes"/>
    <s v="Add on "/>
    <x v="1"/>
    <x v="6"/>
    <n v="0"/>
    <s v="Kitek  Technologies &amp; All tech"/>
    <s v="DLPC-5"/>
    <m/>
    <m/>
    <m/>
    <m/>
  </r>
  <r>
    <n v="27"/>
    <s v="Shrinkage Measurement Template &amp; Scale Universal"/>
    <n v="1"/>
    <n v="24000"/>
    <n v="24000"/>
    <x v="13"/>
    <n v="0"/>
    <s v="Basic requiremnet at UG and PG level research and testing"/>
    <s v="yes"/>
    <s v="Add on "/>
    <x v="1"/>
    <x v="1"/>
    <n v="24500"/>
    <s v="Mag Solvics Pvt. Ltd."/>
    <s v="DP"/>
    <n v="23760"/>
    <s v="GEM-61978420"/>
    <d v="2025-08-04T00:00:00"/>
    <s v="N.A"/>
  </r>
  <r>
    <n v="25"/>
    <s v="Fabric Stiffness Tester"/>
    <n v="1"/>
    <n v="24700"/>
    <n v="24700"/>
    <x v="13"/>
    <n v="1"/>
    <s v="Basic requiremnet at UG and PG level research and testing"/>
    <s v="yes"/>
    <s v="Add on "/>
    <x v="1"/>
    <x v="1"/>
    <n v="24700"/>
    <s v="Mag Solvics Pvt. Ltd."/>
    <s v="DP"/>
    <n v="23760"/>
    <s v="GEM-61894717"/>
    <d v="2025-08-02T00:00:00"/>
    <s v="N.A"/>
  </r>
  <r>
    <n v="4"/>
    <s v="Sound level meter"/>
    <n v="1"/>
    <n v="535000"/>
    <n v="535000"/>
    <x v="5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Received"/>
  </r>
  <r>
    <n v="4"/>
    <s v="Sound level meter"/>
    <n v="1"/>
    <n v="535000"/>
    <n v="535000"/>
    <x v="4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Received"/>
  </r>
  <r>
    <n v="4"/>
    <s v="Sound level meter"/>
    <n v="1"/>
    <n v="535000"/>
    <n v="535000"/>
    <x v="9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Received"/>
  </r>
  <r>
    <n v="4"/>
    <s v="Sound level meter"/>
    <n v="1"/>
    <n v="535000"/>
    <n v="535000"/>
    <x v="19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Received"/>
  </r>
  <r>
    <n v="49"/>
    <s v="Tachometer"/>
    <n v="1"/>
    <n v="25000"/>
    <n v="25000"/>
    <x v="13"/>
    <n v="0"/>
    <s v="As per GTU syllabus"/>
    <s v="yes"/>
    <s v="Add on "/>
    <x v="1"/>
    <x v="1"/>
    <n v="9850"/>
    <s v="Verma Enterprises"/>
    <s v="DP"/>
    <n v="9850"/>
    <s v="GEM-62065469"/>
    <d v="2025-08-06T00:00:00"/>
    <s v="N.A"/>
  </r>
  <r>
    <n v="23"/>
    <s v="Beesley's Balance"/>
    <n v="1"/>
    <n v="25000"/>
    <n v="25000"/>
    <x v="13"/>
    <n v="1"/>
    <s v="Basic requiremnet at UG and PG level research and testing"/>
    <s v="yes"/>
    <s v="Add on "/>
    <x v="1"/>
    <x v="1"/>
    <n v="24875"/>
    <s v="Mag Solvics Pvt. Ltd."/>
    <s v="DP"/>
    <n v="24875"/>
    <s v="GEM-61996415"/>
    <d v="2025-08-05T00:00:00"/>
    <s v="N.A"/>
  </r>
  <r>
    <n v="2"/>
    <s v="Inverted Mettalurgical Microscope"/>
    <n v="1"/>
    <n v="1000000"/>
    <n v="1000000"/>
    <x v="11"/>
    <n v="0"/>
    <s v="For U.G Lab"/>
    <s v="yes"/>
    <s v="Add on "/>
    <x v="1"/>
    <x v="4"/>
    <m/>
    <m/>
    <m/>
    <m/>
    <m/>
    <m/>
    <m/>
  </r>
  <r>
    <n v="1"/>
    <s v="Electronics Workbench"/>
    <n v="10"/>
    <n v="350000"/>
    <n v="3500000"/>
    <x v="20"/>
    <n v="0"/>
    <s v="For U.G / P.G Lab"/>
    <s v="yes"/>
    <s v="Add on "/>
    <x v="1"/>
    <x v="2"/>
    <n v="2097000"/>
    <s v="Premier Enterprise"/>
    <s v="DPC"/>
    <n v="0"/>
    <m/>
    <m/>
    <s v="Pending"/>
  </r>
  <r>
    <n v="1"/>
    <s v="Electronics Workbench"/>
    <n v="10"/>
    <n v="350000"/>
    <n v="3500000"/>
    <x v="19"/>
    <n v="0"/>
    <s v="For U.G / P.G Lab"/>
    <s v="yes"/>
    <s v="Add on "/>
    <x v="1"/>
    <x v="2"/>
    <n v="2097000"/>
    <s v="Premier Enterprise"/>
    <s v="DPC"/>
    <n v="0"/>
    <m/>
    <m/>
    <s v="Pending"/>
  </r>
  <r>
    <n v="1"/>
    <s v="Electronics Workbench"/>
    <n v="5"/>
    <n v="350000"/>
    <n v="1750000"/>
    <x v="3"/>
    <n v="0"/>
    <s v="For U.G / P.G Lab"/>
    <s v="yes"/>
    <s v="Add on "/>
    <x v="1"/>
    <x v="2"/>
    <n v="1048500"/>
    <s v="Premier Enterprise"/>
    <s v="DPC"/>
    <n v="0"/>
    <m/>
    <m/>
    <s v="Pending"/>
  </r>
  <r>
    <n v="1"/>
    <s v="Kinetics of Dissolution of Benzoic Acid"/>
    <n v="1"/>
    <n v="140000"/>
    <n v="140000"/>
    <x v="4"/>
    <n v="0"/>
    <s v="UG course"/>
    <s v="BOQ"/>
    <s v="Add on "/>
    <x v="1"/>
    <x v="1"/>
    <n v="78842"/>
    <s v="Technology Exchange Services Pvt. Ltd."/>
    <s v="DLPC-2"/>
    <n v="78842"/>
    <s v="GEM-67861931"/>
    <d v="2025-12-22T00:00:00"/>
    <s v="N.A"/>
  </r>
  <r>
    <n v="2"/>
    <s v="Cascade Continuously Stirred Tank Reactor (Compressed Air  Feed System) "/>
    <n v="1"/>
    <n v="250000"/>
    <n v="250000"/>
    <x v="4"/>
    <n v="0"/>
    <s v="UG course"/>
    <s v="BOQ"/>
    <s v="Add on "/>
    <x v="1"/>
    <x v="1"/>
    <n v="146706"/>
    <s v="Technology Exchange Services Pvt. Ltd."/>
    <s v="DLPC-2"/>
    <n v="146706"/>
    <s v="GEM-67554640"/>
    <d v="2025-12-22T00:00:00"/>
    <s v="N.A"/>
  </r>
  <r>
    <n v="3"/>
    <s v="Fluidized bed reactor"/>
    <n v="1"/>
    <n v="300000"/>
    <n v="300000"/>
    <x v="4"/>
    <n v="0"/>
    <s v="UG course"/>
    <s v="BOQ"/>
    <s v="Add on "/>
    <x v="1"/>
    <x v="1"/>
    <n v="119760"/>
    <s v="Technology Exchange Services Pvt. Ltd."/>
    <s v="DLPC-2"/>
    <n v="119760"/>
    <s v="GEM-67862239"/>
    <d v="2025-12-22T00:00:00"/>
    <s v="N.A"/>
  </r>
  <r>
    <n v="4"/>
    <s v="Combined Flow Reactor (Peristaltic Pump Feed System)"/>
    <n v="1"/>
    <n v="310000"/>
    <n v="310000"/>
    <x v="4"/>
    <n v="0"/>
    <s v="UG course"/>
    <s v="BOQ"/>
    <s v="Add on "/>
    <x v="1"/>
    <x v="1"/>
    <n v="117754"/>
    <s v="Technology Exchange Services Pvt. Ltd."/>
    <s v="DLPC-2"/>
    <n v="117754"/>
    <s v="GEM-67863170"/>
    <d v="2025-12-22T00:00:00"/>
    <s v="N.A"/>
  </r>
  <r>
    <n v="5"/>
    <s v="Control Valve Characteristic"/>
    <n v="1"/>
    <n v="320000"/>
    <n v="320000"/>
    <x v="4"/>
    <n v="0"/>
    <s v="UG course"/>
    <s v="BOQ"/>
    <s v="Add on "/>
    <x v="1"/>
    <x v="1"/>
    <n v="187600"/>
    <s v="Technology Exchange Services Pvt. Ltd."/>
    <s v="DLPC-2"/>
    <n v="187600"/>
    <s v="GEM-68578543"/>
    <d v="2026-01-08T00:00:00"/>
    <s v="N.A"/>
  </r>
  <r>
    <n v="6"/>
    <s v="Computerised Pressure Control Trainer"/>
    <n v="1"/>
    <n v="360000"/>
    <n v="360000"/>
    <x v="4"/>
    <n v="0"/>
    <s v="UG course"/>
    <s v="BOQ"/>
    <s v="Add on "/>
    <x v="1"/>
    <x v="1"/>
    <n v="235528"/>
    <s v="Technology Exchange Services Pvt. Ltd."/>
    <s v="DLPC-2"/>
    <n v="235528"/>
    <s v="GEM-67862674"/>
    <d v="2025-12-22T00:00:00"/>
    <s v="N.A"/>
  </r>
  <r>
    <n v="7"/>
    <s v="Computerized Distillation Control Trainer"/>
    <n v="1"/>
    <n v="1750000"/>
    <n v="1750000"/>
    <x v="4"/>
    <n v="0"/>
    <s v="UG course"/>
    <s v="BOQ"/>
    <s v="Add on "/>
    <x v="1"/>
    <x v="1"/>
    <n v="576000"/>
    <s v="Technology Exchange Services Pvt. Ltd."/>
    <s v="DLPC-2"/>
    <n v="576000"/>
    <s v="GEM-68579108"/>
    <d v="2026-01-08T00:00:00"/>
    <s v="Pending"/>
  </r>
  <r>
    <n v="8"/>
    <s v="Computerized Reaction Control Trainer"/>
    <n v="1"/>
    <n v="1000000"/>
    <n v="1000000"/>
    <x v="4"/>
    <n v="0"/>
    <s v="UG course"/>
    <s v="BOQ"/>
    <s v="Add on "/>
    <x v="1"/>
    <x v="1"/>
    <n v="499000"/>
    <s v="Technology Exchange Services Pvt. Ltd."/>
    <s v="DLPC-2"/>
    <n v="499000"/>
    <s v="GEM-68577284"/>
    <d v="2026-01-08T00:00:00"/>
    <s v="Pending"/>
  </r>
  <r>
    <n v="9"/>
    <s v="Packed bed recycle reactor with Peristatic Pump"/>
    <n v="1"/>
    <n v="500000"/>
    <n v="500000"/>
    <x v="4"/>
    <n v="0"/>
    <s v="UG course"/>
    <s v="BOQ"/>
    <s v="Add on "/>
    <x v="1"/>
    <x v="1"/>
    <n v="180000"/>
    <s v="Technology Exchange Services Pvt. Ltd."/>
    <s v="DLPC-2"/>
    <n v="180000"/>
    <s v="GEM-67863519"/>
    <d v="2025-12-22T00:00:00"/>
    <s v="N.A"/>
  </r>
  <r>
    <n v="10"/>
    <s v="Controlled Atmospheric Furnace"/>
    <n v="1"/>
    <n v="1070000"/>
    <n v="1070000"/>
    <x v="4"/>
    <n v="0"/>
    <s v="PG and Research Work"/>
    <s v="BOQ"/>
    <s v="Add on "/>
    <x v="1"/>
    <x v="1"/>
    <n v="879000"/>
    <s v="Ether Engineers"/>
    <s v="DLPC-2"/>
    <n v="848235"/>
    <s v="GEM-70962590"/>
    <d v="2026-02-23T00:00:00"/>
    <s v="003522"/>
  </r>
  <r>
    <n v="1"/>
    <s v="Biomedical Sensor Interface Trainer Kit"/>
    <n v="3"/>
    <n v="20000"/>
    <n v="60000"/>
    <x v="3"/>
    <n v="0"/>
    <s v="Required as per GTU syllabus"/>
    <s v="yes"/>
    <s v="Add on "/>
    <x v="1"/>
    <x v="3"/>
    <m/>
    <m/>
    <m/>
    <m/>
    <m/>
    <m/>
    <m/>
  </r>
  <r>
    <n v="4"/>
    <s v="Orange Pi 5 Plus 32GB Development Kit"/>
    <n v="3"/>
    <n v="80000"/>
    <n v="240000"/>
    <x v="3"/>
    <n v="0"/>
    <s v="Required as per GTU syllabus"/>
    <s v="yes"/>
    <s v="Add on "/>
    <x v="1"/>
    <x v="3"/>
    <m/>
    <m/>
    <m/>
    <m/>
    <m/>
    <m/>
    <m/>
  </r>
  <r>
    <n v="5"/>
    <s v="NVIDIA Jetson Orin Nano 8GB Developer Kit"/>
    <n v="4"/>
    <n v="80000"/>
    <n v="320000"/>
    <x v="3"/>
    <n v="0"/>
    <s v="For Project Work "/>
    <s v="yes"/>
    <s v="Add on "/>
    <x v="1"/>
    <x v="3"/>
    <m/>
    <m/>
    <m/>
    <m/>
    <m/>
    <m/>
    <m/>
  </r>
  <r>
    <n v="6"/>
    <s v="Jetson AGX Orin Developer Kit"/>
    <n v="2"/>
    <n v="240000"/>
    <n v="480000"/>
    <x v="3"/>
    <n v="0"/>
    <s v="Required as per GTU syllabus"/>
    <s v="yes"/>
    <s v="Add on "/>
    <x v="1"/>
    <x v="3"/>
    <m/>
    <m/>
    <m/>
    <m/>
    <m/>
    <m/>
    <m/>
  </r>
  <r>
    <n v="7"/>
    <s v="Dignostic Instrumentation Educational Kits"/>
    <n v="2"/>
    <n v="230000"/>
    <n v="460000"/>
    <x v="3"/>
    <n v="0"/>
    <s v="Required as per GTU syllabus"/>
    <s v="yes"/>
    <s v="Add on "/>
    <x v="1"/>
    <x v="1"/>
    <n v="394000"/>
    <s v="Monarch Sales, Vadodara"/>
    <s v="DLPC-3"/>
    <n v="384150"/>
    <s v="GEM-69828029"/>
    <d v="2026-02-05T00:00:00"/>
    <m/>
  </r>
  <r>
    <n v="8"/>
    <s v="Body Composition Analyzer"/>
    <n v="1"/>
    <n v="490000"/>
    <n v="490000"/>
    <x v="3"/>
    <n v="0"/>
    <s v="Required as per GTU syllabus"/>
    <s v="yes"/>
    <s v="Add on "/>
    <x v="1"/>
    <x v="3"/>
    <m/>
    <m/>
    <m/>
    <m/>
    <m/>
    <m/>
    <m/>
  </r>
  <r>
    <n v="9"/>
    <s v="Laser and fiber optics Trainer Kit"/>
    <n v="1"/>
    <n v="490000"/>
    <n v="490000"/>
    <x v="3"/>
    <n v="0"/>
    <s v="Required as per GTU syllabus"/>
    <s v="yes"/>
    <s v="Add on "/>
    <x v="1"/>
    <x v="1"/>
    <n v="484030"/>
    <s v="Mechmatics Engineering Pvt. Ltd, Ahmedabad"/>
    <s v="DLPC-3"/>
    <n v="471929"/>
    <s v="GEM-69863946"/>
    <d v="2026-02-06T00:00:00"/>
    <n v="245175"/>
  </r>
  <r>
    <n v="10"/>
    <s v="Blood Pressure Monitor with ECG Measurement System"/>
    <n v="1"/>
    <n v="20000"/>
    <n v="20000"/>
    <x v="3"/>
    <n v="0"/>
    <s v="Required as per GTU syllabus"/>
    <s v="yes"/>
    <s v="Add on "/>
    <x v="1"/>
    <x v="3"/>
    <m/>
    <m/>
    <m/>
    <m/>
    <m/>
    <m/>
    <m/>
  </r>
  <r>
    <n v="11"/>
    <s v="3D Printer "/>
    <n v="1"/>
    <n v="120000"/>
    <n v="120000"/>
    <x v="3"/>
    <n v="0"/>
    <s v="Required as per GTU syllabus"/>
    <s v="yes"/>
    <s v="Add on "/>
    <x v="1"/>
    <x v="1"/>
    <n v="79920"/>
    <s v="Wol 3D India Limited, Mumbai"/>
    <s v="DLPC-3"/>
    <n v="79920"/>
    <s v="GEM-67878931"/>
    <d v="2025-12-22T00:00:00"/>
    <m/>
  </r>
  <r>
    <s v="95R"/>
    <s v="UV visible Spectrophotometer"/>
    <n v="1"/>
    <n v="500000"/>
    <n v="500000"/>
    <x v="12"/>
    <n v="0"/>
    <s v="Required as per  syllabus"/>
    <s v="yes"/>
    <s v="Add on "/>
    <x v="1"/>
    <x v="1"/>
    <n v="189000"/>
    <s v="Gurukripa Enterprises, Bharuch"/>
    <s v="DLPC-2"/>
    <n v="189000"/>
    <s v="GEM-66463745"/>
    <d v="2025-11-20T00:00:00"/>
    <s v="Exempted"/>
  </r>
  <r>
    <n v="31"/>
    <s v="ICI Pilling Tester - 2 Boxes"/>
    <n v="1"/>
    <n v="111000"/>
    <n v="111000"/>
    <x v="13"/>
    <n v="0"/>
    <s v="Basic requiremnet at UG and PG level research and testing"/>
    <s v="yes"/>
    <s v="Add on "/>
    <x v="1"/>
    <x v="1"/>
    <n v="94636"/>
    <s v="Mag Solvics Pvt. Ltd."/>
    <s v="DLPC-1"/>
    <n v="94636"/>
    <s v="GEM-64551268"/>
    <d v="2025-10-03T00:00:00"/>
    <s v="Exempted"/>
  </r>
  <r>
    <n v="51"/>
    <s v="Pallet truck( 3 tonn)"/>
    <n v="1"/>
    <n v="25000"/>
    <n v="25000"/>
    <x v="13"/>
    <m/>
    <m/>
    <m/>
    <s v="Add on "/>
    <x v="1"/>
    <x v="1"/>
    <n v="15000"/>
    <s v="Stacker &amp; Movers (I) Pvt. Ltd."/>
    <s v="DP"/>
    <n v="15000"/>
    <s v="GEM-63600506"/>
    <d v="2025-09-11T00:00:00"/>
    <s v="N.A"/>
  </r>
  <r>
    <n v="1"/>
    <s v="Ultrasonic Distance Meter"/>
    <n v="5"/>
    <n v="3500"/>
    <n v="17500"/>
    <x v="21"/>
    <n v="0"/>
    <s v="For U.G Lab"/>
    <s v="yes"/>
    <s v="Add on "/>
    <x v="1"/>
    <x v="4"/>
    <m/>
    <m/>
    <m/>
    <m/>
    <m/>
    <m/>
    <m/>
  </r>
  <r>
    <n v="2"/>
    <s v="Newton's ring experiments set up (Full Assembly )"/>
    <n v="2"/>
    <n v="130000"/>
    <n v="260000"/>
    <x v="21"/>
    <n v="0"/>
    <s v="For U.G Lab"/>
    <s v="yes"/>
    <s v="Add on "/>
    <x v="1"/>
    <x v="1"/>
    <n v="231766"/>
    <s v="Prajakta Enterprise"/>
    <s v="DLPC-5"/>
    <n v="231766"/>
    <s v="GEM-72766631"/>
    <d v="2026-03-20T00:00:00"/>
    <m/>
  </r>
  <r>
    <n v="3"/>
    <s v="Michelson Interferometer Standard Model"/>
    <n v="3"/>
    <n v="196500"/>
    <n v="589500"/>
    <x v="21"/>
    <n v="0"/>
    <s v="For U.G Lab"/>
    <s v="yes"/>
    <s v="Add on "/>
    <x v="1"/>
    <x v="1"/>
    <n v="474414"/>
    <s v="Prajakta Enterprise"/>
    <s v="DLPC-5"/>
    <n v="474414"/>
    <s v="GEM-72766917"/>
    <d v="2026-03-20T00:00:00"/>
    <m/>
  </r>
  <r>
    <n v="4"/>
    <s v="Kundt's Tube Apparatus"/>
    <n v="3"/>
    <n v="100000"/>
    <n v="300000"/>
    <x v="21"/>
    <n v="0"/>
    <s v="For U.G Lab"/>
    <s v="yes"/>
    <s v="Add on "/>
    <x v="1"/>
    <x v="1"/>
    <n v="296403"/>
    <s v="Prajakta Enterprise"/>
    <s v="DLPC-5"/>
    <n v="296403"/>
    <s v="GEM-72767434"/>
    <d v="2026-03-20T00:00:00"/>
    <m/>
  </r>
  <r>
    <n v="5"/>
    <s v="Torsional Pendulum"/>
    <n v="3"/>
    <n v="9000"/>
    <n v="27000"/>
    <x v="21"/>
    <n v="0"/>
    <s v="For U.G Lab"/>
    <s v="yes"/>
    <s v="Add on "/>
    <x v="1"/>
    <x v="1"/>
    <n v="26214"/>
    <s v="Wintronix, Ahmedabad"/>
    <s v="DLPC-5"/>
    <n v="26214"/>
    <s v="GEM-72039293"/>
    <d v="2026-03-12T00:00:00"/>
    <m/>
  </r>
  <r>
    <n v="6"/>
    <s v="Yong's modulus apparatus to study uniform- nonuniform bending, depression, elevation of beam "/>
    <n v="2"/>
    <n v="175000"/>
    <n v="350000"/>
    <x v="21"/>
    <n v="0"/>
    <s v="For U.G Lab"/>
    <s v="yes"/>
    <s v="Add on "/>
    <x v="1"/>
    <x v="1"/>
    <n v="274912"/>
    <s v="Prajakta Enterprise"/>
    <s v="DLPC-5"/>
    <n v="274912"/>
    <s v="GEM-72767941"/>
    <d v="2026-03-20T00:00:00"/>
    <m/>
  </r>
  <r>
    <n v="7"/>
    <s v="Diode LASER (Red and Green Diode LASER) assembly"/>
    <n v="5"/>
    <n v="17500"/>
    <n v="87500"/>
    <x v="21"/>
    <n v="0"/>
    <s v="For U.G Lab"/>
    <s v="yes"/>
    <s v="Add on "/>
    <x v="1"/>
    <x v="1"/>
    <n v="84010"/>
    <s v="Wintronix, Ahmedabad"/>
    <s v="DLPC-5"/>
    <n v="84010"/>
    <s v="GEM-71010239"/>
    <d v="2026-02-24T00:00:00"/>
    <s v="Received"/>
  </r>
  <r>
    <n v="8"/>
    <s v="Uniform and non uniform bending of beam"/>
    <n v="4"/>
    <n v="10000"/>
    <n v="40000"/>
    <x v="21"/>
    <n v="0"/>
    <s v="For U.G Lab"/>
    <s v="yes"/>
    <s v="Add on "/>
    <x v="1"/>
    <x v="1"/>
    <n v="37328"/>
    <s v="Wintronix, Ahmedabad"/>
    <s v="DLPC-5"/>
    <n v="37328"/>
    <s v="GEM-72039293"/>
    <d v="2026-03-12T00:00:00"/>
    <m/>
  </r>
  <r>
    <n v="9"/>
    <s v="Superonductivity Experiement kit"/>
    <n v="1"/>
    <n v="350000"/>
    <n v="350000"/>
    <x v="21"/>
    <n v="0"/>
    <s v="For U.G Lab"/>
    <s v="yes"/>
    <s v="Add on "/>
    <x v="1"/>
    <x v="1"/>
    <n v="339470"/>
    <s v="Wintronix, Ahmedabad"/>
    <s v="DLPC-5"/>
    <n v="339470"/>
    <s v="GEM-72206694"/>
    <d v="2026-03-14T00:00:00"/>
    <m/>
  </r>
  <r>
    <n v="10"/>
    <s v="Measuring Scale Wooden-100 cm"/>
    <n v="10"/>
    <n v="100"/>
    <n v="1000"/>
    <x v="21"/>
    <n v="0"/>
    <s v="For U.G Lab"/>
    <s v="yes"/>
    <s v="Add on "/>
    <x v="1"/>
    <x v="1"/>
    <n v="1000"/>
    <s v="The Central Scientific Sup. Co."/>
    <s v="DP"/>
    <n v="990"/>
    <s v="GEM-62128470"/>
    <d v="2025-08-07T00:00:00"/>
    <s v="N.A"/>
  </r>
  <r>
    <n v="11"/>
    <s v="Laser Distance Meter"/>
    <n v="5"/>
    <n v="4445"/>
    <n v="22225"/>
    <x v="21"/>
    <n v="0"/>
    <s v="For U.G Lab"/>
    <s v="yes"/>
    <s v="Add on "/>
    <x v="1"/>
    <x v="2"/>
    <n v="22224"/>
    <m/>
    <s v="DP"/>
    <n v="0"/>
    <m/>
    <m/>
    <s v="N.A"/>
  </r>
  <r>
    <n v="12"/>
    <s v="Determination of Energy Band gap in Semi conductor Diode"/>
    <n v="5"/>
    <n v="45000"/>
    <n v="225000"/>
    <x v="21"/>
    <n v="0"/>
    <s v="For U.G Lab"/>
    <s v="yes"/>
    <s v="Add on "/>
    <x v="1"/>
    <x v="2"/>
    <n v="190000"/>
    <s v="NVIS Technologies Pvt. Ltd."/>
    <s v="DLPC-5"/>
    <n v="0"/>
    <m/>
    <m/>
    <m/>
  </r>
  <r>
    <n v="13"/>
    <s v="Apparatus for Hook's Law verification"/>
    <n v="5"/>
    <n v="3500"/>
    <n v="17500"/>
    <x v="21"/>
    <n v="0"/>
    <s v="For U.G Lab"/>
    <s v="yes"/>
    <s v="Add on "/>
    <x v="1"/>
    <x v="1"/>
    <n v="17230"/>
    <s v="Wintronix, Ahmedabad"/>
    <s v="DLPC-5"/>
    <n v="17230"/>
    <s v="GEM-71009969"/>
    <d v="2026-02-24T00:00:00"/>
    <s v="Received"/>
  </r>
  <r>
    <n v="14"/>
    <s v="Cantilever depression"/>
    <n v="3"/>
    <n v="8500"/>
    <n v="25500"/>
    <x v="21"/>
    <n v="0"/>
    <s v="For U.G Lab"/>
    <s v="yes"/>
    <s v="Add on "/>
    <x v="1"/>
    <x v="1"/>
    <n v="23973"/>
    <s v="Wintronix, Ahmedabad"/>
    <s v="DLPC-5"/>
    <n v="23973"/>
    <s v="GEM-72040367"/>
    <d v="2026-03-12T00:00:00"/>
    <m/>
  </r>
  <r>
    <n v="15"/>
    <s v="Spectrometer -Goniometer "/>
    <n v="2"/>
    <n v="155000"/>
    <n v="310000"/>
    <x v="21"/>
    <n v="0"/>
    <s v="For U.G Lab"/>
    <s v="yes"/>
    <s v="Add on "/>
    <x v="1"/>
    <x v="1"/>
    <n v="266992"/>
    <s v="Prajakta Enterprise"/>
    <s v="DLPC-5"/>
    <n v="266992"/>
    <s v="GEM-72766407"/>
    <d v="2026-03-20T00:00:00"/>
    <m/>
  </r>
  <r>
    <n v="16"/>
    <s v="Measurement of Wavelength of LASER"/>
    <n v="3"/>
    <n v="30000"/>
    <n v="90000"/>
    <x v="21"/>
    <n v="0"/>
    <s v="For U.G Lab"/>
    <s v="yes"/>
    <s v="Add on "/>
    <x v="1"/>
    <x v="1"/>
    <n v="76500"/>
    <s v="NVIS Technologies Pvt. Ltd."/>
    <s v="DLPC-5"/>
    <n v="76500"/>
    <s v="GEM-71471966"/>
    <d v="2026-03-03T00:00:00"/>
    <m/>
  </r>
  <r>
    <n v="53"/>
    <s v="Plastic Flat Pallet of Rectangular Shape"/>
    <n v="2"/>
    <n v="3500"/>
    <n v="7000"/>
    <x v="7"/>
    <m/>
    <m/>
    <m/>
    <s v="Add on"/>
    <x v="1"/>
    <x v="1"/>
    <n v="7000"/>
    <s v="M/S Smart Supply"/>
    <s v="DP"/>
    <n v="7000"/>
    <s v="GEM-63168714"/>
    <d v="2025-09-01T00:00:00"/>
    <s v="N.A"/>
  </r>
  <r>
    <n v="55"/>
    <s v="Safelift Pallet Truck (3000 KG)"/>
    <n v="1"/>
    <n v="15000"/>
    <n v="15000"/>
    <x v="7"/>
    <m/>
    <m/>
    <m/>
    <s v="Add on"/>
    <x v="1"/>
    <x v="1"/>
    <n v="15000"/>
    <s v="Devansh Enterprisess"/>
    <s v="DP"/>
    <n v="15000"/>
    <s v="GEM-62809145"/>
    <d v="2025-08-25T00:00:00"/>
    <s v="N.A"/>
  </r>
  <r>
    <n v="19"/>
    <s v="Miniature Rotor Spinning"/>
    <n v="1"/>
    <n v="1200000"/>
    <n v="1200000"/>
    <x v="13"/>
    <n v="0"/>
    <s v="Basic requiremnet at UG and PG level research and testing"/>
    <s v="yes"/>
    <s v="Add on"/>
    <x v="1"/>
    <x v="1"/>
    <n v="1189220"/>
    <s v="T4 Textultants Pvt. Ltd."/>
    <s v="DPC"/>
    <n v="1184220"/>
    <s v="GEM-73160603"/>
    <d v="2026-03-25T00:00:00"/>
    <s v="009149"/>
  </r>
  <r>
    <n v="17"/>
    <s v="Miniature Ring frame"/>
    <n v="1"/>
    <n v="1250000"/>
    <n v="1250000"/>
    <x v="13"/>
    <n v="0"/>
    <s v="Basic requiremnet at UG and PG level research and testing"/>
    <s v="yes"/>
    <s v="Add on"/>
    <x v="1"/>
    <x v="1"/>
    <n v="1235789"/>
    <s v="T4 Textultants Pvt. Ltd."/>
    <s v="DPC"/>
    <n v="1230700"/>
    <s v="GEM-73161828"/>
    <d v="2026-03-25T00:00:00"/>
    <s v="009152"/>
  </r>
  <r>
    <n v="7"/>
    <s v="AMC for RO &amp; Water Cooler"/>
    <n v="26"/>
    <n v="21153.846153846152"/>
    <n v="550000"/>
    <x v="18"/>
    <m/>
    <m/>
    <m/>
    <s v="Add on"/>
    <x v="2"/>
    <x v="2"/>
    <n v="235950"/>
    <s v="Jyoti Enterprises, Ahmedabad"/>
    <s v="DLPC-2"/>
    <m/>
    <m/>
    <m/>
    <s v="Pending"/>
  </r>
  <r>
    <n v="1"/>
    <s v="Tube lights"/>
    <n v="1000"/>
    <n v="170"/>
    <n v="170000"/>
    <x v="7"/>
    <m/>
    <m/>
    <m/>
    <s v="Add on"/>
    <x v="3"/>
    <x v="1"/>
    <n v="81000"/>
    <s v="A B Pal Electronics Pvt. Ltd., Delhi"/>
    <s v="DLPC-2"/>
    <n v="81000"/>
    <s v="GEM-66426336"/>
    <n v="45980"/>
    <s v="Expempted"/>
  </r>
  <r>
    <n v="2"/>
    <s v="Burst Strength tester"/>
    <n v="1"/>
    <n v="135000"/>
    <n v="135000"/>
    <x v="22"/>
    <n v="0"/>
    <s v="As per GTU syllabus"/>
    <m/>
    <s v="Add on"/>
    <x v="1"/>
    <x v="1"/>
    <n v="145000"/>
    <s v="EIE Instruments Pvt. Ltd"/>
    <s v="DLPC-7"/>
    <n v="145000"/>
    <s v="GEM-73016693"/>
    <d v="2026-03-24T00:00:00"/>
    <s v="N.A"/>
  </r>
  <r>
    <n v="3"/>
    <s v="Electro Pneumatic Trainer"/>
    <n v="1"/>
    <n v="225000"/>
    <n v="225000"/>
    <x v="22"/>
    <n v="0"/>
    <s v="As per GTU syllabus"/>
    <m/>
    <s v="Add on"/>
    <x v="1"/>
    <x v="1"/>
    <n v="94400"/>
    <s v="Technology Excahnge Services Pvt.Ltd., Ahmedabad"/>
    <s v="DLPC-6"/>
    <n v="94900"/>
    <s v="GEM-72737404"/>
    <d v="2026-03-20T00:00:00"/>
    <s v="Received"/>
  </r>
  <r>
    <s v="95R3"/>
    <s v="Horizontal Autoclave"/>
    <n v="1"/>
    <n v="300000"/>
    <n v="300000"/>
    <x v="12"/>
    <m/>
    <m/>
    <m/>
    <s v="Add on"/>
    <x v="1"/>
    <x v="2"/>
    <n v="289900"/>
    <s v="Mark Enterprises, Nashik"/>
    <s v="DLPC-5"/>
    <n v="0"/>
    <m/>
    <m/>
    <m/>
  </r>
  <r>
    <n v="2"/>
    <s v="Compact weather Station"/>
    <n v="1"/>
    <n v="400000"/>
    <n v="400000"/>
    <x v="9"/>
    <n v="0"/>
    <m/>
    <m/>
    <s v="Add on"/>
    <x v="1"/>
    <x v="5"/>
    <n v="0"/>
    <m/>
    <m/>
    <m/>
    <m/>
    <m/>
    <m/>
  </r>
  <r>
    <s v="02 (Add-On List)"/>
    <s v="RL Network Response"/>
    <n v="3"/>
    <n v="5000"/>
    <n v="15000"/>
    <x v="7"/>
    <m/>
    <m/>
    <m/>
    <s v="Add on"/>
    <x v="1"/>
    <x v="1"/>
    <n v="13608"/>
    <s v="Monarch Sales"/>
    <s v="DP"/>
    <n v="13267"/>
    <s v="GEM-65624455"/>
    <d v="2025-10-30T00:00:00"/>
    <s v="N.A"/>
  </r>
  <r>
    <s v="03 (Add-On List)"/>
    <s v="Half-wave Voltage Doubler circuit"/>
    <n v="3"/>
    <n v="5000"/>
    <n v="15000"/>
    <x v="7"/>
    <m/>
    <m/>
    <m/>
    <s v="Add on"/>
    <x v="1"/>
    <x v="1"/>
    <n v="13608"/>
    <s v="Monarch Sales"/>
    <s v="DP"/>
    <n v="13267"/>
    <s v="GEM-65631035"/>
    <d v="2025-10-30T00:00:00"/>
    <s v="N.A"/>
  </r>
  <r>
    <s v="04 (Add-On List)"/>
    <s v="Full-wave Voltage Doubler circuit"/>
    <n v="3"/>
    <n v="5000"/>
    <n v="15000"/>
    <x v="7"/>
    <m/>
    <m/>
    <m/>
    <s v="Add on"/>
    <x v="1"/>
    <x v="1"/>
    <n v="13608"/>
    <s v="Royal Electronics Sales &amp; Services"/>
    <s v="DP"/>
    <n v="13267"/>
    <s v="GEM-66730074"/>
    <d v="2025-11-27T00:00:00"/>
    <s v="N.A"/>
  </r>
  <r>
    <s v="05 (Add-On List)"/>
    <s v="Voltage Tripler Circuit"/>
    <n v="3"/>
    <n v="5000"/>
    <n v="15000"/>
    <x v="7"/>
    <m/>
    <m/>
    <m/>
    <s v="Add on"/>
    <x v="1"/>
    <x v="1"/>
    <n v="13608"/>
    <s v="Royal Electronics Sales &amp; Services"/>
    <s v="DP"/>
    <n v="13267"/>
    <s v="GEM-65630020"/>
    <d v="2025-10-30T00:00:00"/>
    <s v="N.A"/>
  </r>
  <r>
    <s v="06 (Add-On List)"/>
    <s v="FET (BFW10/BFW11)"/>
    <n v="3"/>
    <n v="6000"/>
    <n v="18000"/>
    <x v="7"/>
    <m/>
    <m/>
    <m/>
    <s v="Add on"/>
    <x v="1"/>
    <x v="1"/>
    <n v="15930"/>
    <s v="Monarch Sales"/>
    <s v="DP"/>
    <n v="15372"/>
    <s v="GEM-65629264"/>
    <d v="2025-10-30T00:00:00"/>
    <s v="N.A"/>
  </r>
  <r>
    <s v="07 (Add-On List)"/>
    <s v="VI Characteristics BJT CB config"/>
    <n v="3"/>
    <n v="6000"/>
    <n v="18000"/>
    <x v="7"/>
    <m/>
    <m/>
    <m/>
    <s v="Add on"/>
    <x v="1"/>
    <x v="1"/>
    <n v="15930"/>
    <s v="Monarch Sales"/>
    <s v="DP"/>
    <n v="15531"/>
    <s v="GEM-66693930"/>
    <d v="2025-11-26T00:00:00"/>
    <m/>
  </r>
  <r>
    <s v="08 (Add-On List)"/>
    <s v="BJT CE config"/>
    <n v="3"/>
    <n v="6000"/>
    <n v="18000"/>
    <x v="7"/>
    <m/>
    <m/>
    <m/>
    <s v="Add on"/>
    <x v="1"/>
    <x v="1"/>
    <n v="15930"/>
    <s v="Monarch Sales"/>
    <s v="DP"/>
    <n v="15372"/>
    <s v="GEM-65627819"/>
    <d v="2025-10-30T00:00:00"/>
    <s v="N.A"/>
  </r>
  <r>
    <s v="11 (Add-On List)"/>
    <s v="1-Phase Full-Wave Centre-Tap Rectifier w/ Filters"/>
    <n v="3"/>
    <n v="6000"/>
    <n v="18000"/>
    <x v="7"/>
    <m/>
    <m/>
    <m/>
    <s v="Add on"/>
    <x v="1"/>
    <x v="1"/>
    <n v="15930"/>
    <s v="Monarch Sales"/>
    <s v="DP"/>
    <n v="15850"/>
    <s v="GEM-66693766"/>
    <d v="2025-11-26T00:00:00"/>
    <s v="N.A"/>
  </r>
  <r>
    <s v="12 (Add-On List)"/>
    <s v="1-Phase Full-Wave Bridge Rectifier w/ Filters"/>
    <n v="3"/>
    <n v="6000"/>
    <n v="18000"/>
    <x v="7"/>
    <m/>
    <m/>
    <m/>
    <s v="Add on"/>
    <x v="1"/>
    <x v="1"/>
    <n v="15930"/>
    <s v="Monarch Sales"/>
    <s v="DP"/>
    <n v="15531"/>
    <s v="GEM-65627341"/>
    <d v="2025-10-30T00:00:00"/>
    <s v="N.A"/>
  </r>
  <r>
    <s v="13 (Add-On List)"/>
    <s v="Voltage Quadruple Circuit"/>
    <n v="3"/>
    <n v="6000"/>
    <n v="18000"/>
    <x v="7"/>
    <m/>
    <m/>
    <m/>
    <s v="Add on"/>
    <x v="1"/>
    <x v="1"/>
    <n v="15048"/>
    <s v="Royal Electronics Sales &amp; Services"/>
    <s v="DP"/>
    <n v="14671"/>
    <s v="GEM-66729790"/>
    <d v="2025-11-27T00:00:00"/>
    <s v="N.A"/>
  </r>
  <r>
    <s v="14 (Add-On List)"/>
    <s v="Zener Diode as Voltage Regulator"/>
    <n v="3"/>
    <n v="6000"/>
    <n v="18000"/>
    <x v="7"/>
    <m/>
    <m/>
    <m/>
    <s v="Add on"/>
    <x v="1"/>
    <x v="1"/>
    <n v="15930"/>
    <s v="Royal Electronics Sales &amp; Services"/>
    <s v="DP"/>
    <n v="15531"/>
    <s v="GEM-65629745"/>
    <d v="2025-10-30T00:00:00"/>
    <s v="N.A"/>
  </r>
  <r>
    <s v="15 (Add-On List)"/>
    <s v="Fixed bias circuit for BJT"/>
    <n v="3"/>
    <n v="6000"/>
    <n v="18000"/>
    <x v="7"/>
    <m/>
    <m/>
    <m/>
    <s v="Add on"/>
    <x v="1"/>
    <x v="1"/>
    <n v="15048"/>
    <s v="Royal Electronics Sales &amp; Services"/>
    <s v="DP"/>
    <n v="14671"/>
    <s v="GEM-66728915"/>
    <d v="2025-11-27T00:00:00"/>
    <s v="N.A"/>
  </r>
  <r>
    <s v="16 (Add-On List)"/>
    <s v="Voltage divider bias circuit for BJT"/>
    <n v="3"/>
    <n v="6000"/>
    <n v="18000"/>
    <x v="7"/>
    <m/>
    <m/>
    <m/>
    <s v="Add on"/>
    <x v="1"/>
    <x v="1"/>
    <n v="15048"/>
    <s v="Royal Electronics Sales &amp; Services"/>
    <s v="DP"/>
    <n v="14671"/>
    <s v="GEM-66728798"/>
    <d v="2025-11-27T00:00:00"/>
    <s v="N.A"/>
  </r>
  <r>
    <s v="17 (Add-On List)"/>
    <s v="CE amplifier (Class-A)"/>
    <n v="3"/>
    <n v="6000"/>
    <n v="18000"/>
    <x v="7"/>
    <m/>
    <m/>
    <m/>
    <s v="Add on"/>
    <x v="1"/>
    <x v="1"/>
    <n v="15048"/>
    <s v="Royal Electronics Sales &amp; Services"/>
    <s v="DP"/>
    <n v="14822"/>
    <s v="GEM-66729159"/>
    <d v="2025-11-27T00:00:00"/>
    <s v="N.A"/>
  </r>
  <r>
    <s v="18 (Add-On List)"/>
    <s v="Full-wave &amp; Half wave Voltage Doubler circuit"/>
    <n v="3"/>
    <n v="6000"/>
    <n v="18000"/>
    <x v="7"/>
    <m/>
    <m/>
    <m/>
    <s v="Add on"/>
    <x v="1"/>
    <x v="1"/>
    <n v="15930"/>
    <s v="Royal Electronics Sales &amp; Services"/>
    <s v="DP"/>
    <n v="15691"/>
    <s v="GEM-67414388"/>
    <d v="2025-12-12T00:00:00"/>
    <s v="N.A"/>
  </r>
  <r>
    <s v="25 (Add-On List)"/>
    <s v="RLC Network Response"/>
    <n v="3"/>
    <n v="7000"/>
    <n v="21000"/>
    <x v="7"/>
    <m/>
    <m/>
    <m/>
    <s v="Add on"/>
    <x v="1"/>
    <x v="1"/>
    <n v="20412"/>
    <s v="Monarch Sales"/>
    <s v="DP"/>
    <n v="19901"/>
    <s v="GEM-65624130"/>
    <d v="2025-10-30T00:00:00"/>
    <s v="N.A"/>
  </r>
  <r>
    <s v="26 (Add-On List)"/>
    <s v="1-Phase half wave controlled rectifier with “R/RL” load, with free wheeling diode"/>
    <n v="3"/>
    <n v="8000"/>
    <n v="24000"/>
    <x v="7"/>
    <m/>
    <m/>
    <m/>
    <s v="Add on"/>
    <x v="1"/>
    <x v="1"/>
    <n v="20178"/>
    <s v="Highness INC"/>
    <s v="DP"/>
    <n v="19774"/>
    <s v="GEM-66695126"/>
    <d v="2025-11-26T00:00:00"/>
    <s v="N.A"/>
  </r>
  <r>
    <s v="27 (Add-On List)"/>
    <s v="1-Phase full wave fully controlled rectifier using one SCR with “R” load"/>
    <n v="3"/>
    <n v="8000"/>
    <n v="24000"/>
    <x v="7"/>
    <m/>
    <m/>
    <m/>
    <s v="Add on"/>
    <x v="1"/>
    <x v="1"/>
    <n v="20178"/>
    <s v="Highness INC"/>
    <s v="DP"/>
    <n v="19875"/>
    <s v="GEM-66694831"/>
    <d v="2025-11-26T00:00:00"/>
    <s v="N.A"/>
  </r>
  <r>
    <s v="28 (Add-On List)"/>
    <s v="Clipping &amp; Clamping circuits using diodes"/>
    <n v="3"/>
    <n v="8000"/>
    <n v="24000"/>
    <x v="7"/>
    <m/>
    <m/>
    <m/>
    <s v="Add on"/>
    <x v="1"/>
    <x v="1"/>
    <n v="20412"/>
    <s v="Monarch Sales"/>
    <s v="DP"/>
    <n v="19697"/>
    <s v="GEM-65624739"/>
    <d v="2025-10-30T00:00:00"/>
    <s v="N.A"/>
  </r>
  <r>
    <s v="29 (Add-On List)"/>
    <s v="All rectifier types with filters"/>
    <n v="3"/>
    <n v="8000"/>
    <n v="24000"/>
    <x v="7"/>
    <m/>
    <m/>
    <m/>
    <s v="Add on"/>
    <x v="1"/>
    <x v="1"/>
    <n v="22680"/>
    <s v="Royal Electronics Sales &amp; Services"/>
    <s v="DP"/>
    <n v="22339"/>
    <s v="GEM-66728649"/>
    <d v="2025-11-27T00:00:00"/>
    <s v="N.A"/>
  </r>
  <r>
    <s v="34 (Add-On List)"/>
    <s v="1 phasse half bridge Inverter by MOSFET"/>
    <n v="2"/>
    <n v="10000"/>
    <n v="20000"/>
    <x v="7"/>
    <m/>
    <m/>
    <m/>
    <s v="Add on"/>
    <x v="1"/>
    <x v="1"/>
    <n v="17936"/>
    <s v="Highness INC"/>
    <s v="DP"/>
    <n v="17487"/>
    <s v="GEM-66694399"/>
    <d v="2025-11-26T00:00:00"/>
    <s v="N.A"/>
  </r>
  <r>
    <s v="35 (Add-On List)"/>
    <s v="1 Phase Bridge Inverter by MOSFET"/>
    <n v="2"/>
    <n v="12000"/>
    <n v="24000"/>
    <x v="7"/>
    <m/>
    <m/>
    <m/>
    <s v="Add on"/>
    <x v="1"/>
    <x v="1"/>
    <n v="21004"/>
    <s v="Highness INC"/>
    <s v="DP"/>
    <n v="20268"/>
    <s v="GEM-66694509"/>
    <d v="2025-11-26T00:00:00"/>
    <s v="N.A"/>
  </r>
  <r>
    <s v="36 (add-on list)"/>
    <s v="3-Phase half wave controlled rectifier with “R / RL” load, with free wheeling diode.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7037"/>
    <d v="2025-12-22T00:00:00"/>
    <m/>
  </r>
  <r>
    <s v="37 (add-on list)"/>
    <s v="3-Phase full wave half controlled bridge rectifier with “R / RL” load, with free wheeling diode.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5862"/>
    <d v="2025-12-22T00:00:00"/>
    <m/>
  </r>
  <r>
    <s v="38 (add-on list)"/>
    <s v="Three-Phase (AC Regulator) AC power control using Triac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5516"/>
    <d v="2025-12-22T00:00:00"/>
    <m/>
  </r>
  <r>
    <s v="39 (add-on list)"/>
    <s v="1-Phase Dual Converter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3609"/>
    <d v="2025-12-22T00:00:00"/>
    <m/>
  </r>
  <r>
    <s v="40 (add-on list)"/>
    <s v="Step down chopper trainer using MOSFET / IGBT"/>
    <n v="2"/>
    <n v="12000"/>
    <n v="24000"/>
    <x v="7"/>
    <s v="U.G"/>
    <s v="Equipment"/>
    <s v="Order in Cart"/>
    <s v="Add on"/>
    <x v="1"/>
    <x v="1"/>
    <n v="22420"/>
    <s v="Monarch Sales"/>
    <s v="DP"/>
    <n v="22307"/>
    <s v="GEM-67863833"/>
    <d v="2025-12-22T00:00:00"/>
    <m/>
  </r>
  <r>
    <s v="41 (add-on list)"/>
    <s v="Step up chopper trainer using MOSFET / IGBT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4223"/>
    <d v="2025-12-22T00:00:00"/>
    <s v="N.A"/>
  </r>
  <r>
    <s v="42 (add-on list)"/>
    <s v="Step up / down chopper trainer using MOSFET / IGBT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4466"/>
    <d v="2025-12-22T00:00:00"/>
    <m/>
  </r>
  <r>
    <s v="43 (add-on list)"/>
    <s v="General Purpose AC/DC Network"/>
    <n v="1"/>
    <n v="15000"/>
    <n v="15000"/>
    <x v="7"/>
    <s v="U.G"/>
    <s v="Equipment"/>
    <s v="Order in Cart"/>
    <s v="Add on"/>
    <x v="1"/>
    <x v="1"/>
    <n v="12852"/>
    <s v="Monarch Sales"/>
    <s v="DP"/>
    <n v="12594"/>
    <s v="GEM-67866779"/>
    <d v="2025-12-22T00:00:00"/>
    <m/>
  </r>
  <r>
    <s v="44 (add-on list)"/>
    <s v="1 phase to 1 phase cycloconverter"/>
    <n v="1"/>
    <n v="17000"/>
    <n v="17000"/>
    <x v="7"/>
    <s v="U.G"/>
    <s v="Equipment"/>
    <s v="Order in Cart"/>
    <s v="Add on"/>
    <x v="1"/>
    <x v="1"/>
    <n v="15694"/>
    <s v="Monarch Sales"/>
    <s v="DP"/>
    <n v="15380"/>
    <s v="GEM-67864908"/>
    <d v="2025-12-22T00:00:00"/>
    <m/>
  </r>
  <r>
    <s v="45 (add-on list)"/>
    <s v="Speed control of DC &amp; 1-Phase AC motor using SCR (Universal sewing motor)"/>
    <n v="1"/>
    <n v="18000"/>
    <n v="18000"/>
    <x v="7"/>
    <s v="U.G"/>
    <s v="Equipment"/>
    <s v="Order in Cart"/>
    <s v="Add on"/>
    <x v="1"/>
    <x v="1"/>
    <n v="15694"/>
    <s v="Monarch Sales"/>
    <s v="DP"/>
    <n v="15380"/>
    <s v="GEM-67863074"/>
    <d v="2025-12-22T00:00:00"/>
    <m/>
  </r>
  <r>
    <s v="49 (Add-On-List)"/>
    <s v="Battery Characteristics Training Solutions Lithium polymer (Lipo) battery"/>
    <n v="1"/>
    <n v="70000"/>
    <n v="70000"/>
    <x v="7"/>
    <m/>
    <m/>
    <m/>
    <s v="Add on"/>
    <x v="1"/>
    <x v="2"/>
    <n v="57000"/>
    <s v="Monarch Sales"/>
    <s v="DLPC-6"/>
    <n v="0"/>
    <m/>
    <m/>
    <m/>
  </r>
  <r>
    <s v="50 (Add-On-List)"/>
    <s v="Lead - Acid Battery Characteristics "/>
    <n v="1"/>
    <n v="110000"/>
    <n v="110000"/>
    <x v="7"/>
    <m/>
    <m/>
    <m/>
    <s v="Add on"/>
    <x v="1"/>
    <x v="2"/>
    <n v="77900"/>
    <s v="Monarch Sales"/>
    <s v="DLPC-6"/>
    <n v="0"/>
    <m/>
    <m/>
    <m/>
  </r>
  <r>
    <s v="51 (Add-On-List)"/>
    <s v="Li-ion Battery Characteristics "/>
    <n v="1"/>
    <n v="115000"/>
    <n v="115000"/>
    <x v="7"/>
    <m/>
    <m/>
    <m/>
    <s v="Add on"/>
    <x v="1"/>
    <x v="2"/>
    <n v="79900"/>
    <s v="Highness INC"/>
    <s v="DLPC-6"/>
    <n v="0"/>
    <m/>
    <m/>
    <m/>
  </r>
  <r>
    <s v="52 (Add-On-List)"/>
    <s v="Battery Characteristics Training Systems Lithium Iron Phosphate"/>
    <n v="1"/>
    <n v="140000"/>
    <n v="140000"/>
    <x v="7"/>
    <m/>
    <m/>
    <m/>
    <s v="Add on"/>
    <x v="1"/>
    <x v="2"/>
    <n v="116800"/>
    <s v="Highness INC"/>
    <s v="DLPC-6"/>
    <n v="0"/>
    <m/>
    <m/>
    <m/>
  </r>
  <r>
    <s v="53 (Add-On-List)"/>
    <s v="Regenerative Charging and Braking "/>
    <n v="1"/>
    <n v="180000"/>
    <n v="180000"/>
    <x v="7"/>
    <m/>
    <m/>
    <m/>
    <s v="Add on"/>
    <x v="1"/>
    <x v="2"/>
    <n v="145000"/>
    <s v="Royal Electronics Sales &amp; Services"/>
    <s v="DLPC-6"/>
    <n v="0"/>
    <m/>
    <m/>
    <m/>
  </r>
  <r>
    <s v="54 (Add-On-List)"/>
    <s v="Battery Management Training Systems"/>
    <n v="1"/>
    <n v="230000"/>
    <n v="230000"/>
    <x v="7"/>
    <m/>
    <m/>
    <m/>
    <s v="Add on"/>
    <x v="1"/>
    <x v="2"/>
    <n v="179000"/>
    <s v="Royal Electronics Sales &amp; Services"/>
    <s v="DLPC-6"/>
    <n v="0"/>
    <m/>
    <m/>
    <m/>
  </r>
  <r>
    <s v="55 (Add-On-List)"/>
    <s v="Electrical Vehicle Training System - 438"/>
    <n v="1"/>
    <n v="230000"/>
    <n v="230000"/>
    <x v="7"/>
    <m/>
    <m/>
    <m/>
    <s v="Add on"/>
    <x v="1"/>
    <x v="4"/>
    <m/>
    <m/>
    <m/>
    <m/>
    <m/>
    <m/>
    <m/>
  </r>
  <r>
    <s v="56 (Add-On-List)"/>
    <s v="PMSM Motor Training System"/>
    <n v="1"/>
    <n v="360000"/>
    <n v="360000"/>
    <x v="7"/>
    <m/>
    <m/>
    <m/>
    <s v="Add on"/>
    <x v="1"/>
    <x v="2"/>
    <n v="314500"/>
    <s v="Royal Electronics Sales &amp; Services"/>
    <s v="DLPC-6"/>
    <n v="0"/>
    <m/>
    <m/>
    <m/>
  </r>
  <r>
    <s v="57 (Add-On-List)"/>
    <s v="Numerical Parallel Feeder Protection"/>
    <n v="1"/>
    <n v="500000"/>
    <n v="500000"/>
    <x v="7"/>
    <m/>
    <m/>
    <m/>
    <s v="Add on"/>
    <x v="1"/>
    <x v="1"/>
    <n v="483000"/>
    <s v="Royal Electronics Sales &amp; Services"/>
    <s v="DLPC-6"/>
    <n v="483000"/>
    <s v="GEM-72279630"/>
    <d v="2026-03-15T00:00:00"/>
    <m/>
  </r>
  <r>
    <s v="58 (Add-On-List)"/>
    <s v="Switch Reductance Motor Training System"/>
    <n v="1"/>
    <n v="950000"/>
    <n v="950000"/>
    <x v="7"/>
    <m/>
    <m/>
    <m/>
    <s v="Add on"/>
    <x v="1"/>
    <x v="7"/>
    <n v="948000"/>
    <s v="VPL Infootech &amp; consultant, Delhi"/>
    <s v="DPC"/>
    <n v="0"/>
    <m/>
    <m/>
    <m/>
  </r>
  <r>
    <n v="79"/>
    <s v="Reynolds Apparatus"/>
    <n v="1"/>
    <n v="60000"/>
    <n v="60000"/>
    <x v="12"/>
    <n v="0"/>
    <s v="Required as per syllabus"/>
    <s v="yes"/>
    <s v="U.G"/>
    <x v="1"/>
    <x v="1"/>
    <n v="47700"/>
    <s v="EIE Instruments Pvt. Ltd"/>
    <s v="DLPC-3"/>
    <n v="46746"/>
    <s v="GEM-69454649"/>
    <d v="2026-01-29T00:00:00"/>
    <m/>
  </r>
  <r>
    <n v="0"/>
    <s v="Copier Machine"/>
    <n v="10"/>
    <n v="100000"/>
    <n v="1000000"/>
    <x v="16"/>
    <m/>
    <m/>
    <m/>
    <s v="Add on"/>
    <x v="1"/>
    <x v="4"/>
    <m/>
    <m/>
    <m/>
    <m/>
    <m/>
    <m/>
    <m/>
  </r>
  <r>
    <n v="1"/>
    <s v="Battery Tester"/>
    <n v="4"/>
    <n v="250"/>
    <n v="1000"/>
    <x v="11"/>
    <m/>
    <m/>
    <m/>
    <s v="Add on"/>
    <x v="1"/>
    <x v="1"/>
    <n v="800"/>
    <s v="Intella Education Pvt. Ltd., Delhi"/>
    <s v="DP"/>
    <n v="800"/>
    <s v="GEM-65571505"/>
    <d v="2025-10-29T00:00:00"/>
    <s v="N.A"/>
  </r>
  <r>
    <n v="2"/>
    <s v="Inside LCD Display Callipers"/>
    <n v="5"/>
    <n v="2000"/>
    <n v="10000"/>
    <x v="11"/>
    <m/>
    <m/>
    <m/>
    <s v="Add on"/>
    <x v="1"/>
    <x v="1"/>
    <n v="9865"/>
    <s v="Ubixa Pvt. Ltd., Maharashtra"/>
    <s v="DP"/>
    <n v="9865"/>
    <s v="GEM-65455179"/>
    <d v="2025-10-25T00:00:00"/>
    <s v="N.A"/>
  </r>
  <r>
    <n v="3"/>
    <s v="S.S Incremental Optical Rotary Encoder"/>
    <n v="4"/>
    <n v="2500"/>
    <n v="10000"/>
    <x v="11"/>
    <m/>
    <m/>
    <m/>
    <s v="Add on"/>
    <x v="1"/>
    <x v="1"/>
    <n v="8000"/>
    <s v="Polestar, U.P"/>
    <s v="DP"/>
    <n v="8000"/>
    <s v="GEM-65362998"/>
    <d v="2025-10-22T00:00:00"/>
    <s v="N.A"/>
  </r>
  <r>
    <n v="4"/>
    <s v="Small Angle Grinder"/>
    <n v="2"/>
    <n v="2500"/>
    <n v="5000"/>
    <x v="11"/>
    <m/>
    <m/>
    <m/>
    <s v="Add on"/>
    <x v="1"/>
    <x v="1"/>
    <n v="4197"/>
    <s v="Bhagvat Enterprise, Punjab"/>
    <s v="DP"/>
    <n v="4197"/>
    <s v="GEM-65149992"/>
    <d v="2025-10-15T00:00:00"/>
    <s v="N.A"/>
  </r>
  <r>
    <n v="1"/>
    <s v="Process Control Trainer - Flow, Level with Pneumatic Control Valve"/>
    <n v="1"/>
    <n v="739471"/>
    <n v="739471"/>
    <x v="19"/>
    <m/>
    <m/>
    <m/>
    <s v="Add on"/>
    <x v="1"/>
    <x v="4"/>
    <m/>
    <m/>
    <m/>
    <m/>
    <m/>
    <m/>
    <m/>
  </r>
  <r>
    <n v="2"/>
    <s v="Process Control Trainer-Pressure, Temperature, Flow."/>
    <n v="1"/>
    <n v="825000"/>
    <n v="825000"/>
    <x v="19"/>
    <m/>
    <m/>
    <m/>
    <s v="Add on"/>
    <x v="1"/>
    <x v="4"/>
    <m/>
    <m/>
    <m/>
    <m/>
    <m/>
    <m/>
    <m/>
  </r>
  <r>
    <n v="3"/>
    <s v="Process Instrumentation Trainer"/>
    <n v="1"/>
    <n v="620000"/>
    <n v="620000"/>
    <x v="19"/>
    <n v="0"/>
    <m/>
    <m/>
    <s v="Add on"/>
    <x v="1"/>
    <x v="6"/>
    <n v="0"/>
    <s v="All tech Electronics, Ahmedabad"/>
    <s v="DLPC-6"/>
    <m/>
    <m/>
    <m/>
    <m/>
  </r>
  <r>
    <n v="4"/>
    <s v="Microprocessor and Microcontroller Trainer Kits"/>
    <n v="1"/>
    <n v="590000"/>
    <n v="590000"/>
    <x v="19"/>
    <m/>
    <m/>
    <m/>
    <s v="Add on"/>
    <x v="1"/>
    <x v="4"/>
    <m/>
    <m/>
    <m/>
    <m/>
    <m/>
    <m/>
    <m/>
  </r>
  <r>
    <n v="5"/>
    <s v="Basic Electronics and Measurement Kits"/>
    <n v="1"/>
    <n v="1311200"/>
    <n v="1311200"/>
    <x v="19"/>
    <m/>
    <m/>
    <m/>
    <s v="Add on"/>
    <x v="1"/>
    <x v="4"/>
    <m/>
    <m/>
    <m/>
    <m/>
    <m/>
    <m/>
    <m/>
  </r>
  <r>
    <n v="6"/>
    <s v="Advance Microcontroller Trainer Kits"/>
    <n v="1"/>
    <n v="1705690"/>
    <n v="1705690"/>
    <x v="19"/>
    <m/>
    <m/>
    <m/>
    <s v="Add on"/>
    <x v="1"/>
    <x v="1"/>
    <n v="1698000"/>
    <s v="Royal Electronics Sales &amp; Services"/>
    <s v="DPC"/>
    <n v="1695000"/>
    <s v="GEM-71896487"/>
    <d v="2025-03-10T00:00:00"/>
    <m/>
  </r>
  <r>
    <n v="7"/>
    <s v="Transducer and Measurement Trainer Kits"/>
    <n v="1"/>
    <n v="1400000"/>
    <n v="1400000"/>
    <x v="19"/>
    <m/>
    <m/>
    <m/>
    <s v="Add on"/>
    <x v="1"/>
    <x v="2"/>
    <n v="1109000"/>
    <s v="All tech Electronics, Ahmedabad"/>
    <s v="DPC"/>
    <n v="0"/>
    <m/>
    <m/>
    <m/>
  </r>
  <r>
    <n v="8"/>
    <s v="4 AXIS Articulated Robot ARM Work-Cell with Conveyor, Pick &amp; Place (MATLAB compatible)"/>
    <n v="1"/>
    <n v="1100000"/>
    <n v="1100000"/>
    <x v="19"/>
    <m/>
    <m/>
    <m/>
    <s v="Add on"/>
    <x v="1"/>
    <x v="4"/>
    <m/>
    <m/>
    <m/>
    <m/>
    <m/>
    <m/>
    <m/>
  </r>
  <r>
    <n v="9"/>
    <s v="DC Motor Kit"/>
    <n v="5"/>
    <n v="32500"/>
    <n v="162500"/>
    <x v="19"/>
    <m/>
    <m/>
    <m/>
    <s v="Add on"/>
    <x v="1"/>
    <x v="1"/>
    <n v="33000"/>
    <s v="Wintronix, Ahmedabad"/>
    <s v="DLPC-6"/>
    <n v="33000"/>
    <s v="GEM-72206886"/>
    <d v="2026-03-14T00:00:00"/>
    <s v="004640"/>
  </r>
  <r>
    <n v="10"/>
    <s v="Advanced hardware-software kit for Machine Learning"/>
    <n v="5"/>
    <n v="48500"/>
    <n v="242500"/>
    <x v="19"/>
    <m/>
    <m/>
    <m/>
    <s v="Add on"/>
    <x v="1"/>
    <x v="1"/>
    <n v="50500"/>
    <s v="Wintronix, Ahmedabad"/>
    <s v="DLPC-7"/>
    <n v="50500"/>
    <s v="GEM-72206395"/>
    <d v="2026-03-14T00:00:00"/>
    <s v="004639"/>
  </r>
  <r>
    <n v="11"/>
    <s v="Electric Circuit Analysis Experiment Kit"/>
    <n v="7"/>
    <n v="11500"/>
    <n v="80500"/>
    <x v="19"/>
    <m/>
    <m/>
    <m/>
    <s v="Add on"/>
    <x v="1"/>
    <x v="2"/>
    <n v="16560"/>
    <s v="Cubix Automation Pvt. Ltd, Pune"/>
    <s v="DLPC-6"/>
    <n v="0"/>
    <m/>
    <m/>
    <m/>
  </r>
  <r>
    <n v="30"/>
    <s v="Abrasion cum Pilling Tester - Martindale Type"/>
    <n v="1"/>
    <n v="302000"/>
    <n v="302000"/>
    <x v="13"/>
    <n v="1"/>
    <s v="Basic requiremnet at UG and PG level research and testing"/>
    <s v="yes"/>
    <s v="Add on"/>
    <x v="1"/>
    <x v="1"/>
    <n v="257240"/>
    <s v="Mag Solvics Pvt. Ltd."/>
    <s v="DLPC-3"/>
    <n v="257240"/>
    <s v="GEM-70343000"/>
    <d v="2026-02-14T00:00:00"/>
    <m/>
  </r>
  <r>
    <n v="0"/>
    <s v="Water Cooler for Admin offfice"/>
    <n v="1"/>
    <n v="28000"/>
    <n v="28000"/>
    <x v="16"/>
    <m/>
    <m/>
    <m/>
    <s v="Add on"/>
    <x v="1"/>
    <x v="1"/>
    <n v="23084"/>
    <s v="Thor Industries, Haryana"/>
    <s v="DP"/>
    <n v="23084"/>
    <s v="GEM-64749355"/>
    <d v="2025-10-07T00:00:00"/>
    <s v="N.A"/>
  </r>
  <r>
    <s v="95R4"/>
    <s v="Moving Die Rheometer (MDR)"/>
    <n v="1"/>
    <n v="520000"/>
    <n v="520000"/>
    <x v="12"/>
    <n v="0"/>
    <s v="As per GTU syllabus"/>
    <m/>
    <s v="U.G"/>
    <x v="1"/>
    <x v="7"/>
    <n v="570000"/>
    <s v="Stech Engineers, Maharashtra"/>
    <s v="DPC"/>
    <n v="0"/>
    <m/>
    <m/>
    <m/>
  </r>
  <r>
    <s v="95R4"/>
    <s v="Carbon Black Dispersion Analyzer"/>
    <n v="1"/>
    <n v="100000"/>
    <n v="100000"/>
    <x v="12"/>
    <n v="0"/>
    <s v="As per GTU syllabus"/>
    <m/>
    <s v="U.G"/>
    <x v="1"/>
    <x v="1"/>
    <n v="95480"/>
    <s v="EIE Instruments Pvt. Ltd"/>
    <s v="DLPC-7"/>
    <n v="95480"/>
    <s v="GEM-72942524"/>
    <d v="2026-03-23T00:00:00"/>
    <s v="N.A"/>
  </r>
  <r>
    <s v="95R4"/>
    <s v="Lab Mixing Mill (2 roll) Rubber and Thermoplastic Elastomer (Hot and Cold)"/>
    <n v="1"/>
    <n v="680000"/>
    <n v="680000"/>
    <x v="12"/>
    <n v="0"/>
    <s v="As per GTU syllabus"/>
    <m/>
    <s v="U.G"/>
    <x v="1"/>
    <x v="4"/>
    <m/>
    <m/>
    <m/>
    <m/>
    <m/>
    <m/>
    <m/>
  </r>
  <r>
    <s v="95R4"/>
    <s v="Fatigue Testing machine for rubber"/>
    <n v="1"/>
    <n v="215000"/>
    <n v="215000"/>
    <x v="12"/>
    <n v="0"/>
    <s v="As per GTU syllabus"/>
    <m/>
    <s v="U.G"/>
    <x v="1"/>
    <x v="4"/>
    <m/>
    <m/>
    <m/>
    <m/>
    <m/>
    <m/>
    <m/>
  </r>
  <r>
    <s v="95R4"/>
    <s v="Melt Flow Index or Melt flow rate (MFI) Digital"/>
    <n v="1"/>
    <n v="248000"/>
    <n v="248000"/>
    <x v="12"/>
    <n v="0"/>
    <s v="As per GTU syllabus"/>
    <m/>
    <s v="U.G"/>
    <x v="1"/>
    <x v="4"/>
    <m/>
    <m/>
    <m/>
    <m/>
    <m/>
    <m/>
    <m/>
  </r>
  <r>
    <s v="95R4"/>
    <s v="Vicat Softening Point (VSP) and Heat Deflection Temperature (HDT) APPARATUS"/>
    <n v="1"/>
    <n v="250000"/>
    <n v="250000"/>
    <x v="12"/>
    <n v="0"/>
    <s v="As per GTU syllabus"/>
    <m/>
    <s v="U.G"/>
    <x v="1"/>
    <x v="4"/>
    <m/>
    <m/>
    <m/>
    <m/>
    <m/>
    <m/>
    <m/>
  </r>
  <r>
    <s v="95R4"/>
    <s v="vaccum type Rubber Compression Moulding Machine"/>
    <n v="1"/>
    <n v="500000"/>
    <n v="500000"/>
    <x v="12"/>
    <n v="0"/>
    <s v="As per GTU syllabus"/>
    <m/>
    <s v="U.G"/>
    <x v="1"/>
    <x v="4"/>
    <m/>
    <m/>
    <m/>
    <m/>
    <m/>
    <m/>
    <m/>
  </r>
  <r>
    <s v="95R4"/>
    <s v="Izod and  Charpy Impact Tester Digital"/>
    <n v="1"/>
    <n v="285000"/>
    <n v="285000"/>
    <x v="12"/>
    <n v="0"/>
    <s v="As per GTU syllabus"/>
    <m/>
    <s v="U.G"/>
    <x v="1"/>
    <x v="1"/>
    <n v="297505"/>
    <s v="EIE Instruments Pvt. Ltd"/>
    <s v="DLPC-7"/>
    <n v="297505"/>
    <s v="GEM-73017148"/>
    <d v="2026-03-24T00:00:00"/>
    <s v="N.A"/>
  </r>
  <r>
    <s v="95R4"/>
    <s v="UV light Accelerated Weathering Tester (Digital)"/>
    <n v="1"/>
    <n v="1250000"/>
    <n v="1250000"/>
    <x v="12"/>
    <n v="0"/>
    <s v="As per GTU syllabus"/>
    <m/>
    <s v="U.G"/>
    <x v="1"/>
    <x v="7"/>
    <n v="1330000"/>
    <s v="Stech Engineers, Maharashtra"/>
    <s v="DPC"/>
    <n v="0"/>
    <m/>
    <m/>
    <m/>
  </r>
  <r>
    <s v="95R4"/>
    <s v="Environmental Stress Cracking Resistance(ESCR) for rubber"/>
    <n v="1"/>
    <n v="125000"/>
    <n v="125000"/>
    <x v="12"/>
    <n v="0"/>
    <s v="As per GTU syllabus"/>
    <m/>
    <s v="U.G"/>
    <x v="1"/>
    <x v="4"/>
    <m/>
    <m/>
    <m/>
    <m/>
    <m/>
    <m/>
    <m/>
  </r>
  <r>
    <s v="95R4"/>
    <s v="Scratch Hardness Tester"/>
    <n v="1"/>
    <n v="100000"/>
    <n v="100000"/>
    <x v="12"/>
    <n v="0"/>
    <s v="As per GTU syllabus"/>
    <m/>
    <s v="U.G"/>
    <x v="1"/>
    <x v="4"/>
    <m/>
    <m/>
    <m/>
    <m/>
    <m/>
    <m/>
    <m/>
  </r>
  <r>
    <s v="95R4"/>
    <s v="Flammability Tester (UL-94)"/>
    <n v="1"/>
    <n v="350000"/>
    <n v="350000"/>
    <x v="12"/>
    <n v="0"/>
    <s v="As per GTU syllabus"/>
    <m/>
    <s v="U.G"/>
    <x v="1"/>
    <x v="1"/>
    <n v="280000"/>
    <s v="EIE Instruments Pvt. Ltd"/>
    <s v="DLPC-7"/>
    <n v="280000"/>
    <s v="GEM-73017148"/>
    <d v="2026-03-24T00:00:00"/>
    <s v="N.A"/>
  </r>
  <r>
    <s v="95R4"/>
    <s v="Dumbbell Cuting Press with ASTM D412 all die types"/>
    <n v="1"/>
    <n v="90000"/>
    <n v="90000"/>
    <x v="12"/>
    <n v="0"/>
    <s v="As per GTU syllabus"/>
    <m/>
    <s v="U.G"/>
    <x v="1"/>
    <x v="4"/>
    <m/>
    <m/>
    <m/>
    <m/>
    <m/>
    <m/>
    <m/>
  </r>
  <r>
    <s v="95R4"/>
    <s v="IRHD hardness Tester Digital"/>
    <n v="1"/>
    <n v="180000"/>
    <n v="180000"/>
    <x v="12"/>
    <n v="0"/>
    <s v="As per GTU syllabus"/>
    <m/>
    <s v="U.G"/>
    <x v="1"/>
    <x v="4"/>
    <m/>
    <m/>
    <m/>
    <m/>
    <m/>
    <m/>
    <m/>
  </r>
  <r>
    <s v="95R4"/>
    <s v="Rebound Resilience Tester"/>
    <n v="1"/>
    <n v="140000"/>
    <n v="140000"/>
    <x v="12"/>
    <n v="0"/>
    <s v="As per GTU syllabus"/>
    <m/>
    <s v="U.G"/>
    <x v="1"/>
    <x v="4"/>
    <m/>
    <m/>
    <m/>
    <m/>
    <m/>
    <m/>
    <m/>
  </r>
  <r>
    <s v="95R4"/>
    <s v="Dynamic Mechanical Analyzer"/>
    <n v="1"/>
    <n v="1500000"/>
    <n v="1500000"/>
    <x v="12"/>
    <n v="0"/>
    <s v="As per GTU syllabus"/>
    <m/>
    <s v="U.G"/>
    <x v="1"/>
    <x v="4"/>
    <m/>
    <m/>
    <m/>
    <m/>
    <m/>
    <m/>
    <m/>
  </r>
  <r>
    <n v="171"/>
    <s v="Hot foil stamping Machine"/>
    <n v="1"/>
    <n v="120000"/>
    <n v="120000"/>
    <x v="22"/>
    <m/>
    <m/>
    <m/>
    <s v="U.G"/>
    <x v="1"/>
    <x v="4"/>
    <m/>
    <m/>
    <m/>
    <m/>
    <m/>
    <m/>
    <m/>
  </r>
  <r>
    <n v="172"/>
    <s v="Flammability Tester"/>
    <n v="1"/>
    <n v="370000"/>
    <n v="370000"/>
    <x v="22"/>
    <m/>
    <m/>
    <m/>
    <s v="U.G"/>
    <x v="1"/>
    <x v="4"/>
    <m/>
    <m/>
    <m/>
    <m/>
    <m/>
    <m/>
    <m/>
  </r>
  <r>
    <n v="176"/>
    <s v="Falling dart Impact tester for films"/>
    <n v="1"/>
    <n v="130000"/>
    <n v="130000"/>
    <x v="22"/>
    <m/>
    <m/>
    <m/>
    <s v="U.G"/>
    <x v="1"/>
    <x v="4"/>
    <m/>
    <m/>
    <m/>
    <m/>
    <m/>
    <m/>
    <m/>
  </r>
  <r>
    <n v="177"/>
    <s v="Vertical Hydraulic Injection Moulding Machine"/>
    <n v="1"/>
    <n v="1500000"/>
    <n v="1500000"/>
    <x v="22"/>
    <m/>
    <m/>
    <m/>
    <s v="U.G"/>
    <x v="1"/>
    <x v="4"/>
    <m/>
    <m/>
    <m/>
    <m/>
    <m/>
    <m/>
    <m/>
  </r>
  <r>
    <n v="180"/>
    <s v="Pad Printing Machine"/>
    <n v="1"/>
    <n v="380000"/>
    <n v="380000"/>
    <x v="22"/>
    <m/>
    <m/>
    <m/>
    <s v="U.G"/>
    <x v="1"/>
    <x v="4"/>
    <m/>
    <m/>
    <m/>
    <m/>
    <m/>
    <m/>
    <m/>
  </r>
  <r>
    <n v="282"/>
    <s v="Lab scale Blow Moulding Machine WITH MOULDS and auxillary attachments"/>
    <n v="1"/>
    <n v="1000000"/>
    <n v="1000000"/>
    <x v="22"/>
    <m/>
    <m/>
    <m/>
    <s v="U.G"/>
    <x v="1"/>
    <x v="4"/>
    <m/>
    <m/>
    <m/>
    <m/>
    <m/>
    <m/>
    <m/>
  </r>
  <r>
    <n v="284"/>
    <s v="Lab scale Compression Molding Machine with Mold"/>
    <n v="1"/>
    <n v="1000000"/>
    <n v="1000000"/>
    <x v="22"/>
    <m/>
    <m/>
    <m/>
    <s v="U.G"/>
    <x v="1"/>
    <x v="4"/>
    <m/>
    <m/>
    <m/>
    <m/>
    <m/>
    <m/>
    <m/>
  </r>
  <r>
    <n v="285"/>
    <s v="Lab Scale Twin Screw Extruder with all auxillary attachments"/>
    <n v="1"/>
    <n v="3500000"/>
    <n v="3500000"/>
    <x v="22"/>
    <m/>
    <m/>
    <m/>
    <s v="U.G"/>
    <x v="1"/>
    <x v="4"/>
    <m/>
    <m/>
    <m/>
    <m/>
    <m/>
    <m/>
    <m/>
  </r>
  <r>
    <n v="14"/>
    <s v="Augmented Reality Welding Simulator"/>
    <n v="1"/>
    <n v="2000000"/>
    <n v="2000000"/>
    <x v="11"/>
    <m/>
    <m/>
    <m/>
    <s v="U.G"/>
    <x v="1"/>
    <x v="7"/>
    <n v="1896000"/>
    <s v="Simbott Technologies LLP"/>
    <s v="DPC"/>
    <n v="0"/>
    <m/>
    <m/>
    <m/>
  </r>
  <r>
    <s v="59 (add-on list)"/>
    <s v="Electrical Vehicle Motors and Drives Workbench without DAQ"/>
    <n v="1"/>
    <n v="1400000"/>
    <n v="1400000"/>
    <x v="7"/>
    <s v="U.G"/>
    <s v="Equipment"/>
    <m/>
    <s v="U.G"/>
    <x v="1"/>
    <x v="7"/>
    <n v="1268000"/>
    <s v="Royal Electronics Sales &amp; Services"/>
    <s v="DPC"/>
    <n v="0"/>
    <m/>
    <m/>
    <m/>
  </r>
  <r>
    <n v="5"/>
    <s v="Eletric Drill"/>
    <n v="2"/>
    <n v="6720"/>
    <n v="13440"/>
    <x v="11"/>
    <m/>
    <m/>
    <m/>
    <s v="Add on"/>
    <x v="1"/>
    <x v="1"/>
    <n v="13985"/>
    <s v="SAN Square Enterprises"/>
    <s v="DP"/>
    <n v="13985"/>
    <s v="GEM-66104622"/>
    <d v="2025-11-12T00:00:00"/>
    <s v="N.A"/>
  </r>
  <r>
    <n v="6"/>
    <s v="Cordless Brushed Electric Drill"/>
    <n v="2"/>
    <n v="6999"/>
    <n v="13998"/>
    <x v="11"/>
    <m/>
    <m/>
    <m/>
    <s v="Add on"/>
    <x v="1"/>
    <x v="1"/>
    <n v="14800"/>
    <s v="OIBC Bearing Pvt. Ltd."/>
    <s v="DP"/>
    <n v="14800"/>
    <s v="GEM-66198511"/>
    <d v="2025-11-14T00:00:00"/>
    <s v="N.A"/>
  </r>
  <r>
    <n v="12"/>
    <s v="Electric Grinder"/>
    <n v="2"/>
    <n v="5739"/>
    <n v="11478"/>
    <x v="11"/>
    <m/>
    <m/>
    <m/>
    <s v="Add on"/>
    <x v="1"/>
    <x v="1"/>
    <n v="11478"/>
    <s v="SAF Services Pvt. Ltd."/>
    <s v="DP"/>
    <n v="11306"/>
    <s v="GEM-65527456"/>
    <d v="2025-10-28T00:00:00"/>
    <s v="N.A"/>
  </r>
  <r>
    <n v="11"/>
    <s v="High Pressure Continuous Flow Reactor"/>
    <n v="1"/>
    <n v="3200000"/>
    <n v="3200000"/>
    <x v="4"/>
    <m/>
    <m/>
    <m/>
    <s v="Add on"/>
    <x v="1"/>
    <x v="1"/>
    <n v="1890000"/>
    <s v="Indo Aerogels and Membranes"/>
    <s v="DPC"/>
    <n v="1889000"/>
    <s v="GEM-72672487"/>
    <d v="2026-03-19T00:00:00"/>
    <s v="Received"/>
  </r>
  <r>
    <n v="9"/>
    <s v="Tachometer"/>
    <n v="2"/>
    <n v="10000"/>
    <n v="20000"/>
    <x v="11"/>
    <m/>
    <m/>
    <m/>
    <s v="Add on"/>
    <x v="1"/>
    <x v="1"/>
    <n v="20000"/>
    <s v="Peerumal &amp; sons"/>
    <s v="DP"/>
    <n v="19100"/>
    <s v="GEM-65655412"/>
    <d v="2025-10-30T00:00:00"/>
    <s v="N.A"/>
  </r>
  <r>
    <s v="Add on"/>
    <s v="Micro/Semimicro/Analytical weighing balance"/>
    <n v="1"/>
    <n v="450000"/>
    <n v="450000"/>
    <x v="9"/>
    <m/>
    <m/>
    <m/>
    <s v="Add on"/>
    <x v="1"/>
    <x v="1"/>
    <n v="134800"/>
    <s v="Maruti weihtech Pvt. Ltd."/>
    <s v="DLPC-6"/>
    <n v="134800"/>
    <s v="GEM-72727289"/>
    <d v="2026-03-20T00:00:00"/>
    <m/>
  </r>
  <r>
    <s v="Add on"/>
    <s v="Muffle furnace"/>
    <n v="1"/>
    <n v="150000"/>
    <n v="150000"/>
    <x v="4"/>
    <m/>
    <m/>
    <m/>
    <s v="Add on"/>
    <x v="1"/>
    <x v="1"/>
    <n v="63000"/>
    <s v="Hightech Instruments, Chandigarh"/>
    <s v="DLPC-6"/>
    <n v="63000"/>
    <s v="GEM-71802642"/>
    <d v="2026-03-09T00:00:00"/>
    <s v="Pending"/>
  </r>
  <r>
    <n v="0"/>
    <s v="EPABX System"/>
    <n v="1"/>
    <n v="108000"/>
    <n v="108000"/>
    <x v="16"/>
    <n v="0"/>
    <s v="Add on"/>
    <s v="yes"/>
    <s v="Add on"/>
    <x v="4"/>
    <x v="1"/>
    <n v="108000"/>
    <s v="ASPIRETECHNO GLOBAL PRIVATE LIMITED"/>
    <s v="DLPC-3"/>
    <n v="108000"/>
    <s v="GEM-68245760"/>
    <d v="2025-12-31T00:00:00"/>
    <s v="Pending"/>
  </r>
  <r>
    <s v="Add on"/>
    <s v="Muffle furnace"/>
    <n v="1"/>
    <n v="150000"/>
    <n v="150000"/>
    <x v="9"/>
    <s v="Add on"/>
    <s v="Equipment"/>
    <s v="yes"/>
    <s v="Add on"/>
    <x v="1"/>
    <x v="1"/>
    <n v="63000"/>
    <s v="Hightech Instruments, Chandigarh"/>
    <s v="DLPC-6"/>
    <n v="63000"/>
    <s v="GEM-71802846"/>
    <d v="2026-03-09T00:00:00"/>
    <s v="Pending"/>
  </r>
  <r>
    <n v="11"/>
    <s v="3D Printer "/>
    <n v="1"/>
    <n v="100000"/>
    <n v="100000"/>
    <x v="11"/>
    <s v="Add on "/>
    <s v="Equipment"/>
    <s v="yes"/>
    <s v="Add on"/>
    <x v="1"/>
    <x v="1"/>
    <n v="236500"/>
    <s v="GO3D INNOVATION LLP"/>
    <s v="DLPC-7"/>
    <n v="236500"/>
    <s v="GEM-72449105"/>
    <m/>
    <s v="Pending"/>
  </r>
  <r>
    <n v="1"/>
    <s v="Pressure regulator for gases"/>
    <n v="2"/>
    <n v="25000"/>
    <n v="50000"/>
    <x v="4"/>
    <s v="Add on "/>
    <s v="Equipment"/>
    <s v="yes"/>
    <s v="Add on"/>
    <x v="1"/>
    <x v="1"/>
    <n v="24900"/>
    <s v="Hisar Enterprises, Hisar, Haryana"/>
    <s v="DP"/>
    <n v="24873"/>
    <s v="GEM-70783806"/>
    <d v="2026-02-20T00:00:00"/>
    <s v="NA"/>
  </r>
  <r>
    <n v="2"/>
    <s v="Sonophoto Chemical Reactor"/>
    <n v="1"/>
    <n v="700000"/>
    <n v="700000"/>
    <x v="4"/>
    <s v="Add on "/>
    <s v="Equipment"/>
    <s v="yes"/>
    <s v="Add on"/>
    <x v="1"/>
    <x v="2"/>
    <n v="498900"/>
    <s v="Dakshin, Mumbai"/>
    <s v="DLPC-7"/>
    <n v="0"/>
    <m/>
    <m/>
    <m/>
  </r>
  <r>
    <n v="0"/>
    <s v="Supercritical Fluid Extraction System "/>
    <n v="1"/>
    <n v="2700000"/>
    <n v="2700000"/>
    <x v="4"/>
    <s v="Add on "/>
    <m/>
    <m/>
    <s v="Add on"/>
    <x v="1"/>
    <x v="7"/>
    <n v="2150000"/>
    <s v="Amar Equipment"/>
    <s v="DPC"/>
    <n v="0"/>
    <m/>
    <m/>
    <m/>
  </r>
  <r>
    <n v="0"/>
    <s v="Micro flow Reactor"/>
    <n v="1"/>
    <n v="1200000"/>
    <n v="1200000"/>
    <x v="4"/>
    <s v="Add on "/>
    <m/>
    <m/>
    <s v="Add on"/>
    <x v="1"/>
    <x v="7"/>
    <n v="1200000"/>
    <s v="INDO AEROGELS AND MEMBRANES  "/>
    <s v="DPC"/>
    <n v="0"/>
    <m/>
    <m/>
    <m/>
  </r>
  <r>
    <n v="0"/>
    <s v="Weighing Scale"/>
    <n v="1"/>
    <n v="8000"/>
    <n v="8000"/>
    <x v="11"/>
    <s v="Add on "/>
    <m/>
    <m/>
    <s v="Add on"/>
    <x v="1"/>
    <x v="1"/>
    <n v="7680"/>
    <s v="Libra Scale Industries, Ranchi"/>
    <s v="DP"/>
    <n v="7680"/>
    <s v="GEM-69554894"/>
    <d v="2026-01-31T00:00:00"/>
    <s v="N.A"/>
  </r>
  <r>
    <n v="0"/>
    <s v="Floor type Tower AC"/>
    <n v="1"/>
    <n v="100000"/>
    <n v="100000"/>
    <x v="16"/>
    <m/>
    <m/>
    <m/>
    <m/>
    <x v="1"/>
    <x v="1"/>
    <n v="79910"/>
    <s v="Nexus Enterprise,Delhi"/>
    <s v="DLPC"/>
    <n v="78711"/>
    <s v="GEM-"/>
    <m/>
    <s v="Pending"/>
  </r>
  <r>
    <n v="0"/>
    <s v="U-Tube Manometer"/>
    <n v="1"/>
    <n v="10000"/>
    <n v="10000"/>
    <x v="4"/>
    <m/>
    <m/>
    <m/>
    <m/>
    <x v="1"/>
    <x v="1"/>
    <n v="9996"/>
    <s v="Shalini Kumani,Nawada"/>
    <s v="DP"/>
    <n v="9896"/>
    <s v="GEM-70892636"/>
    <d v="2026-02-22T00:00:00"/>
    <s v="N.A"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  <r>
    <m/>
    <m/>
    <m/>
    <m/>
    <m/>
    <x v="23"/>
    <m/>
    <m/>
    <m/>
    <m/>
    <x v="5"/>
    <x v="8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n v="185"/>
    <s v="All Filter"/>
    <n v="510"/>
    <s v="Total"/>
    <n v="89628152"/>
    <x v="0"/>
    <n v="33"/>
    <s v="All Filter"/>
    <s v="All Filter"/>
    <s v="All Filter"/>
    <x v="0"/>
    <x v="0"/>
    <n v="44360733"/>
    <s v="All Filter"/>
    <s v="All Filter"/>
    <n v="25575782"/>
    <s v="All Filter"/>
    <s v="All Filter"/>
    <s v="All Filter"/>
    <m/>
    <m/>
  </r>
  <r>
    <n v="1"/>
    <s v="Slump test apparatus with tamping rod"/>
    <n v="1"/>
    <n v="3000"/>
    <n v="3000"/>
    <x v="1"/>
    <n v="1"/>
    <s v="Basic requiremnet at UG and PG level research and testing"/>
    <s v="yes"/>
    <s v="U.G"/>
    <x v="1"/>
    <x v="1"/>
    <n v="2000"/>
    <s v="Steel Fabricators"/>
    <s v="DP"/>
    <n v="1980"/>
    <s v="GEM-63696205"/>
    <d v="2025-09-13T00:00:00"/>
    <s v="N.A"/>
    <m/>
    <m/>
  </r>
  <r>
    <n v="2"/>
    <s v="Nonconcurrent coplanar force apparatus"/>
    <n v="1"/>
    <n v="9000"/>
    <n v="9000"/>
    <x v="1"/>
    <n v="1"/>
    <s v="Basic requiremnet at UG level"/>
    <s v="yes"/>
    <s v="U.G"/>
    <x v="1"/>
    <x v="2"/>
    <n v="2080"/>
    <m/>
    <s v="DP"/>
    <n v="0"/>
    <s v="N.A"/>
    <s v="N.A"/>
    <s v="N.A"/>
    <m/>
    <m/>
  </r>
  <r>
    <n v="3"/>
    <s v="Weighing scale 5 kg with 1 gm resolution"/>
    <n v="1"/>
    <n v="12000"/>
    <n v="12000"/>
    <x v="1"/>
    <n v="1"/>
    <s v="Basic requiremnet at UG and PG level research and testing"/>
    <s v="yes"/>
    <s v="U.G"/>
    <x v="1"/>
    <x v="1"/>
    <n v="9999"/>
    <s v="B.R Chemical Suppliers, Jodhpur"/>
    <s v="DP"/>
    <n v="9899"/>
    <s v="GEM-62062887"/>
    <d v="2025-08-06T00:00:00"/>
    <s v="N.A"/>
    <m/>
    <m/>
  </r>
  <r>
    <n v="4"/>
    <s v="Weighing scale 10 kg with 10 gm resolution"/>
    <n v="1"/>
    <n v="13000"/>
    <n v="13000"/>
    <x v="1"/>
    <n v="1"/>
    <s v="Basic requiremnet at UG and PG level research and testing"/>
    <s v="yes"/>
    <s v="U.G"/>
    <x v="1"/>
    <x v="1"/>
    <n v="3000"/>
    <s v="Apolo scale industry, Agra"/>
    <s v="DP"/>
    <n v="3000"/>
    <s v="GEM-63342027"/>
    <d v="2025-09-05T00:00:00"/>
    <s v="N.A"/>
    <m/>
    <m/>
  </r>
  <r>
    <n v="5"/>
    <s v="Two Hinged Arch Apparatus"/>
    <n v="1"/>
    <n v="80000"/>
    <n v="80000"/>
    <x v="1"/>
    <n v="0"/>
    <s v="Basic requiremnet at UG level"/>
    <s v="yes"/>
    <s v="U.G"/>
    <x v="1"/>
    <x v="2"/>
    <n v="83500"/>
    <s v="Engineering Models &amp; Equipment,Roorkee"/>
    <s v="DLPC-6"/>
    <n v="0"/>
    <s v="N.A"/>
    <s v="N.A"/>
    <s v="Pending"/>
    <m/>
    <m/>
  </r>
  <r>
    <n v="6"/>
    <s v="Three Hinged Arch Apparatus"/>
    <n v="1"/>
    <n v="80000"/>
    <n v="80000"/>
    <x v="1"/>
    <n v="0"/>
    <s v="Basic requiremnet at UG level"/>
    <s v="yes"/>
    <s v="U.G"/>
    <x v="1"/>
    <x v="2"/>
    <n v="84200"/>
    <s v="Engineering Models &amp; Equipment,Roorkee"/>
    <s v="DLPC-6"/>
    <n v="0"/>
    <s v="N.A"/>
    <s v="N.A"/>
    <s v="Pending"/>
    <m/>
    <m/>
  </r>
  <r>
    <n v="7"/>
    <s v="Concrete permeability apparatus"/>
    <n v="1"/>
    <n v="90000"/>
    <n v="90000"/>
    <x v="1"/>
    <n v="1"/>
    <s v="Basic requiremnet at UG and PG level research and testing"/>
    <s v="yes"/>
    <s v="U.G"/>
    <x v="1"/>
    <x v="3"/>
    <m/>
    <m/>
    <m/>
    <m/>
    <m/>
    <m/>
    <m/>
    <m/>
    <m/>
  </r>
  <r>
    <n v="8"/>
    <s v="Portable concrete core cutter"/>
    <n v="1"/>
    <n v="360000"/>
    <n v="360000"/>
    <x v="1"/>
    <n v="0"/>
    <s v="Basic requiremnet at UG and PG level research and testing"/>
    <s v="yes"/>
    <s v="U.G"/>
    <x v="1"/>
    <x v="2"/>
    <n v="202000"/>
    <s v="Intellitest Solutions Pvt. Ltd., Faridabad"/>
    <s v="DLPC-5"/>
    <n v="0"/>
    <s v="N.A"/>
    <s v="N.A"/>
    <n v="502203"/>
    <n v="10100"/>
    <s v="ICICI bank"/>
  </r>
  <r>
    <n v="9"/>
    <s v="Viscometer"/>
    <n v="1"/>
    <n v="24500"/>
    <n v="24500"/>
    <x v="2"/>
    <n v="0"/>
    <s v="UG course"/>
    <s v="yes"/>
    <s v="U.G"/>
    <x v="1"/>
    <x v="3"/>
    <m/>
    <m/>
    <m/>
    <m/>
    <m/>
    <m/>
    <m/>
    <m/>
    <m/>
  </r>
  <r>
    <n v="10"/>
    <s v="Spark plug tester and cleaner"/>
    <n v="1"/>
    <n v="45000"/>
    <n v="45000"/>
    <x v="2"/>
    <n v="0"/>
    <s v="UG course"/>
    <s v="yes"/>
    <s v="U.G"/>
    <x v="1"/>
    <x v="3"/>
    <m/>
    <m/>
    <m/>
    <m/>
    <m/>
    <m/>
    <m/>
    <m/>
    <m/>
  </r>
  <r>
    <n v="11"/>
    <s v="Rotary and inline fuel pump"/>
    <n v="1"/>
    <n v="50000"/>
    <n v="50000"/>
    <x v="2"/>
    <n v="0"/>
    <s v="UG course"/>
    <s v="yes"/>
    <s v="U.G"/>
    <x v="1"/>
    <x v="3"/>
    <m/>
    <m/>
    <m/>
    <m/>
    <m/>
    <m/>
    <m/>
    <m/>
    <m/>
  </r>
  <r>
    <n v="12"/>
    <s v="Air compressor 5HP"/>
    <n v="1"/>
    <n v="65000"/>
    <n v="65000"/>
    <x v="2"/>
    <n v="0"/>
    <s v="UG course"/>
    <s v="yes"/>
    <s v="U.G"/>
    <x v="1"/>
    <x v="4"/>
    <m/>
    <m/>
    <m/>
    <m/>
    <m/>
    <m/>
    <m/>
    <m/>
    <m/>
  </r>
  <r>
    <n v="13"/>
    <s v="Raspberry pi kit with 8 GB storage"/>
    <n v="5"/>
    <n v="20000"/>
    <n v="100000"/>
    <x v="2"/>
    <n v="0"/>
    <s v="UG course"/>
    <s v="yes"/>
    <s v="U.G"/>
    <x v="1"/>
    <x v="4"/>
    <m/>
    <m/>
    <m/>
    <m/>
    <m/>
    <m/>
    <m/>
    <m/>
    <m/>
  </r>
  <r>
    <n v="14"/>
    <s v="Electronic weighing scale (min. 1000kg)"/>
    <n v="1"/>
    <n v="150000"/>
    <n v="150000"/>
    <x v="2"/>
    <n v="0"/>
    <s v="UG course"/>
    <s v="yes"/>
    <s v="U.G"/>
    <x v="1"/>
    <x v="1"/>
    <n v="16000"/>
    <s v="Maruti Weightech Pvt. Ltd."/>
    <s v="DP"/>
    <n v="15920"/>
    <s v="GEM-67230898"/>
    <d v="2025-12-08T00:00:00"/>
    <s v="N.A"/>
    <m/>
    <m/>
  </r>
  <r>
    <n v="15"/>
    <s v="SCISSOR LIFT"/>
    <n v="1"/>
    <n v="200000"/>
    <n v="200000"/>
    <x v="2"/>
    <n v="0"/>
    <s v="UG course"/>
    <s v="yes"/>
    <s v="U.G"/>
    <x v="1"/>
    <x v="1"/>
    <n v="131000"/>
    <s v="Pantron Automation Pvt. Ltd."/>
    <s v="DLPC-5"/>
    <n v="129690"/>
    <s v="GEM-70289864"/>
    <d v="2026-02-13T00:00:00"/>
    <s v="Exempted"/>
    <m/>
    <m/>
  </r>
  <r>
    <n v="16"/>
    <s v="Gas analyzer ( 5 gas)"/>
    <n v="1"/>
    <n v="250000"/>
    <n v="250000"/>
    <x v="2"/>
    <n v="0"/>
    <s v="UG course"/>
    <s v="yes"/>
    <s v="U.G"/>
    <x v="1"/>
    <x v="1"/>
    <n v="187600"/>
    <s v="Pantron Automation Pvt. Ltd."/>
    <s v="DLPC-5"/>
    <n v="187600"/>
    <s v="GEM-71614380"/>
    <d v="2026-03-06T00:00:00"/>
    <s v="Exempted"/>
    <m/>
    <m/>
  </r>
  <r>
    <n v="17"/>
    <s v="Biomedical Sensor Interface Trainer Kit"/>
    <n v="3"/>
    <n v="20000"/>
    <n v="60000"/>
    <x v="3"/>
    <n v="0"/>
    <s v="Required as per GTU syllabus"/>
    <s v="yes"/>
    <s v="U.G"/>
    <x v="1"/>
    <x v="1"/>
    <n v="48300"/>
    <s v="Royale Electronics Sales &amp; Services"/>
    <s v="DLPC-1"/>
    <n v="47576"/>
    <s v="GEM-64369436"/>
    <d v="2025-09-27T00:00:00"/>
    <s v="0554825IPG000054"/>
    <m/>
    <m/>
  </r>
  <r>
    <n v="18"/>
    <s v="ESP32 IoT Development Trainer Kit"/>
    <n v="3"/>
    <n v="20000"/>
    <n v="60000"/>
    <x v="3"/>
    <n v="0"/>
    <s v="Required as per GTU syllabus"/>
    <s v="yes"/>
    <s v="U.G"/>
    <x v="1"/>
    <x v="1"/>
    <n v="58587"/>
    <s v="Prajakta Enterprise"/>
    <s v="DLPC-1"/>
    <n v="58587"/>
    <s v="GEM-64167332"/>
    <d v="2025-09-29T00:00:00"/>
    <s v="004418"/>
    <m/>
    <m/>
  </r>
  <r>
    <n v="19"/>
    <s v="PIC Development Board Trainer Kit"/>
    <n v="3"/>
    <n v="20000"/>
    <n v="60000"/>
    <x v="3"/>
    <n v="0"/>
    <s v="Required as per GTU syllabus"/>
    <s v="yes"/>
    <s v="U.G"/>
    <x v="1"/>
    <x v="1"/>
    <n v="58410"/>
    <s v="Prajakta Enterprise"/>
    <s v="DLPC-1"/>
    <n v="58410"/>
    <s v="GEM-64167341"/>
    <d v="2025-09-24T00:00:00"/>
    <s v="004419"/>
    <m/>
    <m/>
  </r>
  <r>
    <n v="20"/>
    <s v="Orange Pi 5 Plus 32GB Development Kit"/>
    <n v="3"/>
    <n v="80000"/>
    <n v="240000"/>
    <x v="3"/>
    <n v="0"/>
    <s v="Required as per GTU syllabus"/>
    <s v="yes"/>
    <s v="U.G"/>
    <x v="1"/>
    <x v="3"/>
    <m/>
    <m/>
    <m/>
    <m/>
    <m/>
    <m/>
    <m/>
    <m/>
    <m/>
  </r>
  <r>
    <n v="21"/>
    <s v="NVIDIA Jetson Orin Nano 8GB Developer Kit"/>
    <n v="4"/>
    <n v="80000"/>
    <n v="320000"/>
    <x v="3"/>
    <n v="0"/>
    <s v="For Project Work "/>
    <s v="yes"/>
    <s v="U.G"/>
    <x v="1"/>
    <x v="3"/>
    <m/>
    <m/>
    <m/>
    <m/>
    <m/>
    <m/>
    <m/>
    <m/>
    <m/>
  </r>
  <r>
    <n v="22"/>
    <s v="Jetson AGX Orin Developer Kit"/>
    <n v="2"/>
    <n v="240000"/>
    <n v="480000"/>
    <x v="3"/>
    <n v="0"/>
    <s v="Required as per GTU syllabus"/>
    <s v="yes"/>
    <s v="U.G"/>
    <x v="1"/>
    <x v="3"/>
    <m/>
    <m/>
    <m/>
    <m/>
    <m/>
    <m/>
    <m/>
    <m/>
    <m/>
  </r>
  <r>
    <n v="23"/>
    <s v="Heating Mental 500ml"/>
    <n v="4"/>
    <n v="1000"/>
    <n v="4000"/>
    <x v="4"/>
    <n v="0"/>
    <s v="UG course (Regular Lab)"/>
    <s v="yes"/>
    <s v="U.G"/>
    <x v="1"/>
    <x v="3"/>
    <m/>
    <m/>
    <m/>
    <m/>
    <m/>
    <m/>
    <m/>
    <m/>
    <m/>
  </r>
  <r>
    <n v="24"/>
    <s v="Heating Mental 2 lit"/>
    <n v="2"/>
    <n v="2000"/>
    <n v="4000"/>
    <x v="4"/>
    <n v="0"/>
    <s v="UG course (Regular Lab)"/>
    <s v="yes"/>
    <s v="U.G"/>
    <x v="1"/>
    <x v="3"/>
    <m/>
    <m/>
    <m/>
    <m/>
    <m/>
    <m/>
    <m/>
    <m/>
    <m/>
  </r>
  <r>
    <n v="25"/>
    <s v="Heating Mental 1lit"/>
    <n v="4"/>
    <n v="1500"/>
    <n v="6000"/>
    <x v="4"/>
    <n v="0"/>
    <s v="UG course (Regular Lab)"/>
    <s v="yes"/>
    <s v="U.G"/>
    <x v="1"/>
    <x v="3"/>
    <m/>
    <m/>
    <m/>
    <m/>
    <m/>
    <m/>
    <m/>
    <m/>
    <m/>
  </r>
  <r>
    <n v="26"/>
    <s v="Bimettalic Thermometer"/>
    <n v="1"/>
    <n v="15000"/>
    <n v="15000"/>
    <x v="4"/>
    <n v="0"/>
    <s v="UG course (Regular Lab)"/>
    <s v="yes"/>
    <s v="U.G"/>
    <x v="1"/>
    <x v="3"/>
    <m/>
    <m/>
    <m/>
    <m/>
    <m/>
    <m/>
    <m/>
    <m/>
    <m/>
  </r>
  <r>
    <n v="27"/>
    <s v="Magnetic stirrer with heating"/>
    <n v="2"/>
    <n v="12000"/>
    <n v="24000"/>
    <x v="4"/>
    <n v="0"/>
    <s v="UG course (Regular Lab)"/>
    <s v="yes"/>
    <s v="U.G"/>
    <x v="1"/>
    <x v="1"/>
    <n v="21776"/>
    <s v="M/s Scinos Research &amp; Synthesis, Ahmedabad"/>
    <s v="DP"/>
    <n v="21200"/>
    <s v="GEM-62387604"/>
    <d v="2025-08-13T00:00:00"/>
    <s v="N.A"/>
    <m/>
    <m/>
  </r>
  <r>
    <n v="28"/>
    <s v="Vacuum filtration apparatus with pump"/>
    <n v="1"/>
    <n v="25000"/>
    <n v="25000"/>
    <x v="4"/>
    <n v="0"/>
    <s v="UG course (Regular Lab)"/>
    <s v="yes"/>
    <s v="U.G"/>
    <x v="1"/>
    <x v="1"/>
    <n v="21900"/>
    <s v="Scinos Research &amp; Synthesis, Ahmedabad"/>
    <s v="DP"/>
    <n v="21890"/>
    <s v="GEM-70993018"/>
    <d v="2026-02-24T00:00:00"/>
    <s v="NA"/>
    <m/>
    <m/>
  </r>
  <r>
    <n v="29"/>
    <s v="Muffle furnace"/>
    <n v="1"/>
    <n v="30000"/>
    <n v="30000"/>
    <x v="4"/>
    <n v="0"/>
    <s v="UG course (Regular Lab)"/>
    <s v="yes"/>
    <s v="U.G"/>
    <x v="1"/>
    <x v="3"/>
    <m/>
    <m/>
    <m/>
    <m/>
    <m/>
    <m/>
    <m/>
    <m/>
    <m/>
  </r>
  <r>
    <n v="30"/>
    <s v="High temperature oil bath (1000 ml capacity)"/>
    <n v="1"/>
    <n v="35000"/>
    <n v="35000"/>
    <x v="4"/>
    <n v="0"/>
    <s v="UG course (Regular Lab)"/>
    <s v="yes"/>
    <s v="U.G"/>
    <x v="1"/>
    <x v="1"/>
    <n v="24900"/>
    <s v="Scinos Research &amp; Synthesis,Ahmedabad"/>
    <s v="DP"/>
    <n v="24601"/>
    <s v="GEM-71499657"/>
    <d v="2026-03-03T00:00:00"/>
    <s v="N.A"/>
    <m/>
    <m/>
  </r>
  <r>
    <n v="31"/>
    <s v="TDS meter"/>
    <n v="3"/>
    <n v="15000"/>
    <n v="45000"/>
    <x v="4"/>
    <n v="0"/>
    <s v="UG course (Regular Lab)"/>
    <s v="yes"/>
    <s v="U.G"/>
    <x v="1"/>
    <x v="3"/>
    <m/>
    <m/>
    <m/>
    <m/>
    <m/>
    <m/>
    <m/>
    <m/>
    <m/>
  </r>
  <r>
    <n v="32"/>
    <s v="Digital pH meter"/>
    <n v="3"/>
    <n v="16000"/>
    <n v="48000"/>
    <x v="4"/>
    <n v="0"/>
    <s v="UG course (Regular Lab)"/>
    <s v="yes"/>
    <s v="U.G"/>
    <x v="1"/>
    <x v="1"/>
    <n v="24314"/>
    <s v="Tej Corporation, Punjab"/>
    <s v="DP"/>
    <n v="24192"/>
    <s v="GEM-71480391"/>
    <d v="2026-03-03T00:00:00"/>
    <s v="N.A"/>
    <m/>
    <m/>
  </r>
  <r>
    <n v="33"/>
    <s v="Conductivity meter"/>
    <n v="3"/>
    <n v="16000"/>
    <n v="48000"/>
    <x v="4"/>
    <n v="0"/>
    <s v="UG course (Regular Lab)"/>
    <s v="yes"/>
    <s v="U.G"/>
    <x v="1"/>
    <x v="3"/>
    <m/>
    <m/>
    <m/>
    <m/>
    <m/>
    <m/>
    <m/>
    <m/>
    <m/>
  </r>
  <r>
    <n v="34"/>
    <s v="High temperature oil bath (500 ml capacity)"/>
    <n v="2"/>
    <n v="30000"/>
    <n v="60000"/>
    <x v="4"/>
    <n v="0"/>
    <s v="UG course (Regular Lab)"/>
    <s v="yes"/>
    <s v="U.G"/>
    <x v="1"/>
    <x v="1"/>
    <n v="24850"/>
    <s v="Scinos Research &amp; Synthesis,Ahmedabad"/>
    <s v="DP"/>
    <n v="24651"/>
    <s v="GEM-71233182"/>
    <d v="2026-02-27T00:00:00"/>
    <s v="N.A"/>
    <m/>
    <m/>
  </r>
  <r>
    <n v="35"/>
    <s v="Syringe Infusion Pump"/>
    <n v="3"/>
    <n v="45000"/>
    <n v="135000"/>
    <x v="4"/>
    <n v="0"/>
    <s v="UG course (Regular Lab)"/>
    <s v="yes"/>
    <s v="U.G"/>
    <x v="1"/>
    <x v="3"/>
    <m/>
    <m/>
    <m/>
    <m/>
    <m/>
    <m/>
    <m/>
    <m/>
    <m/>
  </r>
  <r>
    <n v="36"/>
    <s v="Refractometer"/>
    <n v="1"/>
    <n v="450000"/>
    <n v="450000"/>
    <x v="4"/>
    <n v="0"/>
    <s v="UG course (Analytical Lab)"/>
    <s v="yes"/>
    <s v="U.G"/>
    <x v="1"/>
    <x v="3"/>
    <m/>
    <m/>
    <m/>
    <m/>
    <m/>
    <m/>
    <m/>
    <m/>
    <m/>
  </r>
  <r>
    <n v="37"/>
    <s v="Probe Sonicator"/>
    <n v="1"/>
    <n v="480000"/>
    <n v="480000"/>
    <x v="4"/>
    <n v="0"/>
    <s v="UG course (Research Lab)"/>
    <s v="yes"/>
    <s v="U.G"/>
    <x v="1"/>
    <x v="1"/>
    <n v="121400"/>
    <s v="Ravi Scientific Industries"/>
    <s v="DLPC-5"/>
    <n v="121400"/>
    <s v="GEM-70114791"/>
    <d v="2026-02-10T00:00:00"/>
    <s v="0387NDDG00013426"/>
    <n v="6070"/>
    <m/>
  </r>
  <r>
    <n v="38"/>
    <s v="Digital Infrared Thermometer"/>
    <n v="1"/>
    <n v="1000"/>
    <n v="1000"/>
    <x v="5"/>
    <n v="0"/>
    <s v="required for BE civil students"/>
    <s v="yes"/>
    <s v="U.G"/>
    <x v="1"/>
    <x v="3"/>
    <m/>
    <m/>
    <m/>
    <m/>
    <m/>
    <m/>
    <m/>
    <m/>
    <m/>
  </r>
  <r>
    <n v="39"/>
    <s v="Flakiness  Index Gauge"/>
    <n v="2"/>
    <n v="2000"/>
    <n v="4000"/>
    <x v="5"/>
    <n v="2"/>
    <s v="required for BE civil students"/>
    <s v="yes"/>
    <s v="U.G"/>
    <x v="1"/>
    <x v="3"/>
    <m/>
    <m/>
    <m/>
    <m/>
    <m/>
    <m/>
    <m/>
    <m/>
    <m/>
  </r>
  <r>
    <n v="40"/>
    <s v="Elongation Index Gauge"/>
    <n v="2"/>
    <n v="2000"/>
    <n v="4000"/>
    <x v="5"/>
    <n v="2"/>
    <s v="required for BE civil students"/>
    <s v="yes"/>
    <s v="U.G"/>
    <x v="1"/>
    <x v="3"/>
    <m/>
    <m/>
    <m/>
    <m/>
    <m/>
    <m/>
    <m/>
    <m/>
    <m/>
  </r>
  <r>
    <n v="41"/>
    <s v="Mercury Manometer"/>
    <n v="1"/>
    <n v="10000"/>
    <n v="10000"/>
    <x v="5"/>
    <n v="0"/>
    <s v="required for BE civil students"/>
    <s v="yes"/>
    <s v="U.G"/>
    <x v="1"/>
    <x v="3"/>
    <m/>
    <m/>
    <m/>
    <m/>
    <m/>
    <m/>
    <m/>
    <m/>
    <m/>
  </r>
  <r>
    <n v="42"/>
    <s v="Impact Test for Aggregate"/>
    <n v="1"/>
    <n v="20000"/>
    <n v="20000"/>
    <x v="5"/>
    <n v="1"/>
    <s v="required for BE civil students"/>
    <s v="yes"/>
    <s v="U.G"/>
    <x v="1"/>
    <x v="3"/>
    <m/>
    <m/>
    <m/>
    <m/>
    <m/>
    <m/>
    <m/>
    <m/>
    <m/>
  </r>
  <r>
    <n v="43"/>
    <s v="Muffle furnace"/>
    <n v="1"/>
    <n v="30000"/>
    <n v="30000"/>
    <x v="5"/>
    <n v="0"/>
    <s v="required for BE civil students"/>
    <s v="yes"/>
    <s v="U.G"/>
    <x v="1"/>
    <x v="3"/>
    <m/>
    <m/>
    <m/>
    <m/>
    <m/>
    <m/>
    <m/>
    <m/>
    <m/>
  </r>
  <r>
    <n v="44"/>
    <s v="BOD INCUBATOR"/>
    <n v="1"/>
    <n v="40000"/>
    <n v="40000"/>
    <x v="5"/>
    <n v="1"/>
    <s v="required for BE civil students"/>
    <s v="yes"/>
    <s v="U.G"/>
    <x v="1"/>
    <x v="3"/>
    <m/>
    <m/>
    <m/>
    <m/>
    <m/>
    <m/>
    <m/>
    <m/>
    <m/>
  </r>
  <r>
    <n v="45"/>
    <s v="Venturimeter "/>
    <n v="1"/>
    <n v="60000"/>
    <n v="60000"/>
    <x v="5"/>
    <n v="0"/>
    <s v="required for BE civil students"/>
    <s v="yes"/>
    <s v="U.G"/>
    <x v="1"/>
    <x v="3"/>
    <m/>
    <m/>
    <m/>
    <m/>
    <m/>
    <m/>
    <m/>
    <m/>
    <m/>
  </r>
  <r>
    <n v="46"/>
    <s v="Orifice and Mouthpiece Apparatus "/>
    <n v="1"/>
    <n v="80000"/>
    <n v="80000"/>
    <x v="5"/>
    <n v="0"/>
    <s v="required for BE civil students"/>
    <s v="yes"/>
    <s v="U.G"/>
    <x v="1"/>
    <x v="3"/>
    <m/>
    <m/>
    <m/>
    <m/>
    <m/>
    <m/>
    <m/>
    <m/>
    <m/>
  </r>
  <r>
    <n v="47"/>
    <s v="Bernoulli's Apparatus "/>
    <n v="1"/>
    <n v="100000"/>
    <n v="100000"/>
    <x v="5"/>
    <n v="0"/>
    <s v="required for BE civil students"/>
    <s v="yes"/>
    <s v="U.G"/>
    <x v="1"/>
    <x v="3"/>
    <m/>
    <m/>
    <m/>
    <m/>
    <m/>
    <m/>
    <m/>
    <m/>
    <m/>
  </r>
  <r>
    <n v="48"/>
    <s v="Six gas analyser"/>
    <n v="1"/>
    <n v="250000"/>
    <n v="250000"/>
    <x v="5"/>
    <n v="0"/>
    <s v="required for BE civil students"/>
    <s v="yes"/>
    <s v="U.G"/>
    <x v="1"/>
    <x v="3"/>
    <m/>
    <m/>
    <m/>
    <m/>
    <m/>
    <m/>
    <m/>
    <m/>
    <m/>
  </r>
  <r>
    <n v="49"/>
    <s v="Portable Vacuum cleaner"/>
    <n v="2"/>
    <n v="5000"/>
    <n v="10000"/>
    <x v="6"/>
    <n v="0"/>
    <s v="For cleaning of IT eqipments"/>
    <s v="yes"/>
    <s v="U.G"/>
    <x v="1"/>
    <x v="3"/>
    <m/>
    <m/>
    <m/>
    <m/>
    <m/>
    <m/>
    <m/>
    <m/>
    <m/>
  </r>
  <r>
    <n v="50"/>
    <s v="DSLR Camera"/>
    <n v="1"/>
    <n v="35000"/>
    <n v="35000"/>
    <x v="6"/>
    <n v="0"/>
    <s v="As per GTU syllabus"/>
    <s v="yes"/>
    <s v="U.G"/>
    <x v="1"/>
    <x v="3"/>
    <m/>
    <m/>
    <m/>
    <m/>
    <m/>
    <m/>
    <m/>
    <m/>
    <m/>
  </r>
  <r>
    <n v="51"/>
    <s v="Bldc ceiling Fan with led light and remote control"/>
    <n v="1"/>
    <n v="3000"/>
    <n v="3000"/>
    <x v="7"/>
    <n v="0"/>
    <s v="UG course, Minor course of EV and PG course "/>
    <s v="yes"/>
    <s v="U.G"/>
    <x v="1"/>
    <x v="3"/>
    <m/>
    <m/>
    <s v="Not available on GeM as per requirement"/>
    <m/>
    <m/>
    <m/>
    <m/>
    <m/>
    <m/>
  </r>
  <r>
    <n v="52"/>
    <s v="Bldc pedstal Fan with  remote control"/>
    <n v="1"/>
    <n v="3000"/>
    <n v="3000"/>
    <x v="7"/>
    <n v="0"/>
    <s v="UG course, Minor course of EV and PG course "/>
    <s v="yes"/>
    <s v="U.G"/>
    <x v="1"/>
    <x v="3"/>
    <m/>
    <m/>
    <s v="Not available on GeM as per requirement"/>
    <m/>
    <m/>
    <m/>
    <m/>
    <m/>
    <m/>
  </r>
  <r>
    <n v="54"/>
    <s v="SMD rework station"/>
    <n v="2"/>
    <n v="10000"/>
    <n v="20000"/>
    <x v="7"/>
    <n v="0"/>
    <s v="UG course"/>
    <s v="yes"/>
    <s v="U.G"/>
    <x v="1"/>
    <x v="1"/>
    <n v="16000"/>
    <s v="Champion Interconnects, Mumbai"/>
    <s v="DP"/>
    <n v="16000"/>
    <s v="GEM-64295212"/>
    <d v="2025-09-26T00:00:00"/>
    <s v="N.A"/>
    <m/>
    <m/>
  </r>
  <r>
    <n v="56"/>
    <s v="Digital multimeter"/>
    <n v="8"/>
    <n v="3000"/>
    <n v="24000"/>
    <x v="7"/>
    <n v="8"/>
    <s v="UG course"/>
    <s v="yes"/>
    <s v="U.G"/>
    <x v="1"/>
    <x v="3"/>
    <m/>
    <m/>
    <m/>
    <m/>
    <m/>
    <m/>
    <m/>
    <m/>
    <m/>
  </r>
  <r>
    <n v="57"/>
    <s v="Handicapped electric tricycle"/>
    <n v="1"/>
    <n v="90000"/>
    <n v="90000"/>
    <x v="7"/>
    <n v="0"/>
    <s v="UG course, Minor course of EV and PG course"/>
    <s v="yes"/>
    <s v="U.G"/>
    <x v="1"/>
    <x v="3"/>
    <m/>
    <m/>
    <s v="Item Not Available"/>
    <m/>
    <m/>
    <m/>
    <m/>
    <m/>
    <m/>
  </r>
  <r>
    <n v="58"/>
    <s v="Electric two wheeler"/>
    <n v="1"/>
    <n v="120000"/>
    <n v="120000"/>
    <x v="7"/>
    <n v="0"/>
    <s v="UG course, Minor course of EV and PG course "/>
    <s v="yes"/>
    <s v="U.G"/>
    <x v="1"/>
    <x v="5"/>
    <n v="0"/>
    <m/>
    <s v="Cancelled due to RTO Registration Issue"/>
    <n v="0"/>
    <s v="N.A"/>
    <s v="N.A"/>
    <s v="N.A"/>
    <m/>
    <m/>
  </r>
  <r>
    <n v="59"/>
    <s v="Electrical Insulation mat (1000 mm X 2000 mm)"/>
    <n v="20"/>
    <n v="1200"/>
    <n v="240000"/>
    <x v="7"/>
    <n v="0"/>
    <s v="For student safety purpose working with live terminals in electrical labs."/>
    <s v="yes"/>
    <s v="U.G"/>
    <x v="1"/>
    <x v="1"/>
    <n v="24800"/>
    <s v="V.S Cables, Rajsthan"/>
    <s v="DP"/>
    <n v="24800"/>
    <s v="GEM-62185339"/>
    <d v="2024-08-08T00:00:00"/>
    <s v="N.A"/>
    <m/>
    <m/>
  </r>
  <r>
    <n v="60"/>
    <s v="Infrared Thermal Imaging Camera - handly for pictures"/>
    <n v="1"/>
    <n v="281000"/>
    <n v="281000"/>
    <x v="8"/>
    <n v="0"/>
    <s v="UG course, Minor course of EV and PG course incudes the thermal management system of EV and storage system"/>
    <s v="yes"/>
    <s v="U.G"/>
    <x v="1"/>
    <x v="5"/>
    <n v="0"/>
    <m/>
    <s v="L1 Price 1.5 times estimated price"/>
    <n v="0"/>
    <s v="N.A"/>
    <s v="N.A"/>
    <s v="N.A"/>
    <m/>
    <m/>
  </r>
  <r>
    <n v="61"/>
    <s v="colony counter"/>
    <n v="1"/>
    <n v="11000"/>
    <n v="11000"/>
    <x v="9"/>
    <n v="0"/>
    <s v="UG course, and for research purpose"/>
    <s v="yes"/>
    <s v="U.G"/>
    <x v="1"/>
    <x v="1"/>
    <n v="5754"/>
    <s v="N.K Enterprises"/>
    <s v="DP"/>
    <n v="5754"/>
    <s v="GEM-62986916"/>
    <d v="2025-08-29T00:00:00"/>
    <s v="N.A"/>
    <m/>
    <m/>
  </r>
  <r>
    <n v="62"/>
    <s v="Ceramic Heating Element"/>
    <n v="3"/>
    <n v="5000"/>
    <n v="15000"/>
    <x v="9"/>
    <n v="2"/>
    <s v="UG course, and for research purpose"/>
    <s v="yes"/>
    <s v="U.G"/>
    <x v="1"/>
    <x v="3"/>
    <m/>
    <m/>
    <m/>
    <m/>
    <m/>
    <m/>
    <m/>
    <m/>
    <m/>
  </r>
  <r>
    <n v="63"/>
    <s v="Medical Centrifuge"/>
    <n v="1"/>
    <n v="24000"/>
    <n v="24000"/>
    <x v="9"/>
    <n v="0"/>
    <s v="UG course, and for research purpose"/>
    <s v="yes"/>
    <s v="U.G"/>
    <x v="1"/>
    <x v="1"/>
    <n v="22001"/>
    <s v="Perfect Scientific Works"/>
    <s v="DP"/>
    <n v="21891"/>
    <s v="GEM-63212633"/>
    <d v="2025-09-02T00:00:00"/>
    <s v="N.A"/>
    <m/>
    <m/>
  </r>
  <r>
    <n v="64"/>
    <s v="Water Bath"/>
    <n v="1"/>
    <n v="40000"/>
    <n v="40000"/>
    <x v="9"/>
    <n v="0"/>
    <s v="UG course, and for research purpose"/>
    <s v="yes"/>
    <s v="U.G"/>
    <x v="1"/>
    <x v="1"/>
    <n v="29890"/>
    <s v="Gurukripa Enterprises, Ahmedabad"/>
    <s v="DLPC-3"/>
    <n v="29890"/>
    <s v="GEM-68141826"/>
    <d v="2025-12-28T00:00:00"/>
    <s v="N.A"/>
    <m/>
    <m/>
  </r>
  <r>
    <n v="65"/>
    <s v="Laboratory stirrer"/>
    <n v="2"/>
    <n v="20000"/>
    <n v="40000"/>
    <x v="9"/>
    <n v="0"/>
    <s v="UG course, and for research purpose"/>
    <s v="yes"/>
    <s v="U.G"/>
    <x v="1"/>
    <x v="1"/>
    <n v="38740"/>
    <s v="Gurukripa Enterprises, Ahmedabad"/>
    <s v="DLPC-3"/>
    <n v="38740"/>
    <s v="GEM-68141792"/>
    <d v="2025-12-28T00:00:00"/>
    <s v="Exempted"/>
    <m/>
    <m/>
  </r>
  <r>
    <n v="66"/>
    <s v="Colorimeter"/>
    <n v="1"/>
    <n v="75000"/>
    <n v="75000"/>
    <x v="9"/>
    <n v="0"/>
    <s v="UG course, and for research purpose"/>
    <s v="yes"/>
    <s v="U.G"/>
    <x v="1"/>
    <x v="3"/>
    <m/>
    <m/>
    <m/>
    <m/>
    <m/>
    <m/>
    <m/>
    <m/>
    <m/>
  </r>
  <r>
    <n v="67"/>
    <s v="Magnetic Stirrer"/>
    <n v="6"/>
    <n v="25000"/>
    <n v="150000"/>
    <x v="9"/>
    <n v="2"/>
    <s v="UG course, and for research purpose"/>
    <s v="yes"/>
    <s v="U.G &amp; P.G"/>
    <x v="1"/>
    <x v="1"/>
    <n v="149280"/>
    <s v="Gurukripa Enterprises, Ahmedabad"/>
    <s v="DLPC-3"/>
    <n v="149280"/>
    <s v="GEM-68141721"/>
    <d v="2025-12-28T00:00:00"/>
    <s v="N.A"/>
    <m/>
    <m/>
  </r>
  <r>
    <n v="68"/>
    <s v="Turbidity meter"/>
    <n v="2"/>
    <n v="40000"/>
    <n v="80000"/>
    <x v="9"/>
    <n v="1"/>
    <s v="UG course, and for research purpose"/>
    <s v="yes"/>
    <s v="U.G"/>
    <x v="1"/>
    <x v="1"/>
    <n v="53000"/>
    <s v="Gurukripa Enterprises, Ahmedabad"/>
    <s v="DLPC-3"/>
    <n v="53000"/>
    <s v="GEM-68141762"/>
    <d v="2028-12-28T00:00:00"/>
    <s v="N.A"/>
    <m/>
    <m/>
  </r>
  <r>
    <n v="69"/>
    <s v="Laboratory Incubator"/>
    <n v="1"/>
    <n v="81000"/>
    <n v="81000"/>
    <x v="9"/>
    <n v="0"/>
    <s v="UG course, and for research purpose"/>
    <s v="yes"/>
    <s v="U.G"/>
    <x v="1"/>
    <x v="1"/>
    <n v="58700"/>
    <s v="M/S Hightech Instruments, Chandigarh"/>
    <s v="DLPC-3"/>
    <n v="58700"/>
    <s v="GEM-68435505"/>
    <d v="2026-01-05T00:00:00"/>
    <s v="Pending"/>
    <m/>
    <m/>
  </r>
  <r>
    <n v="70"/>
    <s v="Flame photometer"/>
    <n v="1"/>
    <n v="90000"/>
    <n v="90000"/>
    <x v="9"/>
    <n v="0"/>
    <s v="UG course, and for research purpose"/>
    <s v="yes"/>
    <s v="U.G"/>
    <x v="1"/>
    <x v="1"/>
    <n v="41900"/>
    <s v="Batra Trading Co., Ambala"/>
    <s v="DLPC-3"/>
    <n v="41900"/>
    <s v="GEM-68728576"/>
    <d v="2026-01-12T00:00:00"/>
    <s v="Exempted"/>
    <m/>
    <m/>
  </r>
  <r>
    <n v="71"/>
    <s v="Hand Held Gps"/>
    <n v="1"/>
    <n v="140000"/>
    <n v="140000"/>
    <x v="9"/>
    <n v="0"/>
    <s v="UG course, and for research purpose"/>
    <s v="yes"/>
    <s v="U.G"/>
    <x v="1"/>
    <x v="5"/>
    <n v="0"/>
    <m/>
    <m/>
    <n v="0"/>
    <s v="N.A"/>
    <s v="N.A"/>
    <s v="N.A"/>
    <m/>
    <m/>
  </r>
  <r>
    <n v="72"/>
    <s v="Laminar Air flow"/>
    <n v="1"/>
    <n v="200000"/>
    <n v="200000"/>
    <x v="9"/>
    <n v="0"/>
    <s v="UG course, and for research purpose"/>
    <s v="yes"/>
    <s v="U.G"/>
    <x v="1"/>
    <x v="1"/>
    <n v="98800"/>
    <s v="Creative Lab world, Delhi"/>
    <s v="DLPC-3"/>
    <n v="98800"/>
    <s v="GEM-68518534"/>
    <d v="2026-01-07T00:00:00"/>
    <s v="Pending"/>
    <m/>
    <m/>
  </r>
  <r>
    <n v="73"/>
    <s v="Laboratory Refrigerator"/>
    <n v="1"/>
    <n v="200000"/>
    <n v="200000"/>
    <x v="9"/>
    <n v="0"/>
    <s v="UG course, and for research purpose"/>
    <s v="yes"/>
    <s v="U.G"/>
    <x v="1"/>
    <x v="1"/>
    <n v="165275"/>
    <s v="Advance Biotech Solutions Pvt. Ltd, Delhi"/>
    <s v="DLPC-3"/>
    <n v="165275"/>
    <s v="GEM-68001940"/>
    <d v="2025-12-24T00:00:00"/>
    <s v="Pending"/>
    <m/>
    <m/>
  </r>
  <r>
    <n v="74"/>
    <s v="High Quality Water Purification system "/>
    <n v="1"/>
    <n v="490000"/>
    <n v="490000"/>
    <x v="9"/>
    <n v="0"/>
    <s v="UG course, and for research purpose"/>
    <s v="yes"/>
    <s v="U.G"/>
    <x v="1"/>
    <x v="5"/>
    <n v="0"/>
    <m/>
    <m/>
    <n v="0"/>
    <s v="N.A"/>
    <s v="N.A"/>
    <s v="N.A"/>
    <m/>
    <m/>
  </r>
  <r>
    <n v="75"/>
    <s v="Air Blower"/>
    <n v="2"/>
    <n v="5000"/>
    <n v="10000"/>
    <x v="10"/>
    <n v="0"/>
    <s v="For cleaning of computer and laboratory"/>
    <s v="yes"/>
    <s v="U.G"/>
    <x v="1"/>
    <x v="3"/>
    <m/>
    <m/>
    <m/>
    <m/>
    <m/>
    <m/>
    <m/>
    <m/>
    <m/>
  </r>
  <r>
    <n v="76"/>
    <s v="WATER DISPENSAR"/>
    <n v="2"/>
    <n v="20000"/>
    <n v="40000"/>
    <x v="10"/>
    <n v="0"/>
    <s v="General purpose use"/>
    <s v="yes"/>
    <s v="U.G"/>
    <x v="1"/>
    <x v="3"/>
    <m/>
    <m/>
    <m/>
    <m/>
    <m/>
    <m/>
    <m/>
    <m/>
    <m/>
  </r>
  <r>
    <n v="77"/>
    <s v="Vaccum Cleaner"/>
    <n v="2"/>
    <n v="25000"/>
    <n v="50000"/>
    <x v="10"/>
    <n v="0"/>
    <s v="For cleaning of computer and laboratory"/>
    <s v="yes"/>
    <s v="U.G"/>
    <x v="1"/>
    <x v="3"/>
    <m/>
    <m/>
    <m/>
    <m/>
    <m/>
    <m/>
    <m/>
    <m/>
    <m/>
  </r>
  <r>
    <n v="78"/>
    <s v="IOT Trainer Kit"/>
    <n v="2"/>
    <n v="25000"/>
    <n v="50000"/>
    <x v="10"/>
    <n v="0"/>
    <s v="subject syllabus"/>
    <s v="yes"/>
    <s v="U.G"/>
    <x v="1"/>
    <x v="3"/>
    <m/>
    <m/>
    <m/>
    <m/>
    <m/>
    <m/>
    <m/>
    <m/>
    <m/>
  </r>
  <r>
    <n v="79"/>
    <s v="Reynolds Apparatus"/>
    <n v="1"/>
    <n v="70000"/>
    <n v="70000"/>
    <x v="11"/>
    <n v="1"/>
    <s v="Presently available equipment is not repairable. UG course requirement"/>
    <s v="yes"/>
    <s v="U.G"/>
    <x v="1"/>
    <x v="3"/>
    <m/>
    <m/>
    <m/>
    <m/>
    <m/>
    <m/>
    <m/>
    <m/>
    <m/>
  </r>
  <r>
    <n v="80"/>
    <s v="Impact Of Jet Apparatus,"/>
    <n v="1"/>
    <n v="80000"/>
    <n v="80000"/>
    <x v="11"/>
    <n v="1"/>
    <s v="Presently available equipment is not repairable. UG course requirement"/>
    <s v="yes"/>
    <s v="U.G"/>
    <x v="1"/>
    <x v="1"/>
    <n v="64400"/>
    <s v="Gurukripa Enterprises, Bharuch"/>
    <s v="DLPC-2"/>
    <n v="63756"/>
    <s v="GEM-66293068"/>
    <d v="2025-11-16T00:00:00"/>
    <s v="Pending"/>
    <m/>
    <m/>
  </r>
  <r>
    <n v="81"/>
    <s v="Shell and tube heat exchanger"/>
    <n v="1"/>
    <n v="150000"/>
    <n v="150000"/>
    <x v="11"/>
    <n v="0"/>
    <s v="UG course requirement"/>
    <s v="yes"/>
    <s v="U.G"/>
    <x v="1"/>
    <x v="3"/>
    <m/>
    <m/>
    <m/>
    <m/>
    <m/>
    <m/>
    <m/>
    <m/>
    <m/>
  </r>
  <r>
    <n v="82"/>
    <s v="Sample Mounting press"/>
    <n v="1"/>
    <n v="150000"/>
    <n v="150000"/>
    <x v="11"/>
    <n v="0"/>
    <s v="UG course requirement"/>
    <s v="yes"/>
    <s v="U.G"/>
    <x v="1"/>
    <x v="3"/>
    <m/>
    <m/>
    <m/>
    <m/>
    <m/>
    <m/>
    <m/>
    <m/>
    <m/>
  </r>
  <r>
    <n v="83"/>
    <s v="Abrasive cut-off wheel"/>
    <n v="1"/>
    <n v="300000"/>
    <n v="300000"/>
    <x v="11"/>
    <n v="0"/>
    <s v="UG course requirement"/>
    <s v="yes"/>
    <s v="U.G"/>
    <x v="1"/>
    <x v="3"/>
    <m/>
    <m/>
    <m/>
    <m/>
    <m/>
    <m/>
    <m/>
    <m/>
    <m/>
  </r>
  <r>
    <n v="84"/>
    <s v="Automatic polishing machine"/>
    <n v="1"/>
    <n v="400000"/>
    <n v="400000"/>
    <x v="11"/>
    <n v="0"/>
    <s v="UG course requirement"/>
    <s v="yes"/>
    <s v="U.G"/>
    <x v="1"/>
    <x v="3"/>
    <m/>
    <m/>
    <m/>
    <m/>
    <m/>
    <m/>
    <m/>
    <m/>
    <m/>
  </r>
  <r>
    <n v="85"/>
    <s v="KAPLAN TURBINE TEST RIG"/>
    <n v="1"/>
    <n v="490000"/>
    <n v="490000"/>
    <x v="11"/>
    <n v="1"/>
    <s v="Under writeoff"/>
    <s v="yes"/>
    <s v="U.G"/>
    <x v="1"/>
    <x v="4"/>
    <m/>
    <m/>
    <m/>
    <m/>
    <m/>
    <m/>
    <m/>
    <m/>
    <m/>
  </r>
  <r>
    <n v="86"/>
    <s v="PELTON WHEEL TURBINE TEST RIG"/>
    <n v="1"/>
    <n v="490000"/>
    <n v="490000"/>
    <x v="11"/>
    <n v="1"/>
    <s v="Under writeoff"/>
    <s v="yes"/>
    <s v="U.G"/>
    <x v="1"/>
    <x v="1"/>
    <n v="169000"/>
    <s v="Ether Engineers, Ambala"/>
    <s v="DLPC-5"/>
    <n v="166465"/>
    <s v="GEM-71117366"/>
    <d v="2026-02-25T00:00:00"/>
    <s v="Pending"/>
    <m/>
    <m/>
  </r>
  <r>
    <e v="#REF!"/>
    <s v="Spark tester"/>
    <n v="1"/>
    <n v="10000"/>
    <n v="10000"/>
    <x v="12"/>
    <n v="0"/>
    <s v="Required as per syllabus"/>
    <s v="yes"/>
    <s v="U.G"/>
    <x v="1"/>
    <x v="3"/>
    <m/>
    <m/>
    <m/>
    <m/>
    <m/>
    <m/>
    <m/>
    <m/>
    <m/>
  </r>
  <r>
    <e v="#REF!"/>
    <s v="Ring and Ball Appartus"/>
    <n v="1"/>
    <n v="50000"/>
    <n v="50000"/>
    <x v="12"/>
    <n v="0"/>
    <s v="Required as per syllabus"/>
    <s v="yes"/>
    <s v="U.G"/>
    <x v="1"/>
    <x v="3"/>
    <m/>
    <m/>
    <m/>
    <m/>
    <m/>
    <m/>
    <m/>
    <m/>
    <m/>
  </r>
  <r>
    <e v="#REF!"/>
    <s v="Aniline Point Appratus"/>
    <n v="1"/>
    <n v="55000"/>
    <n v="55000"/>
    <x v="12"/>
    <n v="0"/>
    <s v="Required as per syllabus"/>
    <s v="yes"/>
    <s v="U.G"/>
    <x v="1"/>
    <x v="3"/>
    <m/>
    <m/>
    <m/>
    <m/>
    <m/>
    <m/>
    <m/>
    <m/>
    <m/>
  </r>
  <r>
    <e v="#REF!"/>
    <s v="Reynolds Apparatus"/>
    <n v="1"/>
    <n v="60000"/>
    <m/>
    <x v="12"/>
    <n v="0"/>
    <s v="Required as per syllabus"/>
    <s v="yes"/>
    <s v="U.G"/>
    <x v="1"/>
    <x v="6"/>
    <n v="0"/>
    <s v="Roorkee Equipments"/>
    <s v="Not Approved, L1 Vendor EMD exception not valid-DLPC-1"/>
    <n v="0"/>
    <s v="N.A"/>
    <s v="N.A"/>
    <s v="N.A"/>
    <m/>
    <m/>
  </r>
  <r>
    <e v="#REF!"/>
    <s v="Planetary Mixer"/>
    <n v="1"/>
    <n v="100000"/>
    <n v="100000"/>
    <x v="12"/>
    <n v="0"/>
    <s v="Required as per syllabus"/>
    <s v="yes"/>
    <s v="U.G"/>
    <x v="1"/>
    <x v="3"/>
    <m/>
    <m/>
    <m/>
    <m/>
    <m/>
    <m/>
    <m/>
    <m/>
    <m/>
  </r>
  <r>
    <e v="#REF!"/>
    <s v="LCD display Moisture Analyzer"/>
    <n v="1"/>
    <n v="110000"/>
    <n v="110000"/>
    <x v="12"/>
    <n v="0"/>
    <s v="Required as per syllabus"/>
    <s v="yes"/>
    <s v="U.G"/>
    <x v="1"/>
    <x v="4"/>
    <m/>
    <m/>
    <m/>
    <m/>
    <m/>
    <m/>
    <m/>
    <m/>
    <m/>
  </r>
  <r>
    <e v="#REF!"/>
    <s v="Portable Surface Roughness Tester"/>
    <n v="1"/>
    <n v="125000"/>
    <n v="125000"/>
    <x v="12"/>
    <n v="0"/>
    <s v="Required as per syllabus"/>
    <s v="yes"/>
    <s v="U.G"/>
    <x v="1"/>
    <x v="4"/>
    <m/>
    <m/>
    <m/>
    <m/>
    <m/>
    <m/>
    <m/>
    <m/>
    <m/>
  </r>
  <r>
    <e v="#REF!"/>
    <s v="GSM Cutter"/>
    <n v="1"/>
    <n v="16000"/>
    <n v="16000"/>
    <x v="13"/>
    <n v="0"/>
    <s v="As per GTU syllabus"/>
    <s v="yes"/>
    <s v="U.G"/>
    <x v="1"/>
    <x v="3"/>
    <m/>
    <m/>
    <m/>
    <m/>
    <m/>
    <m/>
    <m/>
    <m/>
    <m/>
  </r>
  <r>
    <e v="#REF!"/>
    <s v="Electronic weighing scale - 600 gram , 0.01 g (10 mg)"/>
    <n v="1"/>
    <n v="21000"/>
    <n v="21000"/>
    <x v="13"/>
    <n v="0"/>
    <s v="As per GTU syllabus"/>
    <s v="yes"/>
    <s v="U.G"/>
    <x v="1"/>
    <x v="3"/>
    <m/>
    <m/>
    <m/>
    <m/>
    <m/>
    <m/>
    <m/>
    <m/>
    <m/>
  </r>
  <r>
    <e v="#REF!"/>
    <s v="Magnetic Stirrer with hot Plate"/>
    <n v="1"/>
    <n v="22500"/>
    <n v="22500"/>
    <x v="13"/>
    <n v="0"/>
    <s v="As per GTU syllabus"/>
    <s v="yes"/>
    <s v="U.G"/>
    <x v="1"/>
    <x v="3"/>
    <m/>
    <m/>
    <m/>
    <m/>
    <m/>
    <m/>
    <m/>
    <m/>
    <m/>
  </r>
  <r>
    <e v="#REF!"/>
    <s v="Digital Moisture Meter"/>
    <n v="1"/>
    <n v="45000"/>
    <n v="45000"/>
    <x v="13"/>
    <n v="0"/>
    <s v="As per GTU syllabus"/>
    <s v="yes"/>
    <s v="U.G"/>
    <x v="1"/>
    <x v="3"/>
    <m/>
    <m/>
    <m/>
    <m/>
    <m/>
    <m/>
    <m/>
    <m/>
    <m/>
  </r>
  <r>
    <e v="#REF!"/>
    <s v="Tearing Strength Tester"/>
    <n v="1"/>
    <n v="88000"/>
    <n v="88000"/>
    <x v="13"/>
    <n v="0"/>
    <s v="As per GTU syllabus"/>
    <s v="yes"/>
    <s v="U.G"/>
    <x v="1"/>
    <x v="3"/>
    <m/>
    <m/>
    <m/>
    <m/>
    <m/>
    <m/>
    <m/>
    <m/>
    <m/>
  </r>
  <r>
    <e v="#REF!"/>
    <s v="Hot Air Oven - Digital"/>
    <n v="1"/>
    <n v="88000"/>
    <n v="88000"/>
    <x v="13"/>
    <n v="0"/>
    <s v="As per GTU syllabus (Old machine not working)"/>
    <s v="yes"/>
    <s v="U.G"/>
    <x v="1"/>
    <x v="3"/>
    <m/>
    <m/>
    <m/>
    <m/>
    <m/>
    <m/>
    <m/>
    <m/>
    <m/>
  </r>
  <r>
    <e v="#REF!"/>
    <s v="Water Heating Bath"/>
    <n v="1"/>
    <n v="125000"/>
    <n v="125000"/>
    <x v="13"/>
    <n v="0"/>
    <s v="As per GTU syllabus"/>
    <s v="yes"/>
    <s v="U.G"/>
    <x v="1"/>
    <x v="3"/>
    <m/>
    <m/>
    <m/>
    <m/>
    <m/>
    <m/>
    <m/>
    <m/>
    <m/>
  </r>
  <r>
    <e v="#REF!"/>
    <s v="Trolley "/>
    <n v="16"/>
    <n v="3000"/>
    <n v="48000"/>
    <x v="14"/>
    <n v="2"/>
    <s v="Required for multiple dept."/>
    <s v="yes"/>
    <s v="U.G"/>
    <x v="1"/>
    <x v="3"/>
    <m/>
    <m/>
    <m/>
    <m/>
    <m/>
    <m/>
    <m/>
    <m/>
    <m/>
  </r>
  <r>
    <e v="#REF!"/>
    <s v="Trolley Mic"/>
    <n v="17"/>
    <n v="3000"/>
    <n v="51000"/>
    <x v="14"/>
    <n v="0"/>
    <s v="Required for multiple dept."/>
    <s v="yes"/>
    <s v="U.G"/>
    <x v="1"/>
    <x v="3"/>
    <m/>
    <m/>
    <m/>
    <m/>
    <m/>
    <m/>
    <m/>
    <m/>
    <m/>
  </r>
  <r>
    <e v="#REF!"/>
    <s v="Bluetooth Mic with Speaker"/>
    <n v="32"/>
    <n v="6000"/>
    <n v="192000"/>
    <x v="14"/>
    <n v="0"/>
    <s v="Required for multiple dept."/>
    <s v="yes"/>
    <s v="U.G"/>
    <x v="1"/>
    <x v="3"/>
    <m/>
    <m/>
    <m/>
    <m/>
    <m/>
    <m/>
    <m/>
    <m/>
    <m/>
  </r>
  <r>
    <e v="#REF!"/>
    <s v="Teaching Assistant Mic"/>
    <n v="92"/>
    <n v="3000"/>
    <n v="276000"/>
    <x v="14"/>
    <n v="0"/>
    <s v="Required for multiple dept."/>
    <s v="yes"/>
    <s v="U.G"/>
    <x v="1"/>
    <x v="3"/>
    <m/>
    <m/>
    <m/>
    <m/>
    <m/>
    <m/>
    <m/>
    <m/>
    <m/>
  </r>
  <r>
    <e v="#REF!"/>
    <s v="Projector Screen"/>
    <n v="27"/>
    <n v="15000"/>
    <n v="405000"/>
    <x v="14"/>
    <n v="18"/>
    <s v="Required for multiple dept."/>
    <s v="yes"/>
    <s v="U.G"/>
    <x v="1"/>
    <x v="3"/>
    <m/>
    <m/>
    <m/>
    <m/>
    <m/>
    <m/>
    <m/>
    <m/>
    <m/>
  </r>
  <r>
    <e v="#REF!"/>
    <s v="Compression testing machine"/>
    <n v="1"/>
    <n v="1500000"/>
    <n v="1500000"/>
    <x v="1"/>
    <n v="0"/>
    <s v="Basic requiremnet at UG and PG level research and testing"/>
    <s v="yes"/>
    <s v="U.G"/>
    <x v="1"/>
    <x v="1"/>
    <n v="1081920"/>
    <s v="EIE Instruments Pvt. Ltd., Ahmedabad"/>
    <s v="DPC"/>
    <n v="1080800"/>
    <s v="GEM-72018586"/>
    <d v="2026-03-12T00:00:00"/>
    <s v="047762"/>
    <n v="32424"/>
    <d v="2026-03-19T00:00:00"/>
  </r>
  <r>
    <e v="#REF!"/>
    <s v="Atomic absorption Spectrophotometer (UV- Visible Double Beam Spectrophotometer)"/>
    <n v="1"/>
    <n v="600000"/>
    <n v="600000"/>
    <x v="5"/>
    <m/>
    <s v="UG course, and for research purpose"/>
    <s v="yes"/>
    <s v="U.G"/>
    <x v="1"/>
    <x v="7"/>
    <n v="596250"/>
    <s v="Labtronik,Ahmedabad"/>
    <s v="DPC"/>
    <n v="0"/>
    <s v="N.A"/>
    <s v="N.A"/>
    <s v="N.A"/>
    <m/>
    <m/>
  </r>
  <r>
    <e v="#REF!"/>
    <s v="TOTAL SATATION"/>
    <n v="2"/>
    <n v="1250000"/>
    <n v="2500000"/>
    <x v="5"/>
    <n v="3"/>
    <s v="UG course, and for research purpose"/>
    <s v="yes"/>
    <s v="U.G"/>
    <x v="1"/>
    <x v="4"/>
    <m/>
    <m/>
    <m/>
    <m/>
    <m/>
    <m/>
    <m/>
    <m/>
    <m/>
  </r>
  <r>
    <e v="#REF!"/>
    <s v="VR/AR Headsets"/>
    <n v="10"/>
    <n v="125000"/>
    <n v="1250000"/>
    <x v="6"/>
    <n v="0"/>
    <s v="As per GTU syllabus"/>
    <s v="yes"/>
    <s v="U.G"/>
    <x v="1"/>
    <x v="3"/>
    <m/>
    <m/>
    <m/>
    <m/>
    <m/>
    <m/>
    <m/>
    <m/>
    <m/>
  </r>
  <r>
    <e v="#REF!"/>
    <s v="PCB prototyping machine"/>
    <n v="1"/>
    <n v="500000"/>
    <n v="500000"/>
    <x v="7"/>
    <n v="0"/>
    <s v="UG course"/>
    <s v="yes"/>
    <s v="U.G"/>
    <x v="1"/>
    <x v="1"/>
    <n v="400000"/>
    <s v="Dinesh Scientific,Haryana"/>
    <s v="DLPC-5"/>
    <n v="398000"/>
    <s v="GEM-71175160"/>
    <d v="2026-02-26T00:00:00"/>
    <s v="Received"/>
    <m/>
    <m/>
  </r>
  <r>
    <e v="#REF!"/>
    <s v="Electrical machine trainer"/>
    <n v="2"/>
    <n v="800000"/>
    <n v="1600000"/>
    <x v="7"/>
    <n v="0"/>
    <s v="UG course"/>
    <s v="yes"/>
    <s v="U.G"/>
    <x v="1"/>
    <x v="1"/>
    <n v="242787"/>
    <s v="Araby Technologies,Pune"/>
    <s v="DLPC-5"/>
    <n v="239144"/>
    <s v="GEM-69563159"/>
    <d v="2026-01-31T00:00:00"/>
    <s v="Pending"/>
    <m/>
    <m/>
  </r>
  <r>
    <e v="#REF!"/>
    <s v="Infrared Thermal imaging Camera with video recording"/>
    <n v="1"/>
    <n v="3900000"/>
    <n v="3900000"/>
    <x v="8"/>
    <n v="0"/>
    <s v="UG course, Minor course of EV and PG course incudes the thermal management system of EV and storage system"/>
    <s v="yes"/>
    <s v="U.G"/>
    <x v="1"/>
    <x v="3"/>
    <m/>
    <m/>
    <m/>
    <m/>
    <m/>
    <m/>
    <m/>
    <m/>
    <m/>
  </r>
  <r>
    <e v="#REF!"/>
    <s v="Water quality analyzer for ions"/>
    <n v="1"/>
    <n v="500000"/>
    <n v="500000"/>
    <x v="9"/>
    <n v="0"/>
    <s v="UG course, and for research purpose"/>
    <s v="yes"/>
    <s v="U.G"/>
    <x v="1"/>
    <x v="5"/>
    <n v="0"/>
    <s v="Labdart Instruments Pvt. Ltd."/>
    <s v="DLPC-5"/>
    <n v="0"/>
    <s v="N.A"/>
    <s v="N.A"/>
    <s v="N.A"/>
    <m/>
    <m/>
  </r>
  <r>
    <e v="#REF!"/>
    <s v="Micro hardness tester"/>
    <n v="1"/>
    <n v="1500000"/>
    <n v="1500000"/>
    <x v="11"/>
    <n v="0"/>
    <s v="UG course requirement"/>
    <s v="yes"/>
    <s v="U.G"/>
    <x v="1"/>
    <x v="3"/>
    <m/>
    <m/>
    <m/>
    <m/>
    <m/>
    <m/>
    <m/>
    <m/>
    <m/>
  </r>
  <r>
    <e v="#REF!"/>
    <s v="Vertical Milling Machine"/>
    <n v="1"/>
    <n v="2000000"/>
    <n v="2000000"/>
    <x v="11"/>
    <n v="0"/>
    <s v="UG course requirement"/>
    <s v="yes"/>
    <s v="U.G"/>
    <x v="1"/>
    <x v="3"/>
    <m/>
    <m/>
    <m/>
    <m/>
    <m/>
    <m/>
    <m/>
    <m/>
    <m/>
  </r>
  <r>
    <e v="#REF!"/>
    <s v="High end Metallurgical Microscope"/>
    <n v="1"/>
    <n v="2500000"/>
    <n v="2500000"/>
    <x v="11"/>
    <n v="0"/>
    <s v="UG course requirement"/>
    <s v="yes"/>
    <s v="U.G"/>
    <x v="1"/>
    <x v="3"/>
    <m/>
    <m/>
    <m/>
    <m/>
    <m/>
    <m/>
    <m/>
    <m/>
    <m/>
  </r>
  <r>
    <s v="95R1"/>
    <s v="Brooke Field Viscometer "/>
    <n v="1"/>
    <n v="400000"/>
    <n v="400000"/>
    <x v="12"/>
    <n v="0"/>
    <s v="Required as per syllabus"/>
    <s v="yes"/>
    <s v="U.G"/>
    <x v="1"/>
    <x v="1"/>
    <n v="168800"/>
    <s v="Ravi Scientific Industries"/>
    <s v="DLPC-5"/>
    <n v="168800"/>
    <s v="GEM-71255476"/>
    <d v="2026-02-27T00:00:00"/>
    <s v="Pending"/>
    <m/>
    <m/>
  </r>
  <r>
    <e v="#VALUE!"/>
    <s v="Socks Knitting Machine"/>
    <n v="1"/>
    <n v="630000"/>
    <n v="630000"/>
    <x v="13"/>
    <n v="0"/>
    <s v="As per GTU syllabus"/>
    <s v="yes"/>
    <s v="U.G"/>
    <x v="1"/>
    <x v="3"/>
    <m/>
    <m/>
    <m/>
    <m/>
    <m/>
    <m/>
    <m/>
    <m/>
    <m/>
  </r>
  <r>
    <e v="#VALUE!"/>
    <s v="Circular Knitting Machine- Sinkerbody"/>
    <n v="1"/>
    <n v="657000"/>
    <n v="657000"/>
    <x v="13"/>
    <n v="0"/>
    <s v="As per GTU syllabus"/>
    <s v="yes"/>
    <s v="U.G"/>
    <x v="1"/>
    <x v="3"/>
    <m/>
    <m/>
    <m/>
    <m/>
    <m/>
    <m/>
    <m/>
    <m/>
    <m/>
  </r>
  <r>
    <e v="#VALUE!"/>
    <s v="Circular Knitting Machine- RIB"/>
    <n v="1"/>
    <n v="682500"/>
    <n v="682500"/>
    <x v="13"/>
    <n v="0"/>
    <s v="As per GTU syllabus"/>
    <s v="yes"/>
    <s v="U.G"/>
    <x v="1"/>
    <x v="3"/>
    <m/>
    <m/>
    <m/>
    <m/>
    <m/>
    <m/>
    <m/>
    <m/>
    <m/>
  </r>
  <r>
    <e v="#VALUE!"/>
    <s v="Circular Knitting Machine- Interlock"/>
    <n v="1"/>
    <n v="709000"/>
    <n v="709000"/>
    <x v="13"/>
    <n v="0"/>
    <s v="As per GTU syllabus"/>
    <s v="yes"/>
    <s v="U.G"/>
    <x v="1"/>
    <x v="3"/>
    <m/>
    <m/>
    <m/>
    <m/>
    <m/>
    <m/>
    <m/>
    <m/>
    <m/>
  </r>
  <r>
    <e v="#VALUE!"/>
    <s v="Computerized Tensile strength Tester for Textile"/>
    <n v="1"/>
    <n v="1000000"/>
    <n v="1000000"/>
    <x v="13"/>
    <n v="0"/>
    <s v="As per GTU syllabus"/>
    <s v="yes"/>
    <s v="U.G"/>
    <x v="1"/>
    <x v="3"/>
    <m/>
    <m/>
    <m/>
    <m/>
    <m/>
    <m/>
    <m/>
    <m/>
    <m/>
  </r>
  <r>
    <e v="#VALUE!"/>
    <s v="Automatic Tensile Strength Tester 500 kg +1000kg(Strio &amp; Grab + Lea + Tear + Tenacity + Seam Slippage + Peal bond Strength + Stretch Recovery)"/>
    <n v="1"/>
    <n v="1138000"/>
    <n v="1138000"/>
    <x v="13"/>
    <n v="0"/>
    <s v="As per GTU syllabus"/>
    <s v="yes"/>
    <s v="U.G"/>
    <x v="1"/>
    <x v="1"/>
    <n v="864480"/>
    <s v="Mag Solvics Pvt. Ltd."/>
    <s v="DLPC-1"/>
    <n v="864480"/>
    <s v="GEM-66891026"/>
    <d v="2025-11-30T00:00:00"/>
    <s v="055163"/>
    <n v="25934"/>
    <s v="MSE"/>
  </r>
  <r>
    <e v="#VALUE!"/>
    <s v="Raschel warp knitting Machine"/>
    <n v="1"/>
    <n v="5000000"/>
    <n v="5000000"/>
    <x v="13"/>
    <n v="0"/>
    <s v="As per GTU syllabus"/>
    <s v="yes"/>
    <s v="U.G"/>
    <x v="1"/>
    <x v="3"/>
    <m/>
    <m/>
    <m/>
    <m/>
    <m/>
    <m/>
    <m/>
    <m/>
    <m/>
  </r>
  <r>
    <e v="#VALUE!"/>
    <s v="Tricot Warp Knitting Machine"/>
    <n v="1"/>
    <n v="5000000"/>
    <n v="5000000"/>
    <x v="13"/>
    <n v="0"/>
    <s v="As per GTU syllabus"/>
    <s v="yes"/>
    <s v="U.G"/>
    <x v="1"/>
    <x v="3"/>
    <m/>
    <m/>
    <m/>
    <m/>
    <m/>
    <m/>
    <m/>
    <m/>
    <m/>
  </r>
  <r>
    <e v="#VALUE!"/>
    <s v="Wall Mount Fan"/>
    <n v="147"/>
    <n v="4000"/>
    <n v="588000"/>
    <x v="14"/>
    <n v="8"/>
    <s v="Required for multiple dept."/>
    <s v="yes"/>
    <s v="U.G"/>
    <x v="1"/>
    <x v="3"/>
    <m/>
    <m/>
    <m/>
    <m/>
    <m/>
    <m/>
    <m/>
    <m/>
    <m/>
  </r>
  <r>
    <e v="#VALUE!"/>
    <s v="PA system"/>
    <n v="17"/>
    <n v="70000"/>
    <n v="1190000"/>
    <x v="14"/>
    <n v="8"/>
    <s v="Required for multiple dept."/>
    <s v="yes"/>
    <s v="U.G"/>
    <x v="1"/>
    <x v="3"/>
    <m/>
    <m/>
    <m/>
    <m/>
    <m/>
    <m/>
    <m/>
    <m/>
    <m/>
  </r>
  <r>
    <e v="#VALUE!"/>
    <s v="Ceiling Fan"/>
    <n v="259"/>
    <n v="5000"/>
    <n v="1295000"/>
    <x v="14"/>
    <n v="167"/>
    <s v="Required for multiple dept."/>
    <s v="yes"/>
    <s v="U.G"/>
    <x v="1"/>
    <x v="3"/>
    <m/>
    <m/>
    <m/>
    <m/>
    <m/>
    <m/>
    <m/>
    <m/>
    <m/>
  </r>
  <r>
    <e v="#VALUE!"/>
    <s v="Water Cooler with RO"/>
    <n v="20"/>
    <n v="150000"/>
    <n v="3000000"/>
    <x v="14"/>
    <n v="9"/>
    <s v="Required for multiple dept."/>
    <s v="yes"/>
    <s v="U.G"/>
    <x v="1"/>
    <x v="3"/>
    <m/>
    <m/>
    <m/>
    <m/>
    <m/>
    <m/>
    <m/>
    <m/>
    <m/>
  </r>
  <r>
    <e v="#VALUE!"/>
    <s v="Smart podium"/>
    <n v="27"/>
    <n v="200000"/>
    <n v="5400000"/>
    <x v="14"/>
    <n v="5"/>
    <s v="Required for multiple dept."/>
    <s v="yes"/>
    <s v="U.G"/>
    <x v="1"/>
    <x v="3"/>
    <m/>
    <m/>
    <m/>
    <m/>
    <m/>
    <m/>
    <m/>
    <m/>
    <m/>
  </r>
  <r>
    <e v="#VALUE!"/>
    <s v="Copier machine"/>
    <n v="23"/>
    <n v="250000"/>
    <n v="5750000"/>
    <x v="14"/>
    <n v="3"/>
    <s v="Required for multiple dept."/>
    <s v="yes"/>
    <s v="U.G"/>
    <x v="1"/>
    <x v="3"/>
    <m/>
    <m/>
    <m/>
    <m/>
    <m/>
    <m/>
    <m/>
    <m/>
    <m/>
  </r>
  <r>
    <e v="#VALUE!"/>
    <s v="Air conditioner for laboratory"/>
    <n v="97"/>
    <n v="70000"/>
    <n v="6790000"/>
    <x v="14"/>
    <n v="15"/>
    <s v="Required for multiple dept."/>
    <s v="yes"/>
    <s v="U.G"/>
    <x v="1"/>
    <x v="3"/>
    <m/>
    <m/>
    <m/>
    <m/>
    <m/>
    <m/>
    <m/>
    <m/>
    <m/>
  </r>
  <r>
    <n v="1"/>
    <s v="Hot Plate (with Stirrer)"/>
    <n v="1"/>
    <n v="15000"/>
    <n v="15000"/>
    <x v="13"/>
    <n v="0"/>
    <s v="As per GTU syllabus"/>
    <s v="yes"/>
    <s v="P.G"/>
    <x v="1"/>
    <x v="3"/>
    <m/>
    <m/>
    <m/>
    <m/>
    <m/>
    <m/>
    <m/>
    <m/>
    <m/>
  </r>
  <r>
    <n v="2"/>
    <s v="Dewar Vessel"/>
    <n v="2"/>
    <n v="25000"/>
    <n v="50000"/>
    <x v="11"/>
    <n v="0"/>
    <s v="Required for ME cryogenics system"/>
    <s v="yes"/>
    <s v="P.G"/>
    <x v="1"/>
    <x v="3"/>
    <m/>
    <m/>
    <m/>
    <m/>
    <m/>
    <m/>
    <m/>
    <m/>
    <m/>
  </r>
  <r>
    <n v="3"/>
    <s v="Peristaltic Pump"/>
    <n v="1"/>
    <n v="100000"/>
    <n v="100000"/>
    <x v="4"/>
    <n v="0"/>
    <s v="PG and Research Work"/>
    <s v="yes"/>
    <s v="P.G"/>
    <x v="1"/>
    <x v="3"/>
    <m/>
    <m/>
    <m/>
    <m/>
    <m/>
    <m/>
    <m/>
    <m/>
    <m/>
  </r>
  <r>
    <n v="4"/>
    <s v="High precision Weighing Balance"/>
    <n v="2"/>
    <n v="50000"/>
    <n v="100000"/>
    <x v="4"/>
    <n v="0"/>
    <s v="PG and Analytical Lab"/>
    <s v="yes"/>
    <s v="P.G"/>
    <x v="1"/>
    <x v="1"/>
    <n v="89000"/>
    <s v="Apple Weighinfra Limited"/>
    <s v="DLPC-7"/>
    <n v="89000"/>
    <s v="GEM-77015609"/>
    <d v="2026-03-12T00:00:00"/>
    <s v="Pending"/>
    <m/>
    <m/>
  </r>
  <r>
    <n v="5"/>
    <s v="PA system"/>
    <n v="2"/>
    <n v="70000"/>
    <n v="140000"/>
    <x v="14"/>
    <n v="2"/>
    <s v="Required for multiple dept."/>
    <s v="yes"/>
    <s v="P.G"/>
    <x v="1"/>
    <x v="3"/>
    <m/>
    <m/>
    <m/>
    <m/>
    <m/>
    <m/>
    <m/>
    <m/>
    <m/>
  </r>
  <r>
    <n v="6"/>
    <s v="Ultra low temperature deep freezer"/>
    <n v="1"/>
    <n v="150000"/>
    <n v="150000"/>
    <x v="4"/>
    <n v="0"/>
    <s v="PG and Research Work"/>
    <s v="yes"/>
    <s v="P.G"/>
    <x v="1"/>
    <x v="3"/>
    <m/>
    <m/>
    <m/>
    <m/>
    <m/>
    <m/>
    <m/>
    <m/>
    <m/>
  </r>
  <r>
    <n v="7"/>
    <s v="Flat bed knitting machine"/>
    <n v="1"/>
    <n v="150000"/>
    <n v="150000"/>
    <x v="13"/>
    <n v="0"/>
    <s v="As per GTU syllabus"/>
    <s v="yes"/>
    <s v="P.G"/>
    <x v="1"/>
    <x v="3"/>
    <m/>
    <m/>
    <m/>
    <m/>
    <m/>
    <m/>
    <m/>
    <m/>
    <m/>
  </r>
  <r>
    <n v="8"/>
    <s v="Projector Screen"/>
    <n v="10"/>
    <n v="15000"/>
    <n v="150000"/>
    <x v="14"/>
    <n v="6"/>
    <s v="Required for multiple dept."/>
    <s v="yes"/>
    <s v="P.G"/>
    <x v="1"/>
    <x v="3"/>
    <m/>
    <m/>
    <m/>
    <m/>
    <m/>
    <m/>
    <m/>
    <m/>
    <m/>
  </r>
  <r>
    <n v="9"/>
    <s v="Peristaltic Pump"/>
    <n v="2"/>
    <n v="125000"/>
    <n v="250000"/>
    <x v="9"/>
    <n v="0"/>
    <s v="PG course, and for research purpose"/>
    <s v="yes"/>
    <s v="P.G"/>
    <x v="1"/>
    <x v="5"/>
    <n v="0"/>
    <m/>
    <s v="Cancelled"/>
    <m/>
    <m/>
    <m/>
    <m/>
    <m/>
    <m/>
  </r>
  <r>
    <n v="10"/>
    <s v="Universal Laboratory Padding Mangle"/>
    <n v="1"/>
    <n v="250000"/>
    <n v="250000"/>
    <x v="13"/>
    <n v="0"/>
    <s v="As per GTU syllabus"/>
    <s v="yes"/>
    <s v="P.G"/>
    <x v="1"/>
    <x v="3"/>
    <m/>
    <m/>
    <m/>
    <m/>
    <m/>
    <m/>
    <m/>
    <m/>
    <m/>
  </r>
  <r>
    <n v="11"/>
    <s v="Rotary Vacuum Evaporator"/>
    <n v="1"/>
    <n v="350000"/>
    <n v="350000"/>
    <x v="4"/>
    <n v="0"/>
    <s v="PG and Research Work"/>
    <s v="yes"/>
    <s v="P.G"/>
    <x v="1"/>
    <x v="3"/>
    <m/>
    <m/>
    <m/>
    <m/>
    <m/>
    <m/>
    <m/>
    <m/>
    <m/>
  </r>
  <r>
    <n v="12"/>
    <s v="Fume Hood"/>
    <n v="1"/>
    <n v="350000"/>
    <n v="350000"/>
    <x v="9"/>
    <n v="0"/>
    <s v="PG course, and for research purpose"/>
    <s v="yes"/>
    <s v="P.G"/>
    <x v="1"/>
    <x v="1"/>
    <n v="305000"/>
    <s v="Narang Scientific Works Pvt. Ltd., New Delhi"/>
    <s v="DLPC-3"/>
    <n v="301950"/>
    <s v="GEM-69832077"/>
    <d v="2026-02-05T00:00:00"/>
    <s v="Exempted"/>
    <m/>
    <m/>
  </r>
  <r>
    <n v="13"/>
    <s v="Smart podium"/>
    <n v="4"/>
    <n v="200000"/>
    <n v="800000"/>
    <x v="14"/>
    <n v="0"/>
    <s v="Required for multiple dept."/>
    <s v="yes"/>
    <s v="P.G"/>
    <x v="1"/>
    <x v="3"/>
    <m/>
    <m/>
    <m/>
    <m/>
    <m/>
    <m/>
    <m/>
    <m/>
    <m/>
  </r>
  <r>
    <n v="14"/>
    <s v="Air conditioner for laboratory"/>
    <n v="14"/>
    <n v="70000"/>
    <n v="980000"/>
    <x v="14"/>
    <n v="2"/>
    <s v="Required for multiple dept."/>
    <s v="yes"/>
    <s v="P.G"/>
    <x v="1"/>
    <x v="3"/>
    <m/>
    <m/>
    <m/>
    <m/>
    <m/>
    <m/>
    <m/>
    <m/>
    <m/>
  </r>
  <r>
    <n v="15"/>
    <s v="Laser Cutting Machine"/>
    <n v="1"/>
    <n v="1000000"/>
    <n v="1000000"/>
    <x v="11"/>
    <n v="0"/>
    <s v="Required for ME CAD/CAM"/>
    <s v="yes"/>
    <s v="P.G"/>
    <x v="1"/>
    <x v="4"/>
    <m/>
    <m/>
    <m/>
    <m/>
    <m/>
    <m/>
    <m/>
    <m/>
    <m/>
  </r>
  <r>
    <n v="16"/>
    <s v="Water Cooler with RO"/>
    <n v="3"/>
    <n v="600000"/>
    <n v="1800000"/>
    <x v="14"/>
    <n v="2"/>
    <s v="Required for multiple dept."/>
    <s v="yes"/>
    <s v="P.G"/>
    <x v="1"/>
    <x v="3"/>
    <m/>
    <m/>
    <m/>
    <m/>
    <m/>
    <m/>
    <m/>
    <m/>
    <m/>
  </r>
  <r>
    <n v="17"/>
    <s v="FTIR Spectroscope"/>
    <n v="1"/>
    <n v="2500000"/>
    <n v="2500000"/>
    <x v="4"/>
    <n v="0"/>
    <s v="PG and Analytical Lab"/>
    <s v="yes"/>
    <s v="P.G"/>
    <x v="1"/>
    <x v="4"/>
    <m/>
    <m/>
    <m/>
    <m/>
    <m/>
    <m/>
    <m/>
    <m/>
    <m/>
  </r>
  <r>
    <n v="18"/>
    <s v="Atomic Absorption Spectrophotometer"/>
    <n v="1"/>
    <n v="2000000"/>
    <n v="2000000"/>
    <x v="4"/>
    <n v="0"/>
    <s v="PG and Analytical Lab"/>
    <s v="yes"/>
    <s v="P.G"/>
    <x v="1"/>
    <x v="3"/>
    <m/>
    <m/>
    <m/>
    <m/>
    <m/>
    <m/>
    <m/>
    <m/>
    <m/>
  </r>
  <r>
    <n v="0"/>
    <s v="Miniature handloom machine"/>
    <n v="1"/>
    <n v="200000"/>
    <n v="200000"/>
    <x v="13"/>
    <n v="0"/>
    <s v="As per GTU syllabus"/>
    <s v="yes"/>
    <s v="Add on "/>
    <x v="1"/>
    <x v="1"/>
    <n v="198500"/>
    <s v="Hindustan weaving looms, Azamgarh"/>
    <s v="DLPC-3"/>
    <n v="198500"/>
    <s v="GEM-69347947"/>
    <d v="2026-01-27T00:00:00"/>
    <n v="711827"/>
    <n v="10000"/>
    <m/>
  </r>
  <r>
    <n v="0"/>
    <s v="Air conditioner for library"/>
    <n v="8"/>
    <n v="65000"/>
    <n v="520000"/>
    <x v="15"/>
    <n v="0"/>
    <s v="in the interest of Student-Gymkhana"/>
    <s v="yes"/>
    <s v="Add on "/>
    <x v="1"/>
    <x v="8"/>
    <m/>
    <m/>
    <s v="Gymkhana"/>
    <m/>
    <m/>
    <m/>
    <m/>
    <m/>
    <m/>
  </r>
  <r>
    <n v="0"/>
    <s v="Air conditioner for laboratory-finalized to Procure"/>
    <n v="67"/>
    <n v="50000"/>
    <n v="3350000"/>
    <x v="16"/>
    <n v="17"/>
    <s v="Required for multiple dept."/>
    <s v="yes"/>
    <s v="Add on "/>
    <x v="1"/>
    <x v="1"/>
    <n v="3068600"/>
    <s v="Vedanta  Equipment Pvt. Ltd."/>
    <s v="DPC"/>
    <n v="3053257"/>
    <s v="GEM-71599823"/>
    <d v="2026-03-06T00:00:00"/>
    <s v="Received"/>
    <m/>
    <m/>
  </r>
  <r>
    <n v="1"/>
    <s v="House keeping for Hostel"/>
    <n v="1"/>
    <n v="5800000"/>
    <n v="5800000"/>
    <x v="17"/>
    <n v="0"/>
    <s v="Services required "/>
    <s v="yes"/>
    <s v="Add on "/>
    <x v="2"/>
    <x v="8"/>
    <n v="4565977"/>
    <s v="Gujarat Services"/>
    <s v="CTE"/>
    <m/>
    <m/>
    <m/>
    <s v="Pending"/>
    <m/>
    <m/>
  </r>
  <r>
    <n v="2"/>
    <s v="House keeping for Institute"/>
    <n v="1"/>
    <n v="9908765"/>
    <n v="9908765"/>
    <x v="18"/>
    <n v="0"/>
    <s v="Services required "/>
    <s v="yes"/>
    <s v="Add on "/>
    <x v="2"/>
    <x v="8"/>
    <n v="9908765"/>
    <s v="Gujarat Services"/>
    <s v="CTE"/>
    <m/>
    <m/>
    <m/>
    <s v="paid"/>
    <m/>
    <m/>
  </r>
  <r>
    <n v="3"/>
    <s v="AMC for Fire System &amp; Fire NOC for Hostel"/>
    <n v="1"/>
    <n v="2500000"/>
    <n v="2500000"/>
    <x v="17"/>
    <n v="0"/>
    <s v="Services required "/>
    <s v="yes"/>
    <s v="Add on "/>
    <x v="2"/>
    <x v="8"/>
    <n v="2345000"/>
    <s v="Gen X technologies"/>
    <s v="DPC-1"/>
    <m/>
    <m/>
    <m/>
    <s v="paid"/>
    <m/>
    <m/>
  </r>
  <r>
    <n v="4"/>
    <s v="AMC for Canteen/Mess services for Hostel"/>
    <n v="1"/>
    <n v="22000000"/>
    <m/>
    <x v="17"/>
    <n v="0"/>
    <s v="Services required "/>
    <s v="yes"/>
    <s v="Add on "/>
    <x v="2"/>
    <x v="5"/>
    <m/>
    <m/>
    <m/>
    <m/>
    <m/>
    <m/>
    <m/>
    <m/>
    <m/>
  </r>
  <r>
    <n v="5"/>
    <s v="Manpower Outsourcing services-30 Persons"/>
    <n v="1"/>
    <n v="7000000"/>
    <m/>
    <x v="18"/>
    <n v="0"/>
    <s v="Services required "/>
    <s v="yes"/>
    <s v="Add on "/>
    <x v="2"/>
    <x v="5"/>
    <m/>
    <m/>
    <m/>
    <m/>
    <m/>
    <m/>
    <m/>
    <m/>
    <m/>
  </r>
  <r>
    <n v="5"/>
    <s v="Manpower Outsourcing services-30 Persons"/>
    <n v="1"/>
    <n v="7000000"/>
    <m/>
    <x v="18"/>
    <n v="0"/>
    <s v="Services required "/>
    <s v="yes"/>
    <s v="Add on "/>
    <x v="2"/>
    <x v="5"/>
    <m/>
    <m/>
    <m/>
    <m/>
    <m/>
    <m/>
    <m/>
    <m/>
    <m/>
  </r>
  <r>
    <n v="5"/>
    <s v="Manpower Outsourcing services-30 Persons"/>
    <n v="1"/>
    <n v="7000000"/>
    <n v="7000000"/>
    <x v="18"/>
    <n v="0"/>
    <s v="Services required "/>
    <s v="yes"/>
    <s v="Add on "/>
    <x v="2"/>
    <x v="7"/>
    <n v="6479737"/>
    <s v="Hindusthan Services"/>
    <s v="CTE"/>
    <m/>
    <m/>
    <m/>
    <s v="Pending"/>
    <m/>
    <m/>
  </r>
  <r>
    <n v="6"/>
    <s v="AMC for RO plant for Hostel"/>
    <n v="1"/>
    <n v="300000"/>
    <n v="300000"/>
    <x v="17"/>
    <n v="0"/>
    <s v="Services required "/>
    <s v="yes"/>
    <s v="Add on "/>
    <x v="2"/>
    <x v="8"/>
    <n v="164880"/>
    <s v="Pure oxidant Tech. Pvt.Ltd."/>
    <s v="DLPC-1"/>
    <m/>
    <m/>
    <m/>
    <s v="Pending"/>
    <m/>
    <m/>
  </r>
  <r>
    <n v="1"/>
    <s v="Multi Output DC Power Supply"/>
    <n v="20"/>
    <n v="25000"/>
    <n v="500000"/>
    <x v="19"/>
    <n v="0"/>
    <s v="For UG and PG Lab"/>
    <s v="yes"/>
    <s v="Add on "/>
    <x v="1"/>
    <x v="1"/>
    <n v="269000"/>
    <s v="Batra trading Co., Haryana"/>
    <s v="DLPC-2"/>
    <n v="269000"/>
    <s v="GEM-67047923"/>
    <d v="2025-12-03T00:00:00"/>
    <s v="Exempted"/>
    <m/>
    <m/>
  </r>
  <r>
    <n v="2"/>
    <s v="Digital Electronics Kits (With Additional Cards)"/>
    <n v="9"/>
    <n v="55550"/>
    <n v="499950"/>
    <x v="19"/>
    <n v="0"/>
    <s v="For UG and PG Lab"/>
    <s v="yes"/>
    <s v="Add on "/>
    <x v="1"/>
    <x v="6"/>
    <n v="0"/>
    <s v="Kitek  Technologies &amp; All tech"/>
    <s v="DLPC-5"/>
    <n v="0"/>
    <s v="N.A"/>
    <s v="N.A"/>
    <s v="N.A"/>
    <m/>
    <m/>
  </r>
  <r>
    <n v="27"/>
    <s v="Shrinkage Measurement Template &amp; Scale Universal"/>
    <n v="1"/>
    <n v="24000"/>
    <n v="24000"/>
    <x v="13"/>
    <n v="0"/>
    <s v="Basic requiremnet at UG and PG level research and testing"/>
    <s v="yes"/>
    <s v="Add on "/>
    <x v="1"/>
    <x v="1"/>
    <n v="24500"/>
    <s v="Mag Solvics Pvt. Ltd."/>
    <s v="DP"/>
    <n v="23760"/>
    <s v="GEM-61978420"/>
    <d v="2025-08-04T00:00:00"/>
    <s v="N.A"/>
    <m/>
    <m/>
  </r>
  <r>
    <n v="25"/>
    <s v="Fabric Stiffness Tester"/>
    <n v="1"/>
    <n v="24700"/>
    <n v="24700"/>
    <x v="13"/>
    <n v="1"/>
    <s v="Basic requiremnet at UG and PG level research and testing"/>
    <s v="yes"/>
    <s v="Add on "/>
    <x v="1"/>
    <x v="1"/>
    <n v="24700"/>
    <s v="Mag Solvics Pvt. Ltd."/>
    <s v="DP"/>
    <n v="23760"/>
    <s v="GEM-61894717"/>
    <d v="2025-08-02T00:00:00"/>
    <s v="N.A"/>
    <m/>
    <m/>
  </r>
  <r>
    <n v="4"/>
    <s v="Sound level meter"/>
    <n v="1"/>
    <n v="535000"/>
    <n v="535000"/>
    <x v="5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012162"/>
    <n v="84300"/>
    <s v="Axis, Common"/>
  </r>
  <r>
    <n v="4"/>
    <s v="Sound level meter"/>
    <n v="1"/>
    <n v="535000"/>
    <n v="535000"/>
    <x v="4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012162"/>
    <n v="84300"/>
    <s v="Axis, Common"/>
  </r>
  <r>
    <n v="4"/>
    <s v="Sound level meter"/>
    <n v="1"/>
    <n v="535000"/>
    <n v="535000"/>
    <x v="9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012162"/>
    <n v="84300"/>
    <s v="Axis, Common"/>
  </r>
  <r>
    <n v="4"/>
    <s v="Sound level meter"/>
    <n v="1"/>
    <n v="535000"/>
    <n v="535000"/>
    <x v="19"/>
    <n v="0"/>
    <s v="For UG and PG Lab"/>
    <s v="yes"/>
    <s v="Add on "/>
    <x v="1"/>
    <x v="1"/>
    <n v="421500"/>
    <s v="Technovision Analytical"/>
    <s v="DPC"/>
    <n v="421500"/>
    <s v="GEM-67085474"/>
    <d v="2025-12-04T00:00:00"/>
    <s v="012162"/>
    <n v="84300"/>
    <s v="Axis, Common"/>
  </r>
  <r>
    <n v="49"/>
    <s v="Tachometer"/>
    <n v="1"/>
    <n v="25000"/>
    <n v="25000"/>
    <x v="13"/>
    <n v="0"/>
    <s v="As per GTU syllabus"/>
    <s v="yes"/>
    <s v="Add on "/>
    <x v="1"/>
    <x v="1"/>
    <n v="9850"/>
    <s v="Verma Enterprises"/>
    <s v="DP"/>
    <n v="9850"/>
    <s v="GEM-62065469"/>
    <d v="2025-08-06T00:00:00"/>
    <s v="N.A"/>
    <m/>
    <m/>
  </r>
  <r>
    <n v="23"/>
    <s v="Beesley's Balance"/>
    <n v="1"/>
    <n v="25000"/>
    <n v="25000"/>
    <x v="13"/>
    <n v="1"/>
    <s v="Basic requiremnet at UG and PG level research and testing"/>
    <s v="yes"/>
    <s v="Add on "/>
    <x v="1"/>
    <x v="1"/>
    <n v="24875"/>
    <s v="Mag Solvics Pvt. Ltd."/>
    <s v="DP"/>
    <n v="24875"/>
    <s v="GEM-61996415"/>
    <d v="2025-08-05T00:00:00"/>
    <s v="N.A"/>
    <m/>
    <m/>
  </r>
  <r>
    <n v="2"/>
    <s v="Inverted Mettalurgical Microscope"/>
    <n v="1"/>
    <n v="1000000"/>
    <n v="1000000"/>
    <x v="11"/>
    <n v="0"/>
    <s v="For U.G Lab"/>
    <s v="yes"/>
    <s v="Add on "/>
    <x v="1"/>
    <x v="4"/>
    <m/>
    <m/>
    <m/>
    <m/>
    <m/>
    <m/>
    <m/>
    <m/>
    <m/>
  </r>
  <r>
    <n v="1"/>
    <s v="Electronics Workbench"/>
    <n v="10"/>
    <n v="350000"/>
    <n v="3500000"/>
    <x v="20"/>
    <n v="0"/>
    <s v="For U.G / P.G Lab"/>
    <s v="yes"/>
    <s v="Add on "/>
    <x v="1"/>
    <x v="2"/>
    <n v="2097000"/>
    <s v="Premier Enterprise"/>
    <s v="DPC"/>
    <n v="0"/>
    <s v="N.A"/>
    <s v="N.A"/>
    <s v="Received"/>
    <m/>
    <m/>
  </r>
  <r>
    <n v="1"/>
    <s v="Electronics Workbench"/>
    <n v="10"/>
    <n v="350000"/>
    <n v="3500000"/>
    <x v="19"/>
    <n v="0"/>
    <s v="For U.G / P.G Lab"/>
    <s v="yes"/>
    <s v="Add on "/>
    <x v="1"/>
    <x v="2"/>
    <n v="2097000"/>
    <s v="Premier Enterprise"/>
    <s v="DPC"/>
    <n v="0"/>
    <s v="N.A"/>
    <s v="N.A"/>
    <s v="Received"/>
    <m/>
    <m/>
  </r>
  <r>
    <n v="1"/>
    <s v="Electronics Workbench"/>
    <n v="5"/>
    <n v="350000"/>
    <n v="1750000"/>
    <x v="3"/>
    <n v="0"/>
    <s v="For U.G / P.G Lab"/>
    <s v="yes"/>
    <s v="Add on "/>
    <x v="1"/>
    <x v="2"/>
    <n v="1048500"/>
    <s v="Premier Enterprise"/>
    <s v="DPC"/>
    <n v="0"/>
    <s v="N.A"/>
    <s v="N.A"/>
    <s v="Received"/>
    <m/>
    <m/>
  </r>
  <r>
    <n v="1"/>
    <s v="Kinetics of Dissolution of Benzoic Acid"/>
    <n v="1"/>
    <n v="140000"/>
    <n v="140000"/>
    <x v="4"/>
    <n v="0"/>
    <s v="UG course"/>
    <s v="BOQ"/>
    <s v="Add on "/>
    <x v="1"/>
    <x v="1"/>
    <n v="78842"/>
    <s v="Technology Exchange Services Pvt. Ltd."/>
    <s v="DLPC-2"/>
    <n v="78842"/>
    <s v="GEM-67861931"/>
    <d v="2025-12-22T00:00:00"/>
    <s v="N.A"/>
    <n v="3942.1"/>
    <m/>
  </r>
  <r>
    <n v="2"/>
    <s v="Cascade Continuously Stirred Tank Reactor (Compressed Air  Feed System) "/>
    <n v="1"/>
    <n v="250000"/>
    <n v="250000"/>
    <x v="4"/>
    <n v="0"/>
    <s v="UG course"/>
    <s v="BOQ"/>
    <s v="Add on "/>
    <x v="1"/>
    <x v="1"/>
    <n v="146706"/>
    <s v="Technology Exchange Services Pvt. Ltd."/>
    <s v="DLPC-2"/>
    <n v="146706"/>
    <s v="GEM-67554640"/>
    <d v="2025-12-22T00:00:00"/>
    <s v="N.A"/>
    <n v="7335.3"/>
    <m/>
  </r>
  <r>
    <n v="3"/>
    <s v="Fluidized bed reactor"/>
    <n v="1"/>
    <n v="300000"/>
    <n v="300000"/>
    <x v="4"/>
    <n v="0"/>
    <s v="UG course"/>
    <s v="BOQ"/>
    <s v="Add on "/>
    <x v="1"/>
    <x v="1"/>
    <n v="119760"/>
    <s v="Technology Exchange Services Pvt. Ltd."/>
    <s v="DLPC-2"/>
    <n v="119760"/>
    <s v="GEM-67862239"/>
    <d v="2025-12-22T00:00:00"/>
    <s v="N.A"/>
    <n v="5988"/>
    <m/>
  </r>
  <r>
    <n v="4"/>
    <s v="Combined Flow Reactor (Peristaltic Pump Feed System)"/>
    <n v="1"/>
    <n v="310000"/>
    <n v="310000"/>
    <x v="4"/>
    <n v="0"/>
    <s v="UG course"/>
    <s v="BOQ"/>
    <s v="Add on "/>
    <x v="1"/>
    <x v="1"/>
    <n v="117754"/>
    <s v="Technology Exchange Services Pvt. Ltd."/>
    <s v="DLPC-2"/>
    <n v="117754"/>
    <s v="GEM-67863170"/>
    <d v="2025-12-22T00:00:00"/>
    <s v="N.A"/>
    <n v="5887.7"/>
    <m/>
  </r>
  <r>
    <n v="5"/>
    <s v="Control Valve Characteristic"/>
    <n v="1"/>
    <n v="320000"/>
    <n v="320000"/>
    <x v="4"/>
    <n v="0"/>
    <s v="UG course"/>
    <s v="BOQ"/>
    <s v="Add on "/>
    <x v="1"/>
    <x v="1"/>
    <n v="187600"/>
    <s v="Technology Exchange Services Pvt. Ltd."/>
    <s v="DLPC-2"/>
    <n v="187600"/>
    <s v="GEM-68578543"/>
    <d v="2026-01-08T00:00:00"/>
    <s v="N.A"/>
    <n v="9380"/>
    <m/>
  </r>
  <r>
    <n v="6"/>
    <s v="Computerised Pressure Control Trainer"/>
    <n v="1"/>
    <n v="360000"/>
    <n v="360000"/>
    <x v="4"/>
    <n v="0"/>
    <s v="UG course"/>
    <s v="BOQ"/>
    <s v="Add on "/>
    <x v="1"/>
    <x v="1"/>
    <n v="235528"/>
    <s v="Technology Exchange Services Pvt. Ltd."/>
    <s v="DLPC-2"/>
    <n v="235528"/>
    <s v="GEM-67862674"/>
    <d v="2025-12-22T00:00:00"/>
    <s v="N.A"/>
    <n v="11776.4"/>
    <m/>
  </r>
  <r>
    <n v="7"/>
    <s v="Computerized Distillation Control Trainer"/>
    <n v="1"/>
    <n v="1750000"/>
    <n v="1750000"/>
    <x v="4"/>
    <n v="0"/>
    <s v="UG course"/>
    <s v="BOQ"/>
    <s v="Add on "/>
    <x v="1"/>
    <x v="1"/>
    <n v="576000"/>
    <s v="Technology Exchange Services Pvt. Ltd."/>
    <s v="DLPC-2"/>
    <n v="576000"/>
    <s v="GEM-68579108"/>
    <d v="2026-01-08T00:00:00"/>
    <n v="500483"/>
    <n v="17280"/>
    <m/>
  </r>
  <r>
    <n v="8"/>
    <s v="Computerized Reaction Control Trainer"/>
    <n v="1"/>
    <n v="1000000"/>
    <n v="1000000"/>
    <x v="4"/>
    <n v="0"/>
    <s v="UG course"/>
    <s v="BOQ"/>
    <s v="Add on "/>
    <x v="1"/>
    <x v="1"/>
    <n v="499000"/>
    <s v="Technology Exchange Services Pvt. Ltd."/>
    <s v="DLPC-2"/>
    <n v="499000"/>
    <s v="GEM-68577284"/>
    <d v="2026-01-08T00:00:00"/>
    <s v="Exempted"/>
    <m/>
    <m/>
  </r>
  <r>
    <n v="9"/>
    <s v="Packed bed recycle reactor with Peristatic Pump"/>
    <n v="1"/>
    <n v="500000"/>
    <n v="500000"/>
    <x v="4"/>
    <n v="0"/>
    <s v="UG course"/>
    <s v="BOQ"/>
    <s v="Add on "/>
    <x v="1"/>
    <x v="1"/>
    <n v="180000"/>
    <s v="Technology Exchange Services Pvt. Ltd."/>
    <s v="DLPC-2"/>
    <n v="180000"/>
    <s v="GEM-67863519"/>
    <d v="2025-12-22T00:00:00"/>
    <s v="N.A"/>
    <n v="9000"/>
    <m/>
  </r>
  <r>
    <n v="10"/>
    <s v="Controlled Atmospheric Furnace"/>
    <n v="1"/>
    <n v="1070000"/>
    <n v="1070000"/>
    <x v="4"/>
    <n v="0"/>
    <s v="PG and Research Work"/>
    <s v="BOQ"/>
    <s v="Add on "/>
    <x v="1"/>
    <x v="1"/>
    <n v="879000"/>
    <s v="Ether Engineers"/>
    <s v="DLPC-2"/>
    <n v="848235"/>
    <s v="GEM-70962590"/>
    <d v="2026-02-23T00:00:00"/>
    <s v="003522"/>
    <n v="26370"/>
    <s v="HDFC Bank"/>
  </r>
  <r>
    <n v="1"/>
    <s v="Biomedical Sensor Interface Trainer Kit"/>
    <n v="3"/>
    <n v="20000"/>
    <n v="60000"/>
    <x v="3"/>
    <n v="0"/>
    <s v="Required as per GTU syllabus"/>
    <s v="yes"/>
    <s v="Add on "/>
    <x v="1"/>
    <x v="3"/>
    <m/>
    <m/>
    <m/>
    <m/>
    <m/>
    <m/>
    <m/>
    <m/>
    <m/>
  </r>
  <r>
    <n v="4"/>
    <s v="Orange Pi 5 Plus 32GB Development Kit"/>
    <n v="3"/>
    <n v="80000"/>
    <n v="240000"/>
    <x v="3"/>
    <n v="0"/>
    <s v="Required as per GTU syllabus"/>
    <s v="yes"/>
    <s v="Add on "/>
    <x v="1"/>
    <x v="3"/>
    <m/>
    <m/>
    <m/>
    <m/>
    <m/>
    <m/>
    <m/>
    <m/>
    <m/>
  </r>
  <r>
    <n v="5"/>
    <s v="NVIDIA Jetson Orin Nano 8GB Developer Kit"/>
    <n v="4"/>
    <n v="80000"/>
    <n v="320000"/>
    <x v="3"/>
    <n v="0"/>
    <s v="For Project Work "/>
    <s v="yes"/>
    <s v="Add on "/>
    <x v="1"/>
    <x v="3"/>
    <m/>
    <m/>
    <m/>
    <m/>
    <m/>
    <m/>
    <m/>
    <m/>
    <m/>
  </r>
  <r>
    <n v="6"/>
    <s v="Jetson AGX Orin Developer Kit"/>
    <n v="2"/>
    <n v="240000"/>
    <n v="480000"/>
    <x v="3"/>
    <n v="0"/>
    <s v="Required as per GTU syllabus"/>
    <s v="yes"/>
    <s v="Add on "/>
    <x v="1"/>
    <x v="3"/>
    <m/>
    <m/>
    <m/>
    <m/>
    <m/>
    <m/>
    <m/>
    <m/>
    <m/>
  </r>
  <r>
    <n v="7"/>
    <s v="Dignostic Instrumentation Educational Kits"/>
    <n v="2"/>
    <n v="230000"/>
    <n v="460000"/>
    <x v="3"/>
    <n v="0"/>
    <s v="Required as per GTU syllabus"/>
    <s v="yes"/>
    <s v="Add on "/>
    <x v="1"/>
    <x v="1"/>
    <n v="394000"/>
    <s v="Monarch Sales, Vadodara"/>
    <s v="DLPC-3"/>
    <n v="384150"/>
    <s v="GEM-69828029"/>
    <d v="2026-02-05T00:00:00"/>
    <s v="0554826IPG000063"/>
    <n v="19700"/>
    <s v="Indian Bank"/>
  </r>
  <r>
    <n v="8"/>
    <s v="Body Composition Analyzer"/>
    <n v="1"/>
    <n v="490000"/>
    <n v="490000"/>
    <x v="3"/>
    <n v="0"/>
    <s v="Required as per GTU syllabus"/>
    <s v="yes"/>
    <s v="Add on "/>
    <x v="1"/>
    <x v="3"/>
    <m/>
    <m/>
    <m/>
    <m/>
    <m/>
    <m/>
    <m/>
    <m/>
    <m/>
  </r>
  <r>
    <n v="9"/>
    <s v="Laser and fiber optics Trainer Kit"/>
    <n v="1"/>
    <n v="490000"/>
    <n v="490000"/>
    <x v="3"/>
    <n v="0"/>
    <s v="Required as per GTU syllabus"/>
    <s v="yes"/>
    <s v="Add on "/>
    <x v="1"/>
    <x v="1"/>
    <n v="484030"/>
    <s v="Mechmatics Engineering Pvt. Ltd, Ahmedabad"/>
    <s v="DLPC-3"/>
    <n v="471929"/>
    <s v="GEM-69863946"/>
    <d v="2026-02-06T00:00:00"/>
    <n v="245175"/>
    <n v="24202"/>
    <s v="Indus bank"/>
  </r>
  <r>
    <n v="10"/>
    <s v="Blood Pressure Monitor with ECG Measurement System"/>
    <n v="1"/>
    <n v="20000"/>
    <n v="20000"/>
    <x v="3"/>
    <n v="0"/>
    <s v="Required as per GTU syllabus"/>
    <s v="yes"/>
    <s v="Add on "/>
    <x v="1"/>
    <x v="3"/>
    <m/>
    <m/>
    <m/>
    <m/>
    <m/>
    <m/>
    <m/>
    <m/>
    <m/>
  </r>
  <r>
    <n v="11"/>
    <s v="3D Printer "/>
    <n v="1"/>
    <n v="120000"/>
    <n v="120000"/>
    <x v="3"/>
    <n v="0"/>
    <s v="Required as per GTU syllabus"/>
    <s v="yes"/>
    <s v="Add on "/>
    <x v="1"/>
    <x v="1"/>
    <n v="79920"/>
    <s v="Wol 3D India Limited, Mumbai"/>
    <s v="DLPC-3"/>
    <n v="79920"/>
    <s v="GEM-67878931"/>
    <d v="2025-12-22T00:00:00"/>
    <s v="Pending"/>
    <m/>
    <m/>
  </r>
  <r>
    <s v="95R"/>
    <s v="UV visible Spectrophotometer"/>
    <n v="1"/>
    <n v="500000"/>
    <n v="500000"/>
    <x v="12"/>
    <n v="0"/>
    <s v="Required as per  syllabus"/>
    <s v="yes"/>
    <s v="Add on "/>
    <x v="1"/>
    <x v="1"/>
    <n v="189000"/>
    <s v="Gurukripa Enterprises, Bharuch"/>
    <s v="DLPC-2"/>
    <n v="189000"/>
    <s v="GEM-66463745"/>
    <d v="2025-11-20T00:00:00"/>
    <s v="Exempted"/>
    <m/>
    <m/>
  </r>
  <r>
    <n v="31"/>
    <s v="ICI Pilling Tester - 2 Boxes"/>
    <n v="1"/>
    <n v="111000"/>
    <n v="111000"/>
    <x v="13"/>
    <n v="0"/>
    <s v="Basic requiremnet at UG and PG level research and testing"/>
    <s v="yes"/>
    <s v="Add on "/>
    <x v="1"/>
    <x v="1"/>
    <n v="94636"/>
    <s v="Mag Solvics Pvt. Ltd."/>
    <s v="DLPC-1"/>
    <n v="94636"/>
    <s v="GEM-64551268"/>
    <d v="2025-10-03T00:00:00"/>
    <s v="Exempted"/>
    <m/>
    <m/>
  </r>
  <r>
    <n v="51"/>
    <s v="Pallet truck( 3 tonn)"/>
    <n v="1"/>
    <n v="25000"/>
    <n v="25000"/>
    <x v="13"/>
    <m/>
    <m/>
    <m/>
    <s v="Add on "/>
    <x v="1"/>
    <x v="1"/>
    <n v="15000"/>
    <s v="Stacker &amp; Movers (I) Pvt. Ltd."/>
    <s v="DP"/>
    <n v="15000"/>
    <s v="GEM-63600506"/>
    <d v="2025-09-11T00:00:00"/>
    <s v="N.A"/>
    <m/>
    <m/>
  </r>
  <r>
    <n v="1"/>
    <s v="Ultrasonic Distance Meter"/>
    <n v="5"/>
    <n v="3500"/>
    <n v="17500"/>
    <x v="21"/>
    <n v="0"/>
    <s v="For U.G Lab"/>
    <s v="yes"/>
    <s v="Add on "/>
    <x v="1"/>
    <x v="4"/>
    <m/>
    <m/>
    <m/>
    <m/>
    <m/>
    <m/>
    <m/>
    <m/>
    <m/>
  </r>
  <r>
    <n v="2"/>
    <s v="Newton's ring experiments set up (Full Assembly )"/>
    <n v="2"/>
    <n v="130000"/>
    <n v="260000"/>
    <x v="21"/>
    <n v="0"/>
    <s v="For U.G Lab"/>
    <s v="yes"/>
    <s v="Add on "/>
    <x v="1"/>
    <x v="1"/>
    <n v="231766"/>
    <s v="Prajakta Enterprise"/>
    <s v="DLPC-5"/>
    <n v="231766"/>
    <s v="GEM-72766631"/>
    <d v="2026-03-20T00:00:00"/>
    <m/>
    <m/>
    <m/>
  </r>
  <r>
    <n v="3"/>
    <s v="Michelson Interferometer Standard Model"/>
    <n v="3"/>
    <n v="196500"/>
    <n v="589500"/>
    <x v="21"/>
    <n v="0"/>
    <s v="For U.G Lab"/>
    <s v="yes"/>
    <s v="Add on "/>
    <x v="1"/>
    <x v="1"/>
    <n v="474414"/>
    <s v="Prajakta Enterprise"/>
    <s v="DLPC-5"/>
    <n v="474414"/>
    <s v="GEM-72766917"/>
    <d v="2026-03-20T00:00:00"/>
    <m/>
    <m/>
    <m/>
  </r>
  <r>
    <n v="4"/>
    <s v="Kundt's Tube Apparatus"/>
    <n v="3"/>
    <n v="100000"/>
    <n v="300000"/>
    <x v="21"/>
    <n v="0"/>
    <s v="For U.G Lab"/>
    <s v="yes"/>
    <s v="Add on "/>
    <x v="1"/>
    <x v="1"/>
    <n v="296403"/>
    <s v="Prajakta Enterprise"/>
    <s v="DLPC-5"/>
    <n v="296403"/>
    <s v="GEM-72767434"/>
    <d v="2026-03-20T00:00:00"/>
    <m/>
    <m/>
    <m/>
  </r>
  <r>
    <n v="5"/>
    <s v="Torsional Pendulum"/>
    <n v="3"/>
    <n v="9000"/>
    <n v="27000"/>
    <x v="21"/>
    <n v="0"/>
    <s v="For U.G Lab"/>
    <s v="yes"/>
    <s v="Add on "/>
    <x v="1"/>
    <x v="1"/>
    <n v="26214"/>
    <s v="Wintronix, Ahmedabad"/>
    <s v="DLPC-5"/>
    <n v="26214"/>
    <s v="GEM-72039293"/>
    <d v="2026-03-12T00:00:00"/>
    <s v="004634"/>
    <n v="1311"/>
    <s v="HDFC Bank"/>
  </r>
  <r>
    <n v="6"/>
    <s v="Yong's modulus apparatus to study uniform- nonuniform bending, depression, elevation of beam "/>
    <n v="2"/>
    <n v="175000"/>
    <n v="350000"/>
    <x v="21"/>
    <n v="0"/>
    <s v="For U.G Lab"/>
    <s v="yes"/>
    <s v="Add on "/>
    <x v="1"/>
    <x v="1"/>
    <n v="274912"/>
    <s v="Prajakta Enterprise"/>
    <s v="DLPC-5"/>
    <n v="274912"/>
    <s v="GEM-72767941"/>
    <d v="2026-03-20T00:00:00"/>
    <m/>
    <m/>
    <m/>
  </r>
  <r>
    <n v="7"/>
    <s v="Diode LASER (Red and Green Diode LASER) assembly"/>
    <n v="5"/>
    <n v="17500"/>
    <n v="87500"/>
    <x v="21"/>
    <n v="0"/>
    <s v="For U.G Lab"/>
    <s v="yes"/>
    <s v="Add on "/>
    <x v="1"/>
    <x v="1"/>
    <n v="84010"/>
    <s v="Wintronix, Ahmedabad"/>
    <s v="DLPC-5"/>
    <n v="84010"/>
    <s v="GEM-71010239"/>
    <d v="2026-02-24T00:00:00"/>
    <s v="Received"/>
    <m/>
    <m/>
  </r>
  <r>
    <n v="8"/>
    <s v="Uniform and non uniform bending of beam"/>
    <n v="4"/>
    <n v="10000"/>
    <n v="40000"/>
    <x v="21"/>
    <n v="0"/>
    <s v="For U.G Lab"/>
    <s v="yes"/>
    <s v="Add on "/>
    <x v="1"/>
    <x v="1"/>
    <n v="37328"/>
    <s v="Wintronix, Ahmedabad"/>
    <s v="DLPC-5"/>
    <n v="37328"/>
    <s v="GEM-72039293"/>
    <d v="2026-03-12T00:00:00"/>
    <s v="004635"/>
    <n v="1866"/>
    <s v="HDFC Bank"/>
  </r>
  <r>
    <n v="9"/>
    <s v="Superonductivity Experiement kit"/>
    <n v="1"/>
    <n v="350000"/>
    <n v="350000"/>
    <x v="21"/>
    <n v="0"/>
    <s v="For U.G Lab"/>
    <s v="yes"/>
    <s v="Add on "/>
    <x v="1"/>
    <x v="1"/>
    <n v="339470"/>
    <s v="Wintronix, Ahmedabad"/>
    <s v="DLPC-5"/>
    <n v="339470"/>
    <s v="GEM-72206694"/>
    <d v="2026-03-14T00:00:00"/>
    <m/>
    <m/>
    <m/>
  </r>
  <r>
    <n v="10"/>
    <s v="Measuring Scale Wooden-100 cm"/>
    <n v="10"/>
    <n v="100"/>
    <n v="1000"/>
    <x v="21"/>
    <n v="0"/>
    <s v="For U.G Lab"/>
    <s v="yes"/>
    <s v="Add on "/>
    <x v="1"/>
    <x v="1"/>
    <n v="1000"/>
    <s v="The Central Scientific Sup. Co."/>
    <s v="DP"/>
    <n v="990"/>
    <s v="GEM-62128470"/>
    <d v="2025-08-07T00:00:00"/>
    <s v="N.A"/>
    <m/>
    <m/>
  </r>
  <r>
    <n v="11"/>
    <s v="Laser Distance Meter"/>
    <n v="5"/>
    <n v="4445"/>
    <n v="22225"/>
    <x v="21"/>
    <n v="0"/>
    <s v="For U.G Lab"/>
    <s v="yes"/>
    <s v="Add on "/>
    <x v="1"/>
    <x v="9"/>
    <n v="22224"/>
    <s v="Goyal Engg. &amp; Electrical, Rajsthan"/>
    <s v="DP"/>
    <n v="0"/>
    <s v="N.A"/>
    <s v="N.A"/>
    <s v="N.A"/>
    <m/>
    <m/>
  </r>
  <r>
    <n v="12"/>
    <s v="Determination of Energy Band gap in Semi conductor Diode"/>
    <n v="5"/>
    <n v="45000"/>
    <n v="225000"/>
    <x v="21"/>
    <n v="0"/>
    <s v="For U.G Lab"/>
    <s v="yes"/>
    <s v="Add on "/>
    <x v="1"/>
    <x v="9"/>
    <n v="190000"/>
    <s v="NVIS Technologies Pvt. Ltd."/>
    <s v="DLPC-5"/>
    <n v="0"/>
    <s v="N.A"/>
    <s v="N.A"/>
    <s v="Pending"/>
    <m/>
    <m/>
  </r>
  <r>
    <n v="13"/>
    <s v="Apparatus for Hook's Law verification"/>
    <n v="5"/>
    <n v="3500"/>
    <n v="17500"/>
    <x v="21"/>
    <n v="0"/>
    <s v="For U.G Lab"/>
    <s v="yes"/>
    <s v="Add on "/>
    <x v="1"/>
    <x v="1"/>
    <n v="17230"/>
    <s v="Wintronix, Ahmedabad"/>
    <s v="DLPC-5"/>
    <n v="17230"/>
    <s v="GEM-71009969"/>
    <d v="2026-02-24T00:00:00"/>
    <s v="004617"/>
    <n v="862"/>
    <s v="HDFC Bank"/>
  </r>
  <r>
    <n v="14"/>
    <s v="Cantilever depression"/>
    <n v="3"/>
    <n v="8500"/>
    <n v="25500"/>
    <x v="21"/>
    <n v="0"/>
    <s v="For U.G Lab"/>
    <s v="yes"/>
    <s v="Add on "/>
    <x v="1"/>
    <x v="1"/>
    <n v="23973"/>
    <s v="Wintronix, Ahmedabad"/>
    <s v="DLPC-5"/>
    <n v="23973"/>
    <s v="GEM-72040367"/>
    <d v="2026-03-12T00:00:00"/>
    <s v="004636"/>
    <n v="1199"/>
    <s v="HDFC Bank"/>
  </r>
  <r>
    <n v="15"/>
    <s v="Spectrometer -Goniometer "/>
    <n v="2"/>
    <n v="155000"/>
    <n v="310000"/>
    <x v="21"/>
    <n v="0"/>
    <s v="For U.G Lab"/>
    <s v="yes"/>
    <s v="Add on "/>
    <x v="1"/>
    <x v="1"/>
    <n v="266992"/>
    <s v="Prajakta Enterprise"/>
    <s v="DLPC-5"/>
    <n v="266992"/>
    <s v="GEM-72766407"/>
    <d v="2026-03-20T00:00:00"/>
    <m/>
    <m/>
    <m/>
  </r>
  <r>
    <n v="16"/>
    <s v="Measurement of Wavelength of LASER"/>
    <n v="3"/>
    <n v="30000"/>
    <n v="90000"/>
    <x v="21"/>
    <n v="0"/>
    <s v="For U.G Lab"/>
    <s v="yes"/>
    <s v="Add on "/>
    <x v="1"/>
    <x v="1"/>
    <n v="76500"/>
    <s v="NVIS Technologies Pvt. Ltd."/>
    <s v="DLPC-5"/>
    <n v="76500"/>
    <s v="GEM-71471966"/>
    <d v="2026-03-03T00:00:00"/>
    <s v="040884"/>
    <n v="3825"/>
    <s v="Axis bank"/>
  </r>
  <r>
    <n v="53"/>
    <s v="Plastic Flat Pallet of Rectangular Shape"/>
    <n v="2"/>
    <n v="3500"/>
    <n v="7000"/>
    <x v="7"/>
    <m/>
    <m/>
    <m/>
    <s v="Add on"/>
    <x v="1"/>
    <x v="1"/>
    <n v="7000"/>
    <s v="M/S Smart Supply"/>
    <s v="DP"/>
    <n v="7000"/>
    <s v="GEM-63168714"/>
    <d v="2025-09-01T00:00:00"/>
    <s v="N.A"/>
    <m/>
    <m/>
  </r>
  <r>
    <n v="55"/>
    <s v="Safelift Pallet Truck (3000 KG)"/>
    <n v="1"/>
    <n v="15000"/>
    <n v="15000"/>
    <x v="7"/>
    <m/>
    <m/>
    <m/>
    <s v="Add on"/>
    <x v="1"/>
    <x v="1"/>
    <n v="15000"/>
    <s v="Devansh Enterprisess"/>
    <s v="DP"/>
    <n v="15000"/>
    <s v="GEM-62809145"/>
    <d v="2025-08-25T00:00:00"/>
    <s v="N.A"/>
    <m/>
    <m/>
  </r>
  <r>
    <n v="19"/>
    <s v="Miniature Rotor Spinning"/>
    <n v="1"/>
    <n v="1200000"/>
    <n v="1200000"/>
    <x v="13"/>
    <n v="0"/>
    <s v="Basic requiremnet at UG and PG level research and testing"/>
    <s v="yes"/>
    <s v="Add on"/>
    <x v="1"/>
    <x v="1"/>
    <n v="1189220"/>
    <s v="T4 Textultants Pvt. Ltd."/>
    <s v="DPC"/>
    <n v="1184220"/>
    <s v="GEM-73160603"/>
    <d v="2026-03-25T00:00:00"/>
    <s v="009149"/>
    <n v="59211"/>
    <s v="HDFC Bank"/>
  </r>
  <r>
    <n v="17"/>
    <s v="Miniature Ring frame"/>
    <n v="1"/>
    <n v="1250000"/>
    <n v="1250000"/>
    <x v="13"/>
    <n v="0"/>
    <s v="Basic requiremnet at UG and PG level research and testing"/>
    <s v="yes"/>
    <s v="Add on"/>
    <x v="1"/>
    <x v="1"/>
    <n v="1235789"/>
    <s v="T4 Textultants Pvt. Ltd."/>
    <s v="DPC"/>
    <n v="1230700"/>
    <s v="GEM-73161828"/>
    <d v="2026-03-25T00:00:00"/>
    <s v="009152"/>
    <n v="61635"/>
    <s v="HDFC Bank"/>
  </r>
  <r>
    <n v="7"/>
    <s v="AMC for RO &amp; Water Cooler"/>
    <n v="26"/>
    <n v="21153.846153846152"/>
    <n v="550000"/>
    <x v="18"/>
    <m/>
    <m/>
    <m/>
    <s v="Add on"/>
    <x v="2"/>
    <x v="8"/>
    <n v="235950"/>
    <s v="Jyoti Enterprises, Ahmedabad"/>
    <s v="DLPC-2"/>
    <m/>
    <m/>
    <m/>
    <s v="Pending"/>
    <m/>
    <m/>
  </r>
  <r>
    <n v="1"/>
    <s v="Tube lights"/>
    <n v="1000"/>
    <n v="170"/>
    <n v="170000"/>
    <x v="7"/>
    <m/>
    <m/>
    <m/>
    <s v="Add on"/>
    <x v="3"/>
    <x v="1"/>
    <n v="81000"/>
    <s v="A B Pal Electronics Pvt. Ltd., Delhi"/>
    <s v="DLPC-2"/>
    <n v="81000"/>
    <s v="GEM-66426336"/>
    <n v="45980"/>
    <s v="Expempted"/>
    <m/>
    <m/>
  </r>
  <r>
    <n v="2"/>
    <s v="Burst Strength tester"/>
    <n v="1"/>
    <n v="135000"/>
    <n v="135000"/>
    <x v="22"/>
    <n v="0"/>
    <s v="As per GTU syllabus"/>
    <m/>
    <s v="Add on"/>
    <x v="1"/>
    <x v="1"/>
    <n v="145000"/>
    <s v="EIE Instruments Pvt. Ltd"/>
    <s v="DLPC-7"/>
    <n v="145000"/>
    <s v="GEM-73016693"/>
    <d v="2026-03-24T00:00:00"/>
    <s v="Exempted"/>
    <m/>
    <m/>
  </r>
  <r>
    <n v="3"/>
    <s v="Electro Pneumatic Trainer"/>
    <n v="1"/>
    <n v="225000"/>
    <n v="225000"/>
    <x v="22"/>
    <n v="0"/>
    <s v="As per GTU syllabus"/>
    <m/>
    <s v="Add on"/>
    <x v="1"/>
    <x v="1"/>
    <n v="94400"/>
    <s v="Technology Excahnge Services Pvt.Ltd., Ahmedabad"/>
    <s v="DLPC-6"/>
    <n v="94900"/>
    <s v="GEM-72737404"/>
    <d v="2026-03-20T00:00:00"/>
    <s v="Received"/>
    <m/>
    <m/>
  </r>
  <r>
    <s v="95R3"/>
    <s v="Horizontal Autoclave"/>
    <n v="1"/>
    <n v="300000"/>
    <n v="300000"/>
    <x v="12"/>
    <m/>
    <m/>
    <m/>
    <s v="Add on"/>
    <x v="1"/>
    <x v="2"/>
    <n v="289900"/>
    <s v="Mark Enterprises, Nashik"/>
    <s v="DLPC-5"/>
    <n v="0"/>
    <s v="N.A"/>
    <s v="N.A"/>
    <s v="Pending"/>
    <m/>
    <m/>
  </r>
  <r>
    <n v="2"/>
    <s v="Compact weather Station"/>
    <n v="1"/>
    <n v="400000"/>
    <n v="400000"/>
    <x v="9"/>
    <n v="0"/>
    <m/>
    <m/>
    <s v="Add on"/>
    <x v="1"/>
    <x v="5"/>
    <n v="0"/>
    <m/>
    <m/>
    <m/>
    <m/>
    <m/>
    <m/>
    <m/>
    <m/>
  </r>
  <r>
    <s v="02 (Add-On List)"/>
    <s v="RL Network Response"/>
    <n v="3"/>
    <n v="5000"/>
    <n v="15000"/>
    <x v="7"/>
    <m/>
    <m/>
    <m/>
    <s v="Add on"/>
    <x v="1"/>
    <x v="1"/>
    <n v="13608"/>
    <s v="Monarch Sales"/>
    <s v="DP"/>
    <n v="13267"/>
    <s v="GEM-65624455"/>
    <d v="2025-10-30T00:00:00"/>
    <s v="N.A"/>
    <m/>
    <m/>
  </r>
  <r>
    <s v="03 (Add-On List)"/>
    <s v="Half-wave Voltage Doubler circuit"/>
    <n v="3"/>
    <n v="5000"/>
    <n v="15000"/>
    <x v="7"/>
    <m/>
    <m/>
    <m/>
    <s v="Add on"/>
    <x v="1"/>
    <x v="1"/>
    <n v="13608"/>
    <s v="Monarch Sales"/>
    <s v="DP"/>
    <n v="13267"/>
    <s v="GEM-65631035"/>
    <d v="2025-10-30T00:00:00"/>
    <s v="N.A"/>
    <m/>
    <m/>
  </r>
  <r>
    <s v="04 (Add-On List)"/>
    <s v="Full-wave Voltage Doubler circuit"/>
    <n v="3"/>
    <n v="5000"/>
    <n v="15000"/>
    <x v="7"/>
    <m/>
    <m/>
    <m/>
    <s v="Add on"/>
    <x v="1"/>
    <x v="1"/>
    <n v="13608"/>
    <s v="Royal Electronics Sales &amp; Services"/>
    <s v="DP"/>
    <n v="13267"/>
    <s v="GEM-66730074"/>
    <d v="2025-11-27T00:00:00"/>
    <s v="N.A"/>
    <m/>
    <m/>
  </r>
  <r>
    <s v="05 (Add-On List)"/>
    <s v="Voltage Tripler Circuit"/>
    <n v="3"/>
    <n v="5000"/>
    <n v="15000"/>
    <x v="7"/>
    <m/>
    <m/>
    <m/>
    <s v="Add on"/>
    <x v="1"/>
    <x v="1"/>
    <n v="13608"/>
    <s v="Royal Electronics Sales &amp; Services"/>
    <s v="DP"/>
    <n v="13267"/>
    <s v="GEM-65630020"/>
    <d v="2025-10-30T00:00:00"/>
    <s v="N.A"/>
    <m/>
    <m/>
  </r>
  <r>
    <s v="06 (Add-On List)"/>
    <s v="FET (BFW10/BFW11)"/>
    <n v="3"/>
    <n v="6000"/>
    <n v="18000"/>
    <x v="7"/>
    <m/>
    <m/>
    <m/>
    <s v="Add on"/>
    <x v="1"/>
    <x v="1"/>
    <n v="15930"/>
    <s v="Monarch Sales"/>
    <s v="DP"/>
    <n v="15372"/>
    <s v="GEM-65629264"/>
    <d v="2025-10-30T00:00:00"/>
    <s v="N.A"/>
    <m/>
    <m/>
  </r>
  <r>
    <s v="07 (Add-On List)"/>
    <s v="VI Characteristics BJT CB config"/>
    <n v="3"/>
    <n v="6000"/>
    <n v="18000"/>
    <x v="7"/>
    <m/>
    <m/>
    <m/>
    <s v="Add on"/>
    <x v="1"/>
    <x v="1"/>
    <n v="15930"/>
    <s v="Monarch Sales"/>
    <s v="DP"/>
    <n v="15531"/>
    <s v="GEM-66693930"/>
    <d v="2025-11-26T00:00:00"/>
    <s v="N.A"/>
    <m/>
    <m/>
  </r>
  <r>
    <s v="08 (Add-On List)"/>
    <s v="BJT CE config"/>
    <n v="3"/>
    <n v="6000"/>
    <n v="18000"/>
    <x v="7"/>
    <m/>
    <m/>
    <m/>
    <s v="Add on"/>
    <x v="1"/>
    <x v="1"/>
    <n v="15930"/>
    <s v="Monarch Sales"/>
    <s v="DP"/>
    <n v="15372"/>
    <s v="GEM-65627819"/>
    <d v="2025-10-30T00:00:00"/>
    <s v="N.A"/>
    <m/>
    <m/>
  </r>
  <r>
    <s v="11 (Add-On List)"/>
    <s v="1-Phase Full-Wave Centre-Tap Rectifier w/ Filters"/>
    <n v="3"/>
    <n v="6000"/>
    <n v="18000"/>
    <x v="7"/>
    <m/>
    <m/>
    <m/>
    <s v="Add on"/>
    <x v="1"/>
    <x v="1"/>
    <n v="15930"/>
    <s v="Monarch Sales"/>
    <s v="DP"/>
    <n v="15850"/>
    <s v="GEM-66693766"/>
    <d v="2025-11-26T00:00:00"/>
    <s v="N.A"/>
    <m/>
    <m/>
  </r>
  <r>
    <s v="12 (Add-On List)"/>
    <s v="1-Phase Full-Wave Bridge Rectifier w/ Filters"/>
    <n v="3"/>
    <n v="6000"/>
    <n v="18000"/>
    <x v="7"/>
    <m/>
    <m/>
    <m/>
    <s v="Add on"/>
    <x v="1"/>
    <x v="1"/>
    <n v="15930"/>
    <s v="Monarch Sales"/>
    <s v="DP"/>
    <n v="15531"/>
    <s v="GEM-65627341"/>
    <d v="2025-10-30T00:00:00"/>
    <s v="N.A"/>
    <m/>
    <m/>
  </r>
  <r>
    <s v="13 (Add-On List)"/>
    <s v="Voltage Quadruple Circuit"/>
    <n v="3"/>
    <n v="6000"/>
    <n v="18000"/>
    <x v="7"/>
    <m/>
    <m/>
    <m/>
    <s v="Add on"/>
    <x v="1"/>
    <x v="1"/>
    <n v="15048"/>
    <s v="Royal Electronics Sales &amp; Services"/>
    <s v="DP"/>
    <n v="14671"/>
    <s v="GEM-66729790"/>
    <d v="2025-11-27T00:00:00"/>
    <s v="N.A"/>
    <m/>
    <m/>
  </r>
  <r>
    <s v="14 (Add-On List)"/>
    <s v="Zener Diode as Voltage Regulator"/>
    <n v="3"/>
    <n v="6000"/>
    <n v="18000"/>
    <x v="7"/>
    <m/>
    <m/>
    <m/>
    <s v="Add on"/>
    <x v="1"/>
    <x v="1"/>
    <n v="15930"/>
    <s v="Royal Electronics Sales &amp; Services"/>
    <s v="DP"/>
    <n v="15531"/>
    <s v="GEM-65629745"/>
    <d v="2025-10-30T00:00:00"/>
    <s v="N.A"/>
    <m/>
    <m/>
  </r>
  <r>
    <s v="15 (Add-On List)"/>
    <s v="Fixed bias circuit for BJT"/>
    <n v="3"/>
    <n v="6000"/>
    <n v="18000"/>
    <x v="7"/>
    <m/>
    <m/>
    <m/>
    <s v="Add on"/>
    <x v="1"/>
    <x v="1"/>
    <n v="15048"/>
    <s v="Royal Electronics Sales &amp; Services"/>
    <s v="DP"/>
    <n v="14671"/>
    <s v="GEM-66728915"/>
    <d v="2025-11-27T00:00:00"/>
    <s v="N.A"/>
    <m/>
    <m/>
  </r>
  <r>
    <s v="16 (Add-On List)"/>
    <s v="Voltage divider bias circuit for BJT"/>
    <n v="3"/>
    <n v="6000"/>
    <n v="18000"/>
    <x v="7"/>
    <m/>
    <m/>
    <m/>
    <s v="Add on"/>
    <x v="1"/>
    <x v="1"/>
    <n v="15048"/>
    <s v="Royal Electronics Sales &amp; Services"/>
    <s v="DP"/>
    <n v="14671"/>
    <s v="GEM-66728798"/>
    <d v="2025-11-27T00:00:00"/>
    <s v="N.A"/>
    <m/>
    <m/>
  </r>
  <r>
    <s v="17 (Add-On List)"/>
    <s v="CE amplifier (Class-A)"/>
    <n v="3"/>
    <n v="6000"/>
    <n v="18000"/>
    <x v="7"/>
    <m/>
    <m/>
    <m/>
    <s v="Add on"/>
    <x v="1"/>
    <x v="1"/>
    <n v="15048"/>
    <s v="Royal Electronics Sales &amp; Services"/>
    <s v="DP"/>
    <n v="14822"/>
    <s v="GEM-66729159"/>
    <d v="2025-11-27T00:00:00"/>
    <s v="N.A"/>
    <m/>
    <m/>
  </r>
  <r>
    <s v="18 (Add-On List)"/>
    <s v="Full-wave &amp; Half wave Voltage Doubler circuit"/>
    <n v="3"/>
    <n v="6000"/>
    <n v="18000"/>
    <x v="7"/>
    <m/>
    <m/>
    <m/>
    <s v="Add on"/>
    <x v="1"/>
    <x v="1"/>
    <n v="15930"/>
    <s v="Royal Electronics Sales &amp; Services"/>
    <s v="DP"/>
    <n v="15691"/>
    <s v="GEM-67414388"/>
    <d v="2025-12-12T00:00:00"/>
    <s v="N.A"/>
    <m/>
    <m/>
  </r>
  <r>
    <s v="25 (Add-On List)"/>
    <s v="RLC Network Response"/>
    <n v="3"/>
    <n v="7000"/>
    <n v="21000"/>
    <x v="7"/>
    <m/>
    <m/>
    <m/>
    <s v="Add on"/>
    <x v="1"/>
    <x v="1"/>
    <n v="20412"/>
    <s v="Monarch Sales"/>
    <s v="DP"/>
    <n v="19901"/>
    <s v="GEM-65624130"/>
    <d v="2025-10-30T00:00:00"/>
    <s v="N.A"/>
    <m/>
    <m/>
  </r>
  <r>
    <s v="26 (Add-On List)"/>
    <s v="1-Phase half wave controlled rectifier with “R/RL” load, with free wheeling diode"/>
    <n v="3"/>
    <n v="8000"/>
    <n v="24000"/>
    <x v="7"/>
    <m/>
    <m/>
    <m/>
    <s v="Add on"/>
    <x v="1"/>
    <x v="1"/>
    <n v="20178"/>
    <s v="Highness INC"/>
    <s v="DP"/>
    <n v="19774"/>
    <s v="GEM-66695126"/>
    <d v="2025-11-26T00:00:00"/>
    <s v="N.A"/>
    <m/>
    <m/>
  </r>
  <r>
    <s v="27 (Add-On List)"/>
    <s v="1-Phase full wave fully controlled rectifier using one SCR with “R” load"/>
    <n v="3"/>
    <n v="8000"/>
    <n v="24000"/>
    <x v="7"/>
    <m/>
    <m/>
    <m/>
    <s v="Add on"/>
    <x v="1"/>
    <x v="1"/>
    <n v="20178"/>
    <s v="Highness INC"/>
    <s v="DP"/>
    <n v="19875"/>
    <s v="GEM-66694831"/>
    <d v="2025-11-26T00:00:00"/>
    <s v="N.A"/>
    <m/>
    <m/>
  </r>
  <r>
    <s v="28 (Add-On List)"/>
    <s v="Clipping &amp; Clamping circuits using diodes"/>
    <n v="3"/>
    <n v="8000"/>
    <n v="24000"/>
    <x v="7"/>
    <m/>
    <m/>
    <m/>
    <s v="Add on"/>
    <x v="1"/>
    <x v="1"/>
    <n v="20412"/>
    <s v="Monarch Sales"/>
    <s v="DP"/>
    <n v="19697"/>
    <s v="GEM-65624739"/>
    <d v="2025-10-30T00:00:00"/>
    <s v="N.A"/>
    <m/>
    <m/>
  </r>
  <r>
    <s v="29 (Add-On List)"/>
    <s v="All rectifier types with filters"/>
    <n v="3"/>
    <n v="8000"/>
    <n v="24000"/>
    <x v="7"/>
    <m/>
    <m/>
    <m/>
    <s v="Add on"/>
    <x v="1"/>
    <x v="1"/>
    <n v="22680"/>
    <s v="Royal Electronics Sales &amp; Services"/>
    <s v="DP"/>
    <n v="22339"/>
    <s v="GEM-66728649"/>
    <d v="2025-11-27T00:00:00"/>
    <s v="N.A"/>
    <m/>
    <m/>
  </r>
  <r>
    <s v="34 (Add-On List)"/>
    <s v="1 phasse half bridge Inverter by MOSFET"/>
    <n v="2"/>
    <n v="10000"/>
    <n v="20000"/>
    <x v="7"/>
    <m/>
    <m/>
    <m/>
    <s v="Add on"/>
    <x v="1"/>
    <x v="1"/>
    <n v="17936"/>
    <s v="Highness INC"/>
    <s v="DP"/>
    <n v="17487"/>
    <s v="GEM-66694399"/>
    <d v="2025-11-26T00:00:00"/>
    <s v="N.A"/>
    <m/>
    <m/>
  </r>
  <r>
    <s v="35 (Add-On List)"/>
    <s v="1 Phase Bridge Inverter by MOSFET"/>
    <n v="2"/>
    <n v="12000"/>
    <n v="24000"/>
    <x v="7"/>
    <m/>
    <m/>
    <m/>
    <s v="Add on"/>
    <x v="1"/>
    <x v="1"/>
    <n v="21004"/>
    <s v="Highness INC"/>
    <s v="DP"/>
    <n v="20268"/>
    <s v="GEM-66694509"/>
    <d v="2025-11-26T00:00:00"/>
    <s v="N.A"/>
    <m/>
    <m/>
  </r>
  <r>
    <s v="36 (add-on list)"/>
    <s v="3-Phase half wave controlled rectifier with “R / RL” load, with free wheeling diode.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7037"/>
    <d v="2025-12-22T00:00:00"/>
    <s v="N.A"/>
    <m/>
    <m/>
  </r>
  <r>
    <s v="37 (add-on list)"/>
    <s v="3-Phase full wave half controlled bridge rectifier with “R / RL” load, with free wheeling diode.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5862"/>
    <d v="2025-12-22T00:00:00"/>
    <s v="N.A"/>
    <m/>
    <m/>
  </r>
  <r>
    <s v="38 (add-on list)"/>
    <s v="Three-Phase (AC Regulator) AC power control using Triac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5516"/>
    <d v="2025-12-22T00:00:00"/>
    <s v="N.A"/>
    <m/>
    <m/>
  </r>
  <r>
    <s v="39 (add-on list)"/>
    <s v="1-Phase Dual Converter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3609"/>
    <d v="2025-12-22T00:00:00"/>
    <s v="N.A"/>
    <m/>
    <m/>
  </r>
  <r>
    <s v="40 (add-on list)"/>
    <s v="Step down chopper trainer using MOSFET / IGBT"/>
    <n v="2"/>
    <n v="12000"/>
    <n v="24000"/>
    <x v="7"/>
    <s v="U.G"/>
    <s v="Equipment"/>
    <s v="Order in Cart"/>
    <s v="Add on"/>
    <x v="1"/>
    <x v="1"/>
    <n v="22420"/>
    <s v="Monarch Sales"/>
    <s v="DP"/>
    <n v="22307"/>
    <s v="GEM-67863833"/>
    <d v="2025-12-22T00:00:00"/>
    <s v="N.A"/>
    <m/>
    <m/>
  </r>
  <r>
    <s v="41 (add-on list)"/>
    <s v="Step up chopper trainer using MOSFET / IGBT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4223"/>
    <d v="2025-12-22T00:00:00"/>
    <s v="N.A"/>
    <m/>
    <m/>
  </r>
  <r>
    <s v="42 (add-on list)"/>
    <s v="Step up / down chopper trainer using MOSFET / IGBT"/>
    <n v="2"/>
    <n v="12000"/>
    <n v="24000"/>
    <x v="7"/>
    <s v="U.G"/>
    <s v="Equipment"/>
    <s v="Order in Cart"/>
    <s v="Add on"/>
    <x v="1"/>
    <x v="1"/>
    <n v="22420"/>
    <s v="Monarch Sales"/>
    <s v="DP"/>
    <n v="21971"/>
    <s v="GEM-67864466"/>
    <d v="2025-12-22T00:00:00"/>
    <s v="N.A"/>
    <m/>
    <m/>
  </r>
  <r>
    <s v="43 (add-on list)"/>
    <s v="General Purpose AC/DC Network"/>
    <n v="1"/>
    <n v="15000"/>
    <n v="15000"/>
    <x v="7"/>
    <s v="U.G"/>
    <s v="Equipment"/>
    <s v="Order in Cart"/>
    <s v="Add on"/>
    <x v="1"/>
    <x v="1"/>
    <n v="12852"/>
    <s v="Monarch Sales"/>
    <s v="DP"/>
    <n v="12594"/>
    <s v="GEM-67866779"/>
    <d v="2025-12-22T00:00:00"/>
    <s v="N.A"/>
    <m/>
    <m/>
  </r>
  <r>
    <s v="44 (add-on list)"/>
    <s v="1 phase to 1 phase cycloconverter"/>
    <n v="1"/>
    <n v="17000"/>
    <n v="17000"/>
    <x v="7"/>
    <s v="U.G"/>
    <s v="Equipment"/>
    <s v="Order in Cart"/>
    <s v="Add on"/>
    <x v="1"/>
    <x v="1"/>
    <n v="15694"/>
    <s v="Monarch Sales"/>
    <s v="DP"/>
    <n v="15380"/>
    <s v="GEM-67864908"/>
    <d v="2025-12-22T00:00:00"/>
    <s v="N.A"/>
    <m/>
    <m/>
  </r>
  <r>
    <s v="45 (add-on list)"/>
    <s v="Speed control of DC &amp; 1-Phase AC motor using SCR (Universal sewing motor)"/>
    <n v="1"/>
    <n v="18000"/>
    <n v="18000"/>
    <x v="7"/>
    <s v="U.G"/>
    <s v="Equipment"/>
    <s v="Order in Cart"/>
    <s v="Add on"/>
    <x v="1"/>
    <x v="1"/>
    <n v="15694"/>
    <s v="Monarch Sales"/>
    <s v="DP"/>
    <n v="15380"/>
    <s v="GEM-67863074"/>
    <d v="2025-12-22T00:00:00"/>
    <s v="N.A"/>
    <m/>
    <m/>
  </r>
  <r>
    <s v="49 (Add-On-List)"/>
    <s v="Battery Characteristics Training Solutions Lithium polymer (Lipo) battery"/>
    <n v="1"/>
    <n v="70000"/>
    <n v="70000"/>
    <x v="7"/>
    <m/>
    <m/>
    <m/>
    <s v="Add on"/>
    <x v="1"/>
    <x v="9"/>
    <n v="57000"/>
    <s v="Monarch Sales"/>
    <s v="DLPC-6"/>
    <n v="0"/>
    <s v="N.A"/>
    <s v="N.A"/>
    <s v="Pending"/>
    <m/>
    <m/>
  </r>
  <r>
    <s v="50 (Add-On-List)"/>
    <s v="Lead - Acid Battery Characteristics "/>
    <n v="1"/>
    <n v="110000"/>
    <n v="110000"/>
    <x v="7"/>
    <m/>
    <m/>
    <m/>
    <s v="Add on"/>
    <x v="1"/>
    <x v="9"/>
    <n v="77900"/>
    <s v="Monarch Sales"/>
    <s v="DLPC-6"/>
    <n v="0"/>
    <s v="N.A"/>
    <s v="N.A"/>
    <s v="Pending"/>
    <m/>
    <m/>
  </r>
  <r>
    <s v="51 (Add-On-List)"/>
    <s v="Li-ion Battery Characteristics "/>
    <n v="1"/>
    <n v="115000"/>
    <n v="115000"/>
    <x v="7"/>
    <m/>
    <m/>
    <m/>
    <s v="Add on"/>
    <x v="1"/>
    <x v="9"/>
    <n v="79900"/>
    <s v="Highness INC"/>
    <s v="DLPC-6"/>
    <n v="0"/>
    <s v="N.A"/>
    <s v="N.A"/>
    <s v="Pending"/>
    <m/>
    <m/>
  </r>
  <r>
    <s v="52 (Add-On-List)"/>
    <s v="Battery Characteristics Training Systems Lithium Iron Phosphate"/>
    <n v="1"/>
    <n v="140000"/>
    <n v="140000"/>
    <x v="7"/>
    <m/>
    <m/>
    <m/>
    <s v="Add on"/>
    <x v="1"/>
    <x v="9"/>
    <n v="116800"/>
    <s v="Highness INC"/>
    <s v="DLPC-6"/>
    <n v="0"/>
    <s v="N.A"/>
    <s v="N.A"/>
    <s v="Pending"/>
    <m/>
    <m/>
  </r>
  <r>
    <s v="53 (Add-On-List)"/>
    <s v="Regenerative Charging and Braking "/>
    <n v="1"/>
    <n v="180000"/>
    <n v="180000"/>
    <x v="7"/>
    <m/>
    <m/>
    <m/>
    <s v="Add on"/>
    <x v="1"/>
    <x v="9"/>
    <n v="145000"/>
    <s v="Royal Electronics Sales &amp; Services"/>
    <s v="DLPC-6"/>
    <n v="0"/>
    <s v="N.A"/>
    <s v="N.A"/>
    <s v="Pending"/>
    <m/>
    <m/>
  </r>
  <r>
    <s v="54 (Add-On-List)"/>
    <s v="Battery Management Training Systems"/>
    <n v="1"/>
    <n v="230000"/>
    <n v="230000"/>
    <x v="7"/>
    <m/>
    <m/>
    <m/>
    <s v="Add on"/>
    <x v="1"/>
    <x v="9"/>
    <n v="179000"/>
    <s v="Royal Electronics Sales &amp; Services"/>
    <s v="DLPC-6"/>
    <n v="0"/>
    <s v="N.A"/>
    <s v="N.A"/>
    <s v="Pending"/>
    <m/>
    <m/>
  </r>
  <r>
    <s v="55 (Add-On-List)"/>
    <s v="Electrical Vehicle Training System - 438"/>
    <n v="1"/>
    <n v="230000"/>
    <n v="230000"/>
    <x v="7"/>
    <m/>
    <m/>
    <m/>
    <s v="Add on"/>
    <x v="1"/>
    <x v="4"/>
    <m/>
    <m/>
    <m/>
    <m/>
    <m/>
    <m/>
    <m/>
    <m/>
    <m/>
  </r>
  <r>
    <s v="56 (Add-On-List)"/>
    <s v="PMSM Motor Training System"/>
    <n v="1"/>
    <n v="360000"/>
    <n v="360000"/>
    <x v="7"/>
    <m/>
    <m/>
    <m/>
    <s v="Add on"/>
    <x v="1"/>
    <x v="9"/>
    <n v="314500"/>
    <s v="Royal Electronics Sales &amp; Services"/>
    <s v="DLPC-6"/>
    <n v="0"/>
    <s v="N.A"/>
    <s v="N.A"/>
    <s v="Pending"/>
    <m/>
    <m/>
  </r>
  <r>
    <s v="57 (Add-On-List)"/>
    <s v="Numerical Parallel Feeder Protection"/>
    <n v="1"/>
    <n v="500000"/>
    <n v="500000"/>
    <x v="7"/>
    <m/>
    <m/>
    <m/>
    <s v="Add on"/>
    <x v="1"/>
    <x v="1"/>
    <n v="483000"/>
    <s v="Royal Electronics Sales &amp; Services"/>
    <s v="DLPC-6"/>
    <n v="483000"/>
    <s v="GEM-72279630"/>
    <d v="2026-03-15T00:00:00"/>
    <s v="Received"/>
    <m/>
    <m/>
  </r>
  <r>
    <s v="58 (Add-On-List)"/>
    <s v="Switch Reductance Motor Training System"/>
    <n v="1"/>
    <n v="950000"/>
    <n v="950000"/>
    <x v="7"/>
    <m/>
    <m/>
    <m/>
    <s v="Add on"/>
    <x v="1"/>
    <x v="7"/>
    <n v="948000"/>
    <s v="VPL Infootech &amp; consultant, Delhi"/>
    <s v="DPC"/>
    <n v="0"/>
    <s v="N.A"/>
    <s v="N.A"/>
    <s v="N.A"/>
    <m/>
    <m/>
  </r>
  <r>
    <n v="79"/>
    <s v="Reynolds Apparatus"/>
    <n v="1"/>
    <n v="60000"/>
    <n v="60000"/>
    <x v="12"/>
    <n v="0"/>
    <s v="Required as per syllabus"/>
    <s v="yes"/>
    <s v="U.G"/>
    <x v="1"/>
    <x v="1"/>
    <n v="47700"/>
    <s v="EIE Instruments Pvt. Ltd"/>
    <s v="DLPC-3"/>
    <n v="46746"/>
    <s v="GEM-69454649"/>
    <d v="2026-01-29T00:00:00"/>
    <s v="Exempted"/>
    <m/>
    <m/>
  </r>
  <r>
    <n v="0"/>
    <s v="Copier Machine"/>
    <n v="10"/>
    <n v="100000"/>
    <n v="1000000"/>
    <x v="16"/>
    <m/>
    <m/>
    <m/>
    <s v="Add on"/>
    <x v="1"/>
    <x v="4"/>
    <m/>
    <m/>
    <m/>
    <m/>
    <m/>
    <m/>
    <m/>
    <m/>
    <m/>
  </r>
  <r>
    <n v="1"/>
    <s v="Battery Tester"/>
    <n v="4"/>
    <n v="250"/>
    <n v="1000"/>
    <x v="11"/>
    <m/>
    <m/>
    <m/>
    <s v="Add on"/>
    <x v="1"/>
    <x v="1"/>
    <n v="800"/>
    <s v="Intella Education Pvt. Ltd., Delhi"/>
    <s v="DP"/>
    <n v="800"/>
    <s v="GEM-65571505"/>
    <d v="2025-10-29T00:00:00"/>
    <s v="N.A"/>
    <m/>
    <m/>
  </r>
  <r>
    <n v="2"/>
    <s v="Inside LCD Display Callipers"/>
    <n v="5"/>
    <n v="2000"/>
    <n v="10000"/>
    <x v="11"/>
    <m/>
    <m/>
    <m/>
    <s v="Add on"/>
    <x v="1"/>
    <x v="1"/>
    <n v="9865"/>
    <s v="Ubixa Pvt. Ltd., Maharashtra"/>
    <s v="DP"/>
    <n v="9865"/>
    <s v="GEM-65455179"/>
    <d v="2025-10-25T00:00:00"/>
    <s v="N.A"/>
    <m/>
    <m/>
  </r>
  <r>
    <n v="3"/>
    <s v="S.S Incremental Optical Rotary Encoder"/>
    <n v="4"/>
    <n v="2500"/>
    <n v="10000"/>
    <x v="11"/>
    <m/>
    <m/>
    <m/>
    <s v="Add on"/>
    <x v="1"/>
    <x v="1"/>
    <n v="8000"/>
    <s v="Polestar, U.P"/>
    <s v="DP"/>
    <n v="8000"/>
    <s v="GEM-65362998"/>
    <d v="2025-10-22T00:00:00"/>
    <s v="N.A"/>
    <m/>
    <m/>
  </r>
  <r>
    <n v="4"/>
    <s v="Small Angle Grinder"/>
    <n v="2"/>
    <n v="2500"/>
    <n v="5000"/>
    <x v="11"/>
    <m/>
    <m/>
    <m/>
    <s v="Add on"/>
    <x v="1"/>
    <x v="1"/>
    <n v="4197"/>
    <s v="Bhagvat Enterprise, Punjab"/>
    <s v="DP"/>
    <n v="4197"/>
    <s v="GEM-65149992"/>
    <d v="2025-10-15T00:00:00"/>
    <s v="N.A"/>
    <m/>
    <m/>
  </r>
  <r>
    <n v="1"/>
    <s v="Process Control Trainer - Flow, Level with Pneumatic Control Valve"/>
    <n v="1"/>
    <n v="739471"/>
    <n v="739471"/>
    <x v="19"/>
    <m/>
    <m/>
    <m/>
    <s v="Add on"/>
    <x v="1"/>
    <x v="4"/>
    <m/>
    <m/>
    <m/>
    <m/>
    <m/>
    <m/>
    <m/>
    <m/>
    <m/>
  </r>
  <r>
    <n v="2"/>
    <s v="Process Control Trainer-Pressure, Temperature, Flow."/>
    <n v="1"/>
    <n v="825000"/>
    <n v="825000"/>
    <x v="19"/>
    <m/>
    <m/>
    <m/>
    <s v="Add on"/>
    <x v="1"/>
    <x v="4"/>
    <m/>
    <m/>
    <m/>
    <m/>
    <m/>
    <m/>
    <m/>
    <m/>
    <m/>
  </r>
  <r>
    <n v="3"/>
    <s v="Process Instrumentation Trainer"/>
    <n v="1"/>
    <n v="620000"/>
    <n v="620000"/>
    <x v="19"/>
    <n v="0"/>
    <m/>
    <m/>
    <s v="Add on"/>
    <x v="1"/>
    <x v="6"/>
    <n v="0"/>
    <s v="All tech Electronics, Ahmedabad"/>
    <s v="DLPC-6"/>
    <n v="0"/>
    <s v="N.A"/>
    <s v="N.A"/>
    <s v="N.A"/>
    <m/>
    <m/>
  </r>
  <r>
    <n v="4"/>
    <s v="Microprocessor and Microcontroller Trainer Kits"/>
    <n v="1"/>
    <n v="590000"/>
    <n v="590000"/>
    <x v="19"/>
    <m/>
    <m/>
    <m/>
    <s v="Add on"/>
    <x v="1"/>
    <x v="4"/>
    <m/>
    <m/>
    <m/>
    <m/>
    <m/>
    <m/>
    <m/>
    <m/>
    <m/>
  </r>
  <r>
    <n v="5"/>
    <s v="Basic Electronics and Measurement Kits"/>
    <n v="1"/>
    <n v="1311200"/>
    <n v="1311200"/>
    <x v="19"/>
    <m/>
    <m/>
    <m/>
    <s v="Add on"/>
    <x v="1"/>
    <x v="4"/>
    <m/>
    <m/>
    <m/>
    <m/>
    <m/>
    <m/>
    <m/>
    <m/>
    <m/>
  </r>
  <r>
    <n v="6"/>
    <s v="Advance Microcontroller Trainer Kits"/>
    <n v="1"/>
    <n v="1705690"/>
    <n v="1705690"/>
    <x v="19"/>
    <m/>
    <m/>
    <m/>
    <s v="Add on"/>
    <x v="1"/>
    <x v="1"/>
    <n v="1698000"/>
    <s v="Royal Electronics Sales &amp; Services"/>
    <s v="DPC"/>
    <n v="1695000"/>
    <s v="GEM-71896487"/>
    <d v="2025-03-10T00:00:00"/>
    <s v="Pending"/>
    <m/>
    <m/>
  </r>
  <r>
    <n v="7"/>
    <s v="Transducer and Measurement Trainer Kits"/>
    <n v="1"/>
    <n v="1400000"/>
    <n v="1400000"/>
    <x v="19"/>
    <m/>
    <m/>
    <m/>
    <s v="Add on"/>
    <x v="1"/>
    <x v="9"/>
    <n v="1109000"/>
    <s v="All tech Electronics, Ahmedabad"/>
    <s v="DPC"/>
    <n v="0"/>
    <s v="N.A"/>
    <s v="N.A"/>
    <s v="Pending"/>
    <m/>
    <m/>
  </r>
  <r>
    <n v="8"/>
    <s v="4 AXIS Articulated Robot ARM Work-Cell with Conveyor, Pick &amp; Place (MATLAB compatible)"/>
    <n v="1"/>
    <n v="1100000"/>
    <n v="1100000"/>
    <x v="19"/>
    <m/>
    <m/>
    <m/>
    <s v="Add on"/>
    <x v="1"/>
    <x v="4"/>
    <m/>
    <m/>
    <m/>
    <m/>
    <m/>
    <m/>
    <m/>
    <m/>
    <m/>
  </r>
  <r>
    <n v="9"/>
    <s v="DC Motor Kit"/>
    <n v="5"/>
    <n v="32500"/>
    <n v="162500"/>
    <x v="19"/>
    <m/>
    <m/>
    <m/>
    <s v="Add on"/>
    <x v="1"/>
    <x v="1"/>
    <n v="33000"/>
    <s v="Wintronix, Ahmedabad"/>
    <s v="DLPC-6"/>
    <n v="33000"/>
    <s v="GEM-72206886"/>
    <d v="2026-03-14T00:00:00"/>
    <s v="004640"/>
    <n v="1650"/>
    <s v="HDFC"/>
  </r>
  <r>
    <n v="10"/>
    <s v="Advanced hardware-software kit for Machine Learning"/>
    <n v="5"/>
    <n v="48500"/>
    <n v="242500"/>
    <x v="19"/>
    <m/>
    <m/>
    <m/>
    <s v="Add on"/>
    <x v="1"/>
    <x v="1"/>
    <n v="50500"/>
    <s v="Wintronix, Ahmedabad"/>
    <s v="DLPC-7"/>
    <n v="50500"/>
    <s v="GEM-72206395"/>
    <d v="2026-03-14T00:00:00"/>
    <s v="004639"/>
    <n v="2525"/>
    <s v="HDFC"/>
  </r>
  <r>
    <n v="11"/>
    <s v="Electric Circuit Analysis Experiment Kit"/>
    <n v="7"/>
    <n v="11500"/>
    <n v="80500"/>
    <x v="19"/>
    <m/>
    <m/>
    <m/>
    <s v="Add on"/>
    <x v="1"/>
    <x v="9"/>
    <n v="16560"/>
    <s v="Cubix Automation Pvt. Ltd, Pune"/>
    <s v="DLPC-6"/>
    <n v="0"/>
    <s v="N.A"/>
    <s v="N.A"/>
    <s v="N.A"/>
    <m/>
    <m/>
  </r>
  <r>
    <n v="30"/>
    <s v="Abrasion cum Pilling Tester - Martindale Type"/>
    <n v="1"/>
    <n v="302000"/>
    <n v="302000"/>
    <x v="13"/>
    <n v="1"/>
    <s v="Basic requiremnet at UG and PG level research and testing"/>
    <s v="yes"/>
    <s v="Add on"/>
    <x v="1"/>
    <x v="1"/>
    <n v="257240"/>
    <s v="Mag Solvics Pvt. Ltd."/>
    <s v="DLPC-3"/>
    <n v="257240"/>
    <s v="GEM-70343000"/>
    <d v="2026-02-14T00:00:00"/>
    <s v="Pending"/>
    <m/>
    <m/>
  </r>
  <r>
    <n v="0"/>
    <s v="Water Cooler for Admin offfice"/>
    <n v="1"/>
    <n v="28000"/>
    <n v="28000"/>
    <x v="16"/>
    <m/>
    <m/>
    <m/>
    <s v="Add on"/>
    <x v="1"/>
    <x v="1"/>
    <n v="23084"/>
    <s v="Thor Industries, Haryana"/>
    <s v="DP"/>
    <n v="23084"/>
    <s v="GEM-64749355"/>
    <d v="2025-10-07T00:00:00"/>
    <s v="N.A"/>
    <m/>
    <m/>
  </r>
  <r>
    <s v="95R4"/>
    <s v="Moving Die Rheometer (MDR)"/>
    <n v="1"/>
    <n v="520000"/>
    <n v="520000"/>
    <x v="12"/>
    <n v="0"/>
    <s v="As per GTU syllabus"/>
    <m/>
    <s v="U.G"/>
    <x v="1"/>
    <x v="7"/>
    <n v="570000"/>
    <s v="Stech Engineers, Maharashtra"/>
    <s v="DPC"/>
    <n v="0"/>
    <s v="N.A"/>
    <s v="N.A"/>
    <s v="N.A"/>
    <m/>
    <m/>
  </r>
  <r>
    <s v="95R4"/>
    <s v="Carbon Black Dispersion Analyzer"/>
    <n v="1"/>
    <n v="100000"/>
    <n v="100000"/>
    <x v="12"/>
    <n v="0"/>
    <s v="As per GTU syllabus"/>
    <m/>
    <s v="U.G"/>
    <x v="1"/>
    <x v="1"/>
    <n v="95480"/>
    <s v="EIE Instruments Pvt. Ltd"/>
    <s v="DLPC-7"/>
    <n v="95480"/>
    <s v="GEM-72942524"/>
    <d v="2026-03-23T00:00:00"/>
    <s v="Exempted"/>
    <m/>
    <m/>
  </r>
  <r>
    <s v="95R4"/>
    <s v="Lab Mixing Mill (2 roll) Rubber and Thermoplastic Elastomer (Hot and Cold)"/>
    <n v="1"/>
    <n v="680000"/>
    <n v="680000"/>
    <x v="12"/>
    <n v="0"/>
    <s v="As per GTU syllabus"/>
    <m/>
    <s v="U.G"/>
    <x v="1"/>
    <x v="4"/>
    <m/>
    <m/>
    <m/>
    <m/>
    <m/>
    <m/>
    <m/>
    <m/>
    <m/>
  </r>
  <r>
    <s v="95R4"/>
    <s v="Fatigue Testing machine for rubber"/>
    <n v="1"/>
    <n v="215000"/>
    <n v="215000"/>
    <x v="12"/>
    <n v="0"/>
    <s v="As per GTU syllabus"/>
    <m/>
    <s v="U.G"/>
    <x v="1"/>
    <x v="4"/>
    <m/>
    <m/>
    <m/>
    <m/>
    <m/>
    <m/>
    <m/>
    <m/>
    <m/>
  </r>
  <r>
    <s v="95R4"/>
    <s v="Melt Flow Index or Melt flow rate (MFI) Digital"/>
    <n v="1"/>
    <n v="248000"/>
    <n v="248000"/>
    <x v="12"/>
    <n v="0"/>
    <s v="As per GTU syllabus"/>
    <m/>
    <s v="U.G"/>
    <x v="1"/>
    <x v="4"/>
    <m/>
    <m/>
    <m/>
    <m/>
    <m/>
    <m/>
    <m/>
    <m/>
    <m/>
  </r>
  <r>
    <s v="95R4"/>
    <s v="Vicat Softening Point (VSP) and Heat Deflection Temperature (HDT) APPARATUS"/>
    <n v="1"/>
    <n v="250000"/>
    <n v="250000"/>
    <x v="12"/>
    <n v="0"/>
    <s v="As per GTU syllabus"/>
    <m/>
    <s v="U.G"/>
    <x v="1"/>
    <x v="4"/>
    <m/>
    <m/>
    <m/>
    <m/>
    <m/>
    <m/>
    <m/>
    <m/>
    <m/>
  </r>
  <r>
    <s v="95R4"/>
    <s v="vaccum type Rubber Compression Moulding Machine"/>
    <n v="1"/>
    <n v="500000"/>
    <n v="500000"/>
    <x v="12"/>
    <n v="0"/>
    <s v="As per GTU syllabus"/>
    <m/>
    <s v="U.G"/>
    <x v="1"/>
    <x v="4"/>
    <m/>
    <m/>
    <m/>
    <m/>
    <m/>
    <m/>
    <m/>
    <m/>
    <m/>
  </r>
  <r>
    <s v="95R4"/>
    <s v="Izod and  Charpy Impact Tester Digital"/>
    <n v="1"/>
    <n v="285000"/>
    <n v="285000"/>
    <x v="12"/>
    <n v="0"/>
    <s v="As per GTU syllabus"/>
    <m/>
    <s v="U.G"/>
    <x v="1"/>
    <x v="1"/>
    <n v="297505"/>
    <s v="EIE Instruments Pvt. Ltd"/>
    <s v="DLPC-7"/>
    <n v="297505"/>
    <s v="GEM-73017148"/>
    <d v="2026-03-24T00:00:00"/>
    <s v="Exempted"/>
    <m/>
    <m/>
  </r>
  <r>
    <s v="95R4"/>
    <s v="UV light Accelerated Weathering Tester (Digital)"/>
    <n v="1"/>
    <n v="1250000"/>
    <n v="1250000"/>
    <x v="12"/>
    <n v="0"/>
    <s v="As per GTU syllabus"/>
    <m/>
    <s v="U.G"/>
    <x v="1"/>
    <x v="7"/>
    <n v="1330000"/>
    <s v="Stech Engineers, Maharashtra"/>
    <s v="DPC"/>
    <n v="0"/>
    <s v="N.A"/>
    <s v="N.A"/>
    <s v="N.A"/>
    <m/>
    <m/>
  </r>
  <r>
    <s v="95R4"/>
    <s v="Environmental Stress Cracking Resistance(ESCR) for rubber"/>
    <n v="1"/>
    <n v="125000"/>
    <n v="125000"/>
    <x v="12"/>
    <n v="0"/>
    <s v="As per GTU syllabus"/>
    <m/>
    <s v="U.G"/>
    <x v="1"/>
    <x v="4"/>
    <m/>
    <m/>
    <m/>
    <m/>
    <m/>
    <m/>
    <m/>
    <m/>
    <m/>
  </r>
  <r>
    <s v="95R4"/>
    <s v="Scratch Hardness Tester"/>
    <n v="1"/>
    <n v="100000"/>
    <n v="100000"/>
    <x v="12"/>
    <n v="0"/>
    <s v="As per GTU syllabus"/>
    <m/>
    <s v="U.G"/>
    <x v="1"/>
    <x v="4"/>
    <m/>
    <m/>
    <m/>
    <m/>
    <m/>
    <m/>
    <m/>
    <m/>
    <m/>
  </r>
  <r>
    <s v="95R4"/>
    <s v="Flammability Tester (UL-94)"/>
    <n v="1"/>
    <n v="350000"/>
    <n v="350000"/>
    <x v="12"/>
    <n v="0"/>
    <s v="As per GTU syllabus"/>
    <m/>
    <s v="U.G"/>
    <x v="1"/>
    <x v="1"/>
    <n v="280000"/>
    <s v="EIE Instruments Pvt. Ltd"/>
    <s v="DLPC-7"/>
    <n v="280000"/>
    <s v="GEM-73017148"/>
    <d v="2026-03-24T00:00:00"/>
    <s v="Exempted"/>
    <m/>
    <m/>
  </r>
  <r>
    <s v="95R4"/>
    <s v="Dumbbell Cuting Press with ASTM D412 all die types"/>
    <n v="1"/>
    <n v="90000"/>
    <n v="90000"/>
    <x v="12"/>
    <n v="0"/>
    <s v="As per GTU syllabus"/>
    <m/>
    <s v="U.G"/>
    <x v="1"/>
    <x v="4"/>
    <m/>
    <m/>
    <m/>
    <m/>
    <m/>
    <m/>
    <m/>
    <m/>
    <m/>
  </r>
  <r>
    <s v="95R4"/>
    <s v="IRHD hardness Tester Digital"/>
    <n v="1"/>
    <n v="180000"/>
    <n v="180000"/>
    <x v="12"/>
    <n v="0"/>
    <s v="As per GTU syllabus"/>
    <m/>
    <s v="U.G"/>
    <x v="1"/>
    <x v="4"/>
    <m/>
    <m/>
    <m/>
    <m/>
    <m/>
    <m/>
    <m/>
    <m/>
    <m/>
  </r>
  <r>
    <s v="95R4"/>
    <s v="Rebound Resilience Tester"/>
    <n v="1"/>
    <n v="140000"/>
    <n v="140000"/>
    <x v="12"/>
    <n v="0"/>
    <s v="As per GTU syllabus"/>
    <m/>
    <s v="U.G"/>
    <x v="1"/>
    <x v="4"/>
    <m/>
    <m/>
    <m/>
    <m/>
    <m/>
    <m/>
    <m/>
    <m/>
    <m/>
  </r>
  <r>
    <s v="95R4"/>
    <s v="Dynamic Mechanical Analyzer"/>
    <n v="1"/>
    <n v="1500000"/>
    <n v="1500000"/>
    <x v="12"/>
    <n v="0"/>
    <s v="As per GTU syllabus"/>
    <m/>
    <s v="U.G"/>
    <x v="1"/>
    <x v="4"/>
    <m/>
    <m/>
    <m/>
    <m/>
    <m/>
    <m/>
    <m/>
    <m/>
    <m/>
  </r>
  <r>
    <n v="171"/>
    <s v="Hot foil stamping Machine"/>
    <n v="1"/>
    <n v="120000"/>
    <n v="120000"/>
    <x v="22"/>
    <m/>
    <m/>
    <m/>
    <s v="U.G"/>
    <x v="1"/>
    <x v="4"/>
    <m/>
    <m/>
    <m/>
    <m/>
    <m/>
    <m/>
    <m/>
    <m/>
    <m/>
  </r>
  <r>
    <n v="172"/>
    <s v="Flammability Tester"/>
    <n v="1"/>
    <n v="370000"/>
    <n v="370000"/>
    <x v="22"/>
    <m/>
    <m/>
    <m/>
    <s v="U.G"/>
    <x v="1"/>
    <x v="4"/>
    <m/>
    <m/>
    <m/>
    <m/>
    <m/>
    <m/>
    <m/>
    <m/>
    <m/>
  </r>
  <r>
    <n v="176"/>
    <s v="Falling dart Impact tester for films"/>
    <n v="1"/>
    <n v="130000"/>
    <n v="130000"/>
    <x v="22"/>
    <m/>
    <m/>
    <m/>
    <s v="U.G"/>
    <x v="1"/>
    <x v="4"/>
    <m/>
    <m/>
    <m/>
    <m/>
    <m/>
    <m/>
    <m/>
    <m/>
    <m/>
  </r>
  <r>
    <n v="177"/>
    <s v="Vertical Hydraulic Injection Moulding Machine"/>
    <n v="1"/>
    <n v="1500000"/>
    <n v="1500000"/>
    <x v="22"/>
    <m/>
    <m/>
    <m/>
    <s v="U.G"/>
    <x v="1"/>
    <x v="4"/>
    <m/>
    <m/>
    <m/>
    <m/>
    <m/>
    <m/>
    <m/>
    <m/>
    <m/>
  </r>
  <r>
    <n v="180"/>
    <s v="Pad Printing Machine"/>
    <n v="1"/>
    <n v="380000"/>
    <n v="380000"/>
    <x v="22"/>
    <m/>
    <m/>
    <m/>
    <s v="U.G"/>
    <x v="1"/>
    <x v="4"/>
    <m/>
    <m/>
    <m/>
    <m/>
    <m/>
    <m/>
    <m/>
    <m/>
    <m/>
  </r>
  <r>
    <n v="282"/>
    <s v="Lab scale Blow Moulding Machine WITH MOULDS and auxillary attachments"/>
    <n v="1"/>
    <n v="1000000"/>
    <n v="1000000"/>
    <x v="22"/>
    <m/>
    <m/>
    <m/>
    <s v="U.G"/>
    <x v="1"/>
    <x v="4"/>
    <m/>
    <m/>
    <m/>
    <m/>
    <m/>
    <m/>
    <m/>
    <m/>
    <m/>
  </r>
  <r>
    <n v="284"/>
    <s v="Lab scale Compression Molding Machine with Mold"/>
    <n v="1"/>
    <n v="1000000"/>
    <n v="1000000"/>
    <x v="22"/>
    <m/>
    <m/>
    <m/>
    <s v="U.G"/>
    <x v="1"/>
    <x v="4"/>
    <m/>
    <m/>
    <m/>
    <m/>
    <m/>
    <m/>
    <m/>
    <m/>
    <m/>
  </r>
  <r>
    <n v="285"/>
    <s v="Lab Scale Twin Screw Extruder with all auxillary attachments"/>
    <n v="1"/>
    <n v="3500000"/>
    <n v="3500000"/>
    <x v="22"/>
    <m/>
    <m/>
    <m/>
    <s v="U.G"/>
    <x v="1"/>
    <x v="4"/>
    <m/>
    <m/>
    <m/>
    <m/>
    <m/>
    <m/>
    <m/>
    <m/>
    <m/>
  </r>
  <r>
    <n v="14"/>
    <s v="Augmented Reality Welding Simulator"/>
    <n v="1"/>
    <n v="2000000"/>
    <n v="2000000"/>
    <x v="11"/>
    <m/>
    <m/>
    <m/>
    <s v="U.G"/>
    <x v="1"/>
    <x v="7"/>
    <n v="1896000"/>
    <s v="Simbott Technologies LLP"/>
    <s v="DPC"/>
    <n v="0"/>
    <s v="N.A"/>
    <s v="N.A"/>
    <s v="N.A"/>
    <m/>
    <m/>
  </r>
  <r>
    <s v="59 (add-on list)"/>
    <s v="Electrical Vehicle Motors and Drives Workbench without DAQ"/>
    <n v="1"/>
    <n v="1400000"/>
    <n v="1400000"/>
    <x v="7"/>
    <s v="U.G"/>
    <s v="Equipment"/>
    <m/>
    <s v="U.G"/>
    <x v="1"/>
    <x v="7"/>
    <n v="1268000"/>
    <s v="Royal Electronics Sales &amp; Services"/>
    <s v="DPC"/>
    <n v="0"/>
    <s v="N.A"/>
    <s v="N.A"/>
    <s v="N.A"/>
    <m/>
    <m/>
  </r>
  <r>
    <n v="5"/>
    <s v="Eletric Drill"/>
    <n v="2"/>
    <n v="6720"/>
    <n v="13440"/>
    <x v="11"/>
    <m/>
    <m/>
    <m/>
    <s v="Add on"/>
    <x v="1"/>
    <x v="1"/>
    <n v="13985"/>
    <s v="SAN Square Enterprises"/>
    <s v="DP"/>
    <n v="13985"/>
    <s v="GEM-66104622"/>
    <d v="2025-11-12T00:00:00"/>
    <s v="N.A"/>
    <m/>
    <m/>
  </r>
  <r>
    <n v="6"/>
    <s v="Cordless Brushed Electric Drill"/>
    <n v="2"/>
    <n v="6999"/>
    <n v="13998"/>
    <x v="11"/>
    <m/>
    <m/>
    <m/>
    <s v="Add on"/>
    <x v="1"/>
    <x v="1"/>
    <n v="14800"/>
    <s v="OIBC Bearing Pvt. Ltd."/>
    <s v="DP"/>
    <n v="14800"/>
    <s v="GEM-66198511"/>
    <d v="2025-11-14T00:00:00"/>
    <s v="N.A"/>
    <m/>
    <m/>
  </r>
  <r>
    <n v="12"/>
    <s v="Electric Grinder"/>
    <n v="2"/>
    <n v="5739"/>
    <n v="11478"/>
    <x v="11"/>
    <m/>
    <m/>
    <m/>
    <s v="Add on"/>
    <x v="1"/>
    <x v="1"/>
    <n v="11478"/>
    <s v="SAF Services Pvt. Ltd."/>
    <s v="DP"/>
    <n v="11306"/>
    <s v="GEM-65527456"/>
    <d v="2025-10-28T00:00:00"/>
    <s v="N.A"/>
    <m/>
    <m/>
  </r>
  <r>
    <n v="11"/>
    <s v="High Pressure Continuous Flow Reactor"/>
    <n v="1"/>
    <n v="3200000"/>
    <n v="3200000"/>
    <x v="4"/>
    <m/>
    <m/>
    <m/>
    <s v="Add on"/>
    <x v="1"/>
    <x v="1"/>
    <n v="1890000"/>
    <s v="Indo Aerogels and Membranes"/>
    <s v="DPC"/>
    <n v="1889000"/>
    <s v="GEM-72672487"/>
    <d v="2026-03-19T00:00:00"/>
    <s v="Received"/>
    <m/>
    <m/>
  </r>
  <r>
    <n v="9"/>
    <s v="Tachometer"/>
    <n v="2"/>
    <n v="10000"/>
    <n v="20000"/>
    <x v="11"/>
    <m/>
    <m/>
    <m/>
    <s v="Add on"/>
    <x v="1"/>
    <x v="1"/>
    <n v="20000"/>
    <s v="Peerumal &amp; sons"/>
    <s v="DP"/>
    <n v="19100"/>
    <s v="GEM-65655412"/>
    <d v="2025-10-30T00:00:00"/>
    <s v="N.A"/>
    <m/>
    <m/>
  </r>
  <r>
    <s v="Add on"/>
    <s v="Micro/Semimicro/Analytical weighing balance"/>
    <n v="1"/>
    <n v="450000"/>
    <n v="450000"/>
    <x v="9"/>
    <m/>
    <m/>
    <m/>
    <s v="Add on"/>
    <x v="1"/>
    <x v="1"/>
    <n v="134800"/>
    <s v="Maruti weihtech Pvt. Ltd."/>
    <s v="DLPC-6"/>
    <n v="134800"/>
    <s v="GEM-72727289"/>
    <d v="2026-03-20T00:00:00"/>
    <s v="Pending"/>
    <m/>
    <m/>
  </r>
  <r>
    <s v="Add on"/>
    <s v="Muffle furnace"/>
    <n v="1"/>
    <n v="150000"/>
    <n v="150000"/>
    <x v="4"/>
    <m/>
    <m/>
    <m/>
    <s v="Add on"/>
    <x v="1"/>
    <x v="1"/>
    <n v="63000"/>
    <s v="Hightech Instruments, Chandigarh"/>
    <s v="DLPC-6"/>
    <n v="63000"/>
    <s v="GEM-71802642"/>
    <d v="2026-03-09T00:00:00"/>
    <s v="Pending"/>
    <m/>
    <m/>
  </r>
  <r>
    <n v="0"/>
    <s v="EPABX System"/>
    <n v="1"/>
    <n v="108000"/>
    <n v="108000"/>
    <x v="16"/>
    <n v="0"/>
    <s v="Add on"/>
    <s v="yes"/>
    <s v="Add on"/>
    <x v="4"/>
    <x v="1"/>
    <n v="108000"/>
    <s v="ASPIRETECHNO GLOBAL PRIVATE LIMITED"/>
    <s v="DLPC-3"/>
    <n v="108000"/>
    <s v="GEM-68245760"/>
    <d v="2025-12-31T00:00:00"/>
    <s v="Pending"/>
    <m/>
    <m/>
  </r>
  <r>
    <s v="Add on"/>
    <s v="Muffle furnace"/>
    <n v="1"/>
    <n v="150000"/>
    <n v="150000"/>
    <x v="9"/>
    <s v="Add on"/>
    <s v="Equipment"/>
    <s v="yes"/>
    <s v="Add on"/>
    <x v="1"/>
    <x v="1"/>
    <n v="63000"/>
    <s v="Hightech Instruments, Chandigarh"/>
    <s v="DLPC-6"/>
    <n v="63000"/>
    <s v="GEM-71802846"/>
    <d v="2026-03-09T00:00:00"/>
    <s v="Pending"/>
    <m/>
    <m/>
  </r>
  <r>
    <n v="11"/>
    <s v="3D Printer "/>
    <n v="1"/>
    <n v="100000"/>
    <n v="100000"/>
    <x v="11"/>
    <s v="Add on "/>
    <s v="Equipment"/>
    <s v="yes"/>
    <s v="Add on"/>
    <x v="1"/>
    <x v="1"/>
    <n v="236500"/>
    <s v="GO3D INNOVATION LLP"/>
    <s v="DLPC-7"/>
    <n v="236500"/>
    <s v="GEM-72449105"/>
    <d v="2026-03-17T00:00:00"/>
    <s v="Exempted"/>
    <m/>
    <m/>
  </r>
  <r>
    <n v="1"/>
    <s v="Pressure regulator for gases"/>
    <n v="2"/>
    <n v="25000"/>
    <n v="50000"/>
    <x v="4"/>
    <s v="Add on "/>
    <s v="Equipment"/>
    <s v="yes"/>
    <s v="Add on"/>
    <x v="1"/>
    <x v="1"/>
    <n v="24900"/>
    <s v="Hisar Enterprises, Hisar, Haryana"/>
    <s v="DP"/>
    <n v="24873"/>
    <s v="GEM-70783806"/>
    <d v="2026-02-20T00:00:00"/>
    <s v="N.A"/>
    <m/>
    <m/>
  </r>
  <r>
    <n v="2"/>
    <s v="Sonophoto Chemical Reactor"/>
    <n v="1"/>
    <n v="700000"/>
    <n v="700000"/>
    <x v="4"/>
    <s v="Add on "/>
    <s v="Equipment"/>
    <s v="yes"/>
    <s v="Add on"/>
    <x v="1"/>
    <x v="9"/>
    <n v="498900"/>
    <s v="Dakshin, Mumbai"/>
    <s v="DLPC-7"/>
    <n v="0"/>
    <s v="N.A"/>
    <s v="N.A"/>
    <s v="Pending"/>
    <m/>
    <m/>
  </r>
  <r>
    <n v="0"/>
    <s v="Supercritical Fluid Extraction System "/>
    <n v="1"/>
    <n v="2700000"/>
    <n v="2700000"/>
    <x v="4"/>
    <s v="Add on "/>
    <m/>
    <m/>
    <s v="Add on"/>
    <x v="1"/>
    <x v="7"/>
    <n v="2150000"/>
    <s v="Amar Equipment"/>
    <s v="DPC"/>
    <n v="0"/>
    <s v="N.A"/>
    <s v="N.A"/>
    <s v="N.A"/>
    <m/>
    <m/>
  </r>
  <r>
    <n v="0"/>
    <s v="Micro flow Reactor"/>
    <n v="1"/>
    <n v="1200000"/>
    <n v="1200000"/>
    <x v="4"/>
    <s v="Add on "/>
    <m/>
    <m/>
    <s v="Add on"/>
    <x v="1"/>
    <x v="7"/>
    <n v="1200000"/>
    <s v="INDO AEROGELS AND MEMBRANES  "/>
    <s v="DPC"/>
    <n v="0"/>
    <s v="N.A"/>
    <s v="N.A"/>
    <s v="N.A"/>
    <m/>
    <m/>
  </r>
  <r>
    <n v="0"/>
    <s v="Weighing Scale"/>
    <n v="1"/>
    <n v="8000"/>
    <n v="8000"/>
    <x v="11"/>
    <s v="Add on "/>
    <m/>
    <m/>
    <s v="Add on"/>
    <x v="1"/>
    <x v="1"/>
    <n v="7680"/>
    <s v="Libra Scale Industries, Ranchi"/>
    <s v="DP"/>
    <n v="7680"/>
    <s v="GEM-69554894"/>
    <d v="2026-01-31T00:00:00"/>
    <s v="N.A"/>
    <m/>
    <m/>
  </r>
  <r>
    <n v="0"/>
    <s v="Floor type Tower AC"/>
    <n v="1"/>
    <n v="100000"/>
    <n v="100000"/>
    <x v="16"/>
    <m/>
    <m/>
    <m/>
    <m/>
    <x v="1"/>
    <x v="1"/>
    <n v="79910"/>
    <s v="Nexus Enterprise,Delhi"/>
    <s v="DLPC"/>
    <n v="78711"/>
    <s v="GEM-69708936"/>
    <d v="2026-02-03T00:00:00"/>
    <n v="497198"/>
    <n v="3996"/>
    <s v="HDFC Bank"/>
  </r>
  <r>
    <n v="0"/>
    <s v="U-Tube Manometer"/>
    <n v="1"/>
    <n v="10000"/>
    <n v="10000"/>
    <x v="4"/>
    <m/>
    <m/>
    <m/>
    <m/>
    <x v="1"/>
    <x v="1"/>
    <n v="9996"/>
    <s v="Shalini Kumani,Nawada"/>
    <s v="DP"/>
    <n v="9896"/>
    <s v="GEM-70892636"/>
    <d v="2026-02-22T00:00:00"/>
    <s v="N.A"/>
    <m/>
    <m/>
  </r>
  <r>
    <m/>
    <m/>
    <m/>
    <m/>
    <m/>
    <x v="23"/>
    <m/>
    <m/>
    <m/>
    <m/>
    <x v="5"/>
    <x v="10"/>
    <m/>
    <m/>
    <m/>
    <m/>
    <m/>
    <m/>
    <m/>
    <m/>
    <m/>
  </r>
  <r>
    <m/>
    <m/>
    <m/>
    <m/>
    <m/>
    <x v="23"/>
    <m/>
    <m/>
    <m/>
    <m/>
    <x v="5"/>
    <x v="10"/>
    <m/>
    <m/>
    <m/>
    <m/>
    <m/>
    <m/>
    <m/>
    <m/>
    <m/>
  </r>
  <r>
    <m/>
    <m/>
    <m/>
    <m/>
    <m/>
    <x v="23"/>
    <m/>
    <m/>
    <m/>
    <m/>
    <x v="5"/>
    <x v="10"/>
    <m/>
    <m/>
    <m/>
    <m/>
    <m/>
    <m/>
    <m/>
    <m/>
    <m/>
  </r>
  <r>
    <m/>
    <m/>
    <m/>
    <m/>
    <m/>
    <x v="23"/>
    <m/>
    <m/>
    <m/>
    <m/>
    <x v="5"/>
    <x v="10"/>
    <m/>
    <m/>
    <m/>
    <m/>
    <m/>
    <m/>
    <n v="12139.35"/>
    <m/>
    <m/>
  </r>
  <r>
    <m/>
    <m/>
    <m/>
    <m/>
    <m/>
    <x v="23"/>
    <m/>
    <m/>
    <m/>
    <m/>
    <x v="5"/>
    <x v="10"/>
    <m/>
    <m/>
    <m/>
    <m/>
    <m/>
    <m/>
    <m/>
    <m/>
    <m/>
  </r>
  <r>
    <m/>
    <m/>
    <m/>
    <m/>
    <m/>
    <x v="23"/>
    <m/>
    <m/>
    <m/>
    <m/>
    <x v="5"/>
    <x v="10"/>
    <m/>
    <m/>
    <m/>
    <m/>
    <m/>
    <m/>
    <m/>
    <m/>
    <m/>
  </r>
  <r>
    <m/>
    <m/>
    <m/>
    <m/>
    <m/>
    <x v="23"/>
    <m/>
    <m/>
    <m/>
    <m/>
    <x v="5"/>
    <x v="10"/>
    <m/>
    <m/>
    <m/>
    <m/>
    <m/>
    <m/>
    <m/>
    <m/>
    <m/>
  </r>
  <r>
    <m/>
    <m/>
    <m/>
    <m/>
    <m/>
    <x v="23"/>
    <m/>
    <m/>
    <m/>
    <m/>
    <x v="5"/>
    <x v="10"/>
    <m/>
    <m/>
    <m/>
    <m/>
    <m/>
    <m/>
    <m/>
    <m/>
    <m/>
  </r>
  <r>
    <m/>
    <m/>
    <m/>
    <m/>
    <m/>
    <x v="23"/>
    <m/>
    <m/>
    <m/>
    <m/>
    <x v="5"/>
    <x v="1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09086-77B4-4507-BDD8-6E65AC32EB8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9" firstHeaderRow="0" firstDataRow="1" firstDataCol="1" rowPageCount="2" colPageCount="1"/>
  <pivotFields count="21">
    <pivotField showAll="0"/>
    <pivotField showAll="0"/>
    <pivotField showAll="0"/>
    <pivotField showAll="0"/>
    <pivotField dataField="1" showAll="0"/>
    <pivotField axis="axisRow" showAll="0">
      <items count="25">
        <item x="0"/>
        <item x="1"/>
        <item x="2"/>
        <item x="3"/>
        <item x="16"/>
        <item x="4"/>
        <item x="5"/>
        <item x="6"/>
        <item x="20"/>
        <item x="7"/>
        <item x="8"/>
        <item x="9"/>
        <item h="1" x="17"/>
        <item x="19"/>
        <item x="18"/>
        <item x="10"/>
        <item h="1" x="15"/>
        <item x="11"/>
        <item x="22"/>
        <item x="12"/>
        <item x="21"/>
        <item x="13"/>
        <item x="14"/>
        <item h="1" x="23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h="1" x="0"/>
        <item h="1" x="3"/>
        <item x="1"/>
        <item h="1" x="4"/>
        <item h="1" x="2"/>
        <item h="1" x="5"/>
        <item t="default"/>
      </items>
    </pivotField>
    <pivotField axis="axisPage" multipleItemSelectionAllowed="1" showAll="0">
      <items count="12">
        <item h="1" x="3"/>
        <item h="1" x="0"/>
        <item h="1" x="5"/>
        <item h="1" x="4"/>
        <item x="1"/>
        <item h="1" x="6"/>
        <item h="1" x="8"/>
        <item h="1" x="7"/>
        <item h="1" x="10"/>
        <item h="1" x="2"/>
        <item h="1"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15">
    <i>
      <x v="1"/>
    </i>
    <i>
      <x v="2"/>
    </i>
    <i>
      <x v="3"/>
    </i>
    <i>
      <x v="4"/>
    </i>
    <i>
      <x v="5"/>
    </i>
    <i>
      <x v="6"/>
    </i>
    <i>
      <x v="9"/>
    </i>
    <i>
      <x v="11"/>
    </i>
    <i>
      <x v="13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2">
    <pageField fld="11" hier="-1"/>
    <pageField fld="10" hier="-1"/>
  </pageFields>
  <dataFields count="2">
    <dataField name="Sum of Total Amount_x000a_(Rs.) " fld="4" baseField="0" baseItem="0"/>
    <dataField name="Sum of Bill  Net 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13DE1-7D24-4993-B0D0-2D15438196EB}" name="PivotTable1" cacheId="0" applyNumberFormats="0" applyBorderFormats="0" applyFontFormats="0" applyPatternFormats="0" applyAlignmentFormats="0" applyWidthHeightFormats="1" dataCaption="Values" updatedVersion="8" minRefreshableVersion="3" showDataTips="0" useAutoFormatting="1" itemPrintTitles="1" createdVersion="8" indent="0" compact="0" compactData="0" gridDropZones="1" multipleFieldFilters="0" fieldListSortAscending="1">
  <location ref="A3:E54" firstHeaderRow="1" firstDataRow="2" firstDataCol="3"/>
  <pivotFields count="19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multipleItemSelectionAllowed="1" showAll="0">
      <items count="25">
        <item h="1" x="0"/>
        <item x="1"/>
        <item x="2"/>
        <item x="3"/>
        <item x="4"/>
        <item x="5"/>
        <item x="6"/>
        <item x="7"/>
        <item x="8"/>
        <item x="9"/>
        <item x="10"/>
        <item h="1" x="15"/>
        <item x="11"/>
        <item x="22"/>
        <item x="13"/>
        <item x="14"/>
        <item h="1" x="17"/>
        <item h="1" x="18"/>
        <item x="12"/>
        <item x="16"/>
        <item x="21"/>
        <item x="20"/>
        <item h="1" x="23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h="1" x="2"/>
        <item x="5"/>
        <item h="1" x="3"/>
        <item h="1" x="4"/>
        <item t="default"/>
      </items>
    </pivotField>
    <pivotField axis="axisRow" compact="0" outline="0" showAll="0">
      <items count="11">
        <item h="1" x="3"/>
        <item x="0"/>
        <item x="4"/>
        <item x="7"/>
        <item x="5"/>
        <item x="2"/>
        <item x="6"/>
        <item x="1"/>
        <item x="8"/>
        <item m="1" x="9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0"/>
    <field x="11"/>
    <field x="5"/>
  </rowFields>
  <rowItems count="50">
    <i>
      <x v="1"/>
      <x v="2"/>
      <x v="2"/>
    </i>
    <i r="2">
      <x v="4"/>
    </i>
    <i r="2">
      <x v="5"/>
    </i>
    <i r="2">
      <x v="7"/>
    </i>
    <i r="2">
      <x v="12"/>
    </i>
    <i r="2">
      <x v="13"/>
    </i>
    <i r="2">
      <x v="18"/>
    </i>
    <i r="2">
      <x v="19"/>
    </i>
    <i r="2">
      <x v="20"/>
    </i>
    <i r="2">
      <x v="23"/>
    </i>
    <i t="default" r="1">
      <x v="2"/>
    </i>
    <i r="1">
      <x v="3"/>
      <x v="4"/>
    </i>
    <i r="2">
      <x v="5"/>
    </i>
    <i r="2">
      <x v="7"/>
    </i>
    <i r="2">
      <x v="12"/>
    </i>
    <i r="2">
      <x v="18"/>
    </i>
    <i t="default" r="1">
      <x v="3"/>
    </i>
    <i r="1">
      <x v="4"/>
      <x v="7"/>
    </i>
    <i r="2">
      <x v="8"/>
    </i>
    <i r="2">
      <x v="9"/>
    </i>
    <i t="default" r="1">
      <x v="4"/>
    </i>
    <i r="1">
      <x v="5"/>
      <x v="1"/>
    </i>
    <i r="2">
      <x v="3"/>
    </i>
    <i r="2">
      <x v="4"/>
    </i>
    <i r="2">
      <x v="7"/>
    </i>
    <i r="2">
      <x v="18"/>
    </i>
    <i r="2">
      <x v="20"/>
    </i>
    <i r="2">
      <x v="21"/>
    </i>
    <i r="2">
      <x v="23"/>
    </i>
    <i t="default" r="1">
      <x v="5"/>
    </i>
    <i r="1">
      <x v="6"/>
      <x v="18"/>
    </i>
    <i r="2">
      <x v="23"/>
    </i>
    <i t="default" r="1">
      <x v="6"/>
    </i>
    <i r="1">
      <x v="7"/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2"/>
    </i>
    <i r="2">
      <x v="13"/>
    </i>
    <i r="2">
      <x v="14"/>
    </i>
    <i r="2">
      <x v="18"/>
    </i>
    <i r="2">
      <x v="19"/>
    </i>
    <i r="2">
      <x v="20"/>
    </i>
    <i r="2">
      <x v="23"/>
    </i>
    <i t="default" r="1">
      <x v="7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stimated Cost _x000a_" fld="4" baseField="0" baseItem="0" numFmtId="3"/>
    <dataField name="Sum of L1 Amount" fld="12" baseField="0" baseItem="0"/>
  </dataFields>
  <formats count="17">
    <format dxfId="16">
      <pivotArea outline="0" collapsedLevelsAreSubtotals="1" fieldPosition="0"/>
    </format>
    <format dxfId="15">
      <pivotArea outline="0" fieldPosition="0">
        <references count="2">
          <reference field="10" count="1" selected="0">
            <x v="1"/>
          </reference>
          <reference field="11" count="1" selected="0" defaultSubtotal="1">
            <x v="0"/>
          </reference>
        </references>
      </pivotArea>
    </format>
    <format dxfId="14">
      <pivotArea dataOnly="0" labelOnly="1" outline="0" fieldPosition="0">
        <references count="2">
          <reference field="10" count="1" selected="0">
            <x v="1"/>
          </reference>
          <reference field="11" count="1" defaultSubtotal="1">
            <x v="0"/>
          </reference>
        </references>
      </pivotArea>
    </format>
    <format dxfId="13">
      <pivotArea outline="0" fieldPosition="0">
        <references count="2">
          <reference field="10" count="1" selected="0">
            <x v="1"/>
          </reference>
          <reference field="11" count="1" selected="0" defaultSubtotal="1">
            <x v="2"/>
          </reference>
        </references>
      </pivotArea>
    </format>
    <format dxfId="12">
      <pivotArea dataOnly="0" labelOnly="1" outline="0" fieldPosition="0">
        <references count="2">
          <reference field="10" count="1" selected="0">
            <x v="1"/>
          </reference>
          <reference field="11" count="1" defaultSubtotal="1">
            <x v="2"/>
          </reference>
        </references>
      </pivotArea>
    </format>
    <format dxfId="11">
      <pivotArea outline="0" fieldPosition="0">
        <references count="2">
          <reference field="10" count="1" selected="0">
            <x v="2"/>
          </reference>
          <reference field="11" count="1" selected="0" defaultSubtotal="1">
            <x v="4"/>
          </reference>
        </references>
      </pivotArea>
    </format>
    <format dxfId="10">
      <pivotArea dataOnly="0" labelOnly="1" outline="0" fieldPosition="0">
        <references count="2">
          <reference field="10" count="1" selected="0">
            <x v="2"/>
          </reference>
          <reference field="11" count="1" defaultSubtotal="1">
            <x v="4"/>
          </reference>
        </references>
      </pivotArea>
    </format>
    <format dxfId="9">
      <pivotArea outline="0" fieldPosition="0">
        <references count="2">
          <reference field="10" count="1" selected="0">
            <x v="2"/>
          </reference>
          <reference field="11" count="1" selected="0" defaultSubtotal="1">
            <x v="3"/>
          </reference>
        </references>
      </pivotArea>
    </format>
    <format dxfId="8">
      <pivotArea dataOnly="0" labelOnly="1" outline="0" fieldPosition="0">
        <references count="2">
          <reference field="10" count="1" selected="0">
            <x v="2"/>
          </reference>
          <reference field="11" count="1" defaultSubtotal="1">
            <x v="3"/>
          </reference>
        </references>
      </pivotArea>
    </format>
    <format dxfId="7">
      <pivotArea dataOnly="0" outline="0" fieldPosition="0">
        <references count="1">
          <reference field="11" count="0" defaultSubtotal="1"/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10" count="1" selected="0" defaultSubtotal="1">
            <x v="2"/>
          </reference>
        </references>
      </pivotArea>
    </format>
    <format dxfId="4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3">
      <pivotArea outline="0" fieldPosition="0">
        <references count="1">
          <reference field="10" count="1" selected="0" defaultSubtotal="1">
            <x v="1"/>
          </reference>
        </references>
      </pivotArea>
    </format>
    <format dxfId="2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31" dT="2026-01-12T12:03:04.27" personId="{723C1004-FA66-4A58-B269-3DBBF43612D7}" id="{1CE98340-25AD-4DE2-811B-D447A16B175D}">
    <text>Check with GPR-27/11/77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esarkar.gujarat.gov.in/office.js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view="pageBreakPreview" zoomScale="115" zoomScaleSheetLayoutView="115" workbookViewId="0">
      <selection activeCell="F24" sqref="F24"/>
    </sheetView>
  </sheetViews>
  <sheetFormatPr defaultRowHeight="12.75"/>
  <cols>
    <col min="1" max="1" width="11.85546875" style="113" customWidth="1"/>
    <col min="2" max="2" width="14.140625" style="113" customWidth="1"/>
    <col min="3" max="3" width="14" style="113" customWidth="1"/>
    <col min="4" max="4" width="16.85546875" style="113" bestFit="1" customWidth="1"/>
    <col min="5" max="5" width="13.85546875" style="113" customWidth="1"/>
    <col min="6" max="10" width="11.85546875" style="113" customWidth="1"/>
    <col min="11" max="11" width="16.5703125" style="113" customWidth="1"/>
    <col min="12" max="256" width="9.140625" style="113"/>
    <col min="257" max="259" width="11.85546875" style="113" customWidth="1"/>
    <col min="260" max="260" width="16.85546875" style="113" bestFit="1" customWidth="1"/>
    <col min="261" max="266" width="11.85546875" style="113" customWidth="1"/>
    <col min="267" max="267" width="14.140625" style="113" customWidth="1"/>
    <col min="268" max="512" width="9.140625" style="113"/>
    <col min="513" max="515" width="11.85546875" style="113" customWidth="1"/>
    <col min="516" max="516" width="16.85546875" style="113" bestFit="1" customWidth="1"/>
    <col min="517" max="522" width="11.85546875" style="113" customWidth="1"/>
    <col min="523" max="523" width="14.140625" style="113" customWidth="1"/>
    <col min="524" max="768" width="9.140625" style="113"/>
    <col min="769" max="771" width="11.85546875" style="113" customWidth="1"/>
    <col min="772" max="772" width="16.85546875" style="113" bestFit="1" customWidth="1"/>
    <col min="773" max="778" width="11.85546875" style="113" customWidth="1"/>
    <col min="779" max="779" width="14.140625" style="113" customWidth="1"/>
    <col min="780" max="1024" width="9.140625" style="113"/>
    <col min="1025" max="1027" width="11.85546875" style="113" customWidth="1"/>
    <col min="1028" max="1028" width="16.85546875" style="113" bestFit="1" customWidth="1"/>
    <col min="1029" max="1034" width="11.85546875" style="113" customWidth="1"/>
    <col min="1035" max="1035" width="14.140625" style="113" customWidth="1"/>
    <col min="1036" max="1280" width="9.140625" style="113"/>
    <col min="1281" max="1283" width="11.85546875" style="113" customWidth="1"/>
    <col min="1284" max="1284" width="16.85546875" style="113" bestFit="1" customWidth="1"/>
    <col min="1285" max="1290" width="11.85546875" style="113" customWidth="1"/>
    <col min="1291" max="1291" width="14.140625" style="113" customWidth="1"/>
    <col min="1292" max="1536" width="9.140625" style="113"/>
    <col min="1537" max="1539" width="11.85546875" style="113" customWidth="1"/>
    <col min="1540" max="1540" width="16.85546875" style="113" bestFit="1" customWidth="1"/>
    <col min="1541" max="1546" width="11.85546875" style="113" customWidth="1"/>
    <col min="1547" max="1547" width="14.140625" style="113" customWidth="1"/>
    <col min="1548" max="1792" width="9.140625" style="113"/>
    <col min="1793" max="1795" width="11.85546875" style="113" customWidth="1"/>
    <col min="1796" max="1796" width="16.85546875" style="113" bestFit="1" customWidth="1"/>
    <col min="1797" max="1802" width="11.85546875" style="113" customWidth="1"/>
    <col min="1803" max="1803" width="14.140625" style="113" customWidth="1"/>
    <col min="1804" max="2048" width="9.140625" style="113"/>
    <col min="2049" max="2051" width="11.85546875" style="113" customWidth="1"/>
    <col min="2052" max="2052" width="16.85546875" style="113" bestFit="1" customWidth="1"/>
    <col min="2053" max="2058" width="11.85546875" style="113" customWidth="1"/>
    <col min="2059" max="2059" width="14.140625" style="113" customWidth="1"/>
    <col min="2060" max="2304" width="9.140625" style="113"/>
    <col min="2305" max="2307" width="11.85546875" style="113" customWidth="1"/>
    <col min="2308" max="2308" width="16.85546875" style="113" bestFit="1" customWidth="1"/>
    <col min="2309" max="2314" width="11.85546875" style="113" customWidth="1"/>
    <col min="2315" max="2315" width="14.140625" style="113" customWidth="1"/>
    <col min="2316" max="2560" width="9.140625" style="113"/>
    <col min="2561" max="2563" width="11.85546875" style="113" customWidth="1"/>
    <col min="2564" max="2564" width="16.85546875" style="113" bestFit="1" customWidth="1"/>
    <col min="2565" max="2570" width="11.85546875" style="113" customWidth="1"/>
    <col min="2571" max="2571" width="14.140625" style="113" customWidth="1"/>
    <col min="2572" max="2816" width="9.140625" style="113"/>
    <col min="2817" max="2819" width="11.85546875" style="113" customWidth="1"/>
    <col min="2820" max="2820" width="16.85546875" style="113" bestFit="1" customWidth="1"/>
    <col min="2821" max="2826" width="11.85546875" style="113" customWidth="1"/>
    <col min="2827" max="2827" width="14.140625" style="113" customWidth="1"/>
    <col min="2828" max="3072" width="9.140625" style="113"/>
    <col min="3073" max="3075" width="11.85546875" style="113" customWidth="1"/>
    <col min="3076" max="3076" width="16.85546875" style="113" bestFit="1" customWidth="1"/>
    <col min="3077" max="3082" width="11.85546875" style="113" customWidth="1"/>
    <col min="3083" max="3083" width="14.140625" style="113" customWidth="1"/>
    <col min="3084" max="3328" width="9.140625" style="113"/>
    <col min="3329" max="3331" width="11.85546875" style="113" customWidth="1"/>
    <col min="3332" max="3332" width="16.85546875" style="113" bestFit="1" customWidth="1"/>
    <col min="3333" max="3338" width="11.85546875" style="113" customWidth="1"/>
    <col min="3339" max="3339" width="14.140625" style="113" customWidth="1"/>
    <col min="3340" max="3584" width="9.140625" style="113"/>
    <col min="3585" max="3587" width="11.85546875" style="113" customWidth="1"/>
    <col min="3588" max="3588" width="16.85546875" style="113" bestFit="1" customWidth="1"/>
    <col min="3589" max="3594" width="11.85546875" style="113" customWidth="1"/>
    <col min="3595" max="3595" width="14.140625" style="113" customWidth="1"/>
    <col min="3596" max="3840" width="9.140625" style="113"/>
    <col min="3841" max="3843" width="11.85546875" style="113" customWidth="1"/>
    <col min="3844" max="3844" width="16.85546875" style="113" bestFit="1" customWidth="1"/>
    <col min="3845" max="3850" width="11.85546875" style="113" customWidth="1"/>
    <col min="3851" max="3851" width="14.140625" style="113" customWidth="1"/>
    <col min="3852" max="4096" width="9.140625" style="113"/>
    <col min="4097" max="4099" width="11.85546875" style="113" customWidth="1"/>
    <col min="4100" max="4100" width="16.85546875" style="113" bestFit="1" customWidth="1"/>
    <col min="4101" max="4106" width="11.85546875" style="113" customWidth="1"/>
    <col min="4107" max="4107" width="14.140625" style="113" customWidth="1"/>
    <col min="4108" max="4352" width="9.140625" style="113"/>
    <col min="4353" max="4355" width="11.85546875" style="113" customWidth="1"/>
    <col min="4356" max="4356" width="16.85546875" style="113" bestFit="1" customWidth="1"/>
    <col min="4357" max="4362" width="11.85546875" style="113" customWidth="1"/>
    <col min="4363" max="4363" width="14.140625" style="113" customWidth="1"/>
    <col min="4364" max="4608" width="9.140625" style="113"/>
    <col min="4609" max="4611" width="11.85546875" style="113" customWidth="1"/>
    <col min="4612" max="4612" width="16.85546875" style="113" bestFit="1" customWidth="1"/>
    <col min="4613" max="4618" width="11.85546875" style="113" customWidth="1"/>
    <col min="4619" max="4619" width="14.140625" style="113" customWidth="1"/>
    <col min="4620" max="4864" width="9.140625" style="113"/>
    <col min="4865" max="4867" width="11.85546875" style="113" customWidth="1"/>
    <col min="4868" max="4868" width="16.85546875" style="113" bestFit="1" customWidth="1"/>
    <col min="4869" max="4874" width="11.85546875" style="113" customWidth="1"/>
    <col min="4875" max="4875" width="14.140625" style="113" customWidth="1"/>
    <col min="4876" max="5120" width="9.140625" style="113"/>
    <col min="5121" max="5123" width="11.85546875" style="113" customWidth="1"/>
    <col min="5124" max="5124" width="16.85546875" style="113" bestFit="1" customWidth="1"/>
    <col min="5125" max="5130" width="11.85546875" style="113" customWidth="1"/>
    <col min="5131" max="5131" width="14.140625" style="113" customWidth="1"/>
    <col min="5132" max="5376" width="9.140625" style="113"/>
    <col min="5377" max="5379" width="11.85546875" style="113" customWidth="1"/>
    <col min="5380" max="5380" width="16.85546875" style="113" bestFit="1" customWidth="1"/>
    <col min="5381" max="5386" width="11.85546875" style="113" customWidth="1"/>
    <col min="5387" max="5387" width="14.140625" style="113" customWidth="1"/>
    <col min="5388" max="5632" width="9.140625" style="113"/>
    <col min="5633" max="5635" width="11.85546875" style="113" customWidth="1"/>
    <col min="5636" max="5636" width="16.85546875" style="113" bestFit="1" customWidth="1"/>
    <col min="5637" max="5642" width="11.85546875" style="113" customWidth="1"/>
    <col min="5643" max="5643" width="14.140625" style="113" customWidth="1"/>
    <col min="5644" max="5888" width="9.140625" style="113"/>
    <col min="5889" max="5891" width="11.85546875" style="113" customWidth="1"/>
    <col min="5892" max="5892" width="16.85546875" style="113" bestFit="1" customWidth="1"/>
    <col min="5893" max="5898" width="11.85546875" style="113" customWidth="1"/>
    <col min="5899" max="5899" width="14.140625" style="113" customWidth="1"/>
    <col min="5900" max="6144" width="9.140625" style="113"/>
    <col min="6145" max="6147" width="11.85546875" style="113" customWidth="1"/>
    <col min="6148" max="6148" width="16.85546875" style="113" bestFit="1" customWidth="1"/>
    <col min="6149" max="6154" width="11.85546875" style="113" customWidth="1"/>
    <col min="6155" max="6155" width="14.140625" style="113" customWidth="1"/>
    <col min="6156" max="6400" width="9.140625" style="113"/>
    <col min="6401" max="6403" width="11.85546875" style="113" customWidth="1"/>
    <col min="6404" max="6404" width="16.85546875" style="113" bestFit="1" customWidth="1"/>
    <col min="6405" max="6410" width="11.85546875" style="113" customWidth="1"/>
    <col min="6411" max="6411" width="14.140625" style="113" customWidth="1"/>
    <col min="6412" max="6656" width="9.140625" style="113"/>
    <col min="6657" max="6659" width="11.85546875" style="113" customWidth="1"/>
    <col min="6660" max="6660" width="16.85546875" style="113" bestFit="1" customWidth="1"/>
    <col min="6661" max="6666" width="11.85546875" style="113" customWidth="1"/>
    <col min="6667" max="6667" width="14.140625" style="113" customWidth="1"/>
    <col min="6668" max="6912" width="9.140625" style="113"/>
    <col min="6913" max="6915" width="11.85546875" style="113" customWidth="1"/>
    <col min="6916" max="6916" width="16.85546875" style="113" bestFit="1" customWidth="1"/>
    <col min="6917" max="6922" width="11.85546875" style="113" customWidth="1"/>
    <col min="6923" max="6923" width="14.140625" style="113" customWidth="1"/>
    <col min="6924" max="7168" width="9.140625" style="113"/>
    <col min="7169" max="7171" width="11.85546875" style="113" customWidth="1"/>
    <col min="7172" max="7172" width="16.85546875" style="113" bestFit="1" customWidth="1"/>
    <col min="7173" max="7178" width="11.85546875" style="113" customWidth="1"/>
    <col min="7179" max="7179" width="14.140625" style="113" customWidth="1"/>
    <col min="7180" max="7424" width="9.140625" style="113"/>
    <col min="7425" max="7427" width="11.85546875" style="113" customWidth="1"/>
    <col min="7428" max="7428" width="16.85546875" style="113" bestFit="1" customWidth="1"/>
    <col min="7429" max="7434" width="11.85546875" style="113" customWidth="1"/>
    <col min="7435" max="7435" width="14.140625" style="113" customWidth="1"/>
    <col min="7436" max="7680" width="9.140625" style="113"/>
    <col min="7681" max="7683" width="11.85546875" style="113" customWidth="1"/>
    <col min="7684" max="7684" width="16.85546875" style="113" bestFit="1" customWidth="1"/>
    <col min="7685" max="7690" width="11.85546875" style="113" customWidth="1"/>
    <col min="7691" max="7691" width="14.140625" style="113" customWidth="1"/>
    <col min="7692" max="7936" width="9.140625" style="113"/>
    <col min="7937" max="7939" width="11.85546875" style="113" customWidth="1"/>
    <col min="7940" max="7940" width="16.85546875" style="113" bestFit="1" customWidth="1"/>
    <col min="7941" max="7946" width="11.85546875" style="113" customWidth="1"/>
    <col min="7947" max="7947" width="14.140625" style="113" customWidth="1"/>
    <col min="7948" max="8192" width="9.140625" style="113"/>
    <col min="8193" max="8195" width="11.85546875" style="113" customWidth="1"/>
    <col min="8196" max="8196" width="16.85546875" style="113" bestFit="1" customWidth="1"/>
    <col min="8197" max="8202" width="11.85546875" style="113" customWidth="1"/>
    <col min="8203" max="8203" width="14.140625" style="113" customWidth="1"/>
    <col min="8204" max="8448" width="9.140625" style="113"/>
    <col min="8449" max="8451" width="11.85546875" style="113" customWidth="1"/>
    <col min="8452" max="8452" width="16.85546875" style="113" bestFit="1" customWidth="1"/>
    <col min="8453" max="8458" width="11.85546875" style="113" customWidth="1"/>
    <col min="8459" max="8459" width="14.140625" style="113" customWidth="1"/>
    <col min="8460" max="8704" width="9.140625" style="113"/>
    <col min="8705" max="8707" width="11.85546875" style="113" customWidth="1"/>
    <col min="8708" max="8708" width="16.85546875" style="113" bestFit="1" customWidth="1"/>
    <col min="8709" max="8714" width="11.85546875" style="113" customWidth="1"/>
    <col min="8715" max="8715" width="14.140625" style="113" customWidth="1"/>
    <col min="8716" max="8960" width="9.140625" style="113"/>
    <col min="8961" max="8963" width="11.85546875" style="113" customWidth="1"/>
    <col min="8964" max="8964" width="16.85546875" style="113" bestFit="1" customWidth="1"/>
    <col min="8965" max="8970" width="11.85546875" style="113" customWidth="1"/>
    <col min="8971" max="8971" width="14.140625" style="113" customWidth="1"/>
    <col min="8972" max="9216" width="9.140625" style="113"/>
    <col min="9217" max="9219" width="11.85546875" style="113" customWidth="1"/>
    <col min="9220" max="9220" width="16.85546875" style="113" bestFit="1" customWidth="1"/>
    <col min="9221" max="9226" width="11.85546875" style="113" customWidth="1"/>
    <col min="9227" max="9227" width="14.140625" style="113" customWidth="1"/>
    <col min="9228" max="9472" width="9.140625" style="113"/>
    <col min="9473" max="9475" width="11.85546875" style="113" customWidth="1"/>
    <col min="9476" max="9476" width="16.85546875" style="113" bestFit="1" customWidth="1"/>
    <col min="9477" max="9482" width="11.85546875" style="113" customWidth="1"/>
    <col min="9483" max="9483" width="14.140625" style="113" customWidth="1"/>
    <col min="9484" max="9728" width="9.140625" style="113"/>
    <col min="9729" max="9731" width="11.85546875" style="113" customWidth="1"/>
    <col min="9732" max="9732" width="16.85546875" style="113" bestFit="1" customWidth="1"/>
    <col min="9733" max="9738" width="11.85546875" style="113" customWidth="1"/>
    <col min="9739" max="9739" width="14.140625" style="113" customWidth="1"/>
    <col min="9740" max="9984" width="9.140625" style="113"/>
    <col min="9985" max="9987" width="11.85546875" style="113" customWidth="1"/>
    <col min="9988" max="9988" width="16.85546875" style="113" bestFit="1" customWidth="1"/>
    <col min="9989" max="9994" width="11.85546875" style="113" customWidth="1"/>
    <col min="9995" max="9995" width="14.140625" style="113" customWidth="1"/>
    <col min="9996" max="10240" width="9.140625" style="113"/>
    <col min="10241" max="10243" width="11.85546875" style="113" customWidth="1"/>
    <col min="10244" max="10244" width="16.85546875" style="113" bestFit="1" customWidth="1"/>
    <col min="10245" max="10250" width="11.85546875" style="113" customWidth="1"/>
    <col min="10251" max="10251" width="14.140625" style="113" customWidth="1"/>
    <col min="10252" max="10496" width="9.140625" style="113"/>
    <col min="10497" max="10499" width="11.85546875" style="113" customWidth="1"/>
    <col min="10500" max="10500" width="16.85546875" style="113" bestFit="1" customWidth="1"/>
    <col min="10501" max="10506" width="11.85546875" style="113" customWidth="1"/>
    <col min="10507" max="10507" width="14.140625" style="113" customWidth="1"/>
    <col min="10508" max="10752" width="9.140625" style="113"/>
    <col min="10753" max="10755" width="11.85546875" style="113" customWidth="1"/>
    <col min="10756" max="10756" width="16.85546875" style="113" bestFit="1" customWidth="1"/>
    <col min="10757" max="10762" width="11.85546875" style="113" customWidth="1"/>
    <col min="10763" max="10763" width="14.140625" style="113" customWidth="1"/>
    <col min="10764" max="11008" width="9.140625" style="113"/>
    <col min="11009" max="11011" width="11.85546875" style="113" customWidth="1"/>
    <col min="11012" max="11012" width="16.85546875" style="113" bestFit="1" customWidth="1"/>
    <col min="11013" max="11018" width="11.85546875" style="113" customWidth="1"/>
    <col min="11019" max="11019" width="14.140625" style="113" customWidth="1"/>
    <col min="11020" max="11264" width="9.140625" style="113"/>
    <col min="11265" max="11267" width="11.85546875" style="113" customWidth="1"/>
    <col min="11268" max="11268" width="16.85546875" style="113" bestFit="1" customWidth="1"/>
    <col min="11269" max="11274" width="11.85546875" style="113" customWidth="1"/>
    <col min="11275" max="11275" width="14.140625" style="113" customWidth="1"/>
    <col min="11276" max="11520" width="9.140625" style="113"/>
    <col min="11521" max="11523" width="11.85546875" style="113" customWidth="1"/>
    <col min="11524" max="11524" width="16.85546875" style="113" bestFit="1" customWidth="1"/>
    <col min="11525" max="11530" width="11.85546875" style="113" customWidth="1"/>
    <col min="11531" max="11531" width="14.140625" style="113" customWidth="1"/>
    <col min="11532" max="11776" width="9.140625" style="113"/>
    <col min="11777" max="11779" width="11.85546875" style="113" customWidth="1"/>
    <col min="11780" max="11780" width="16.85546875" style="113" bestFit="1" customWidth="1"/>
    <col min="11781" max="11786" width="11.85546875" style="113" customWidth="1"/>
    <col min="11787" max="11787" width="14.140625" style="113" customWidth="1"/>
    <col min="11788" max="12032" width="9.140625" style="113"/>
    <col min="12033" max="12035" width="11.85546875" style="113" customWidth="1"/>
    <col min="12036" max="12036" width="16.85546875" style="113" bestFit="1" customWidth="1"/>
    <col min="12037" max="12042" width="11.85546875" style="113" customWidth="1"/>
    <col min="12043" max="12043" width="14.140625" style="113" customWidth="1"/>
    <col min="12044" max="12288" width="9.140625" style="113"/>
    <col min="12289" max="12291" width="11.85546875" style="113" customWidth="1"/>
    <col min="12292" max="12292" width="16.85546875" style="113" bestFit="1" customWidth="1"/>
    <col min="12293" max="12298" width="11.85546875" style="113" customWidth="1"/>
    <col min="12299" max="12299" width="14.140625" style="113" customWidth="1"/>
    <col min="12300" max="12544" width="9.140625" style="113"/>
    <col min="12545" max="12547" width="11.85546875" style="113" customWidth="1"/>
    <col min="12548" max="12548" width="16.85546875" style="113" bestFit="1" customWidth="1"/>
    <col min="12549" max="12554" width="11.85546875" style="113" customWidth="1"/>
    <col min="12555" max="12555" width="14.140625" style="113" customWidth="1"/>
    <col min="12556" max="12800" width="9.140625" style="113"/>
    <col min="12801" max="12803" width="11.85546875" style="113" customWidth="1"/>
    <col min="12804" max="12804" width="16.85546875" style="113" bestFit="1" customWidth="1"/>
    <col min="12805" max="12810" width="11.85546875" style="113" customWidth="1"/>
    <col min="12811" max="12811" width="14.140625" style="113" customWidth="1"/>
    <col min="12812" max="13056" width="9.140625" style="113"/>
    <col min="13057" max="13059" width="11.85546875" style="113" customWidth="1"/>
    <col min="13060" max="13060" width="16.85546875" style="113" bestFit="1" customWidth="1"/>
    <col min="13061" max="13066" width="11.85546875" style="113" customWidth="1"/>
    <col min="13067" max="13067" width="14.140625" style="113" customWidth="1"/>
    <col min="13068" max="13312" width="9.140625" style="113"/>
    <col min="13313" max="13315" width="11.85546875" style="113" customWidth="1"/>
    <col min="13316" max="13316" width="16.85546875" style="113" bestFit="1" customWidth="1"/>
    <col min="13317" max="13322" width="11.85546875" style="113" customWidth="1"/>
    <col min="13323" max="13323" width="14.140625" style="113" customWidth="1"/>
    <col min="13324" max="13568" width="9.140625" style="113"/>
    <col min="13569" max="13571" width="11.85546875" style="113" customWidth="1"/>
    <col min="13572" max="13572" width="16.85546875" style="113" bestFit="1" customWidth="1"/>
    <col min="13573" max="13578" width="11.85546875" style="113" customWidth="1"/>
    <col min="13579" max="13579" width="14.140625" style="113" customWidth="1"/>
    <col min="13580" max="13824" width="9.140625" style="113"/>
    <col min="13825" max="13827" width="11.85546875" style="113" customWidth="1"/>
    <col min="13828" max="13828" width="16.85546875" style="113" bestFit="1" customWidth="1"/>
    <col min="13829" max="13834" width="11.85546875" style="113" customWidth="1"/>
    <col min="13835" max="13835" width="14.140625" style="113" customWidth="1"/>
    <col min="13836" max="14080" width="9.140625" style="113"/>
    <col min="14081" max="14083" width="11.85546875" style="113" customWidth="1"/>
    <col min="14084" max="14084" width="16.85546875" style="113" bestFit="1" customWidth="1"/>
    <col min="14085" max="14090" width="11.85546875" style="113" customWidth="1"/>
    <col min="14091" max="14091" width="14.140625" style="113" customWidth="1"/>
    <col min="14092" max="14336" width="9.140625" style="113"/>
    <col min="14337" max="14339" width="11.85546875" style="113" customWidth="1"/>
    <col min="14340" max="14340" width="16.85546875" style="113" bestFit="1" customWidth="1"/>
    <col min="14341" max="14346" width="11.85546875" style="113" customWidth="1"/>
    <col min="14347" max="14347" width="14.140625" style="113" customWidth="1"/>
    <col min="14348" max="14592" width="9.140625" style="113"/>
    <col min="14593" max="14595" width="11.85546875" style="113" customWidth="1"/>
    <col min="14596" max="14596" width="16.85546875" style="113" bestFit="1" customWidth="1"/>
    <col min="14597" max="14602" width="11.85546875" style="113" customWidth="1"/>
    <col min="14603" max="14603" width="14.140625" style="113" customWidth="1"/>
    <col min="14604" max="14848" width="9.140625" style="113"/>
    <col min="14849" max="14851" width="11.85546875" style="113" customWidth="1"/>
    <col min="14852" max="14852" width="16.85546875" style="113" bestFit="1" customWidth="1"/>
    <col min="14853" max="14858" width="11.85546875" style="113" customWidth="1"/>
    <col min="14859" max="14859" width="14.140625" style="113" customWidth="1"/>
    <col min="14860" max="15104" width="9.140625" style="113"/>
    <col min="15105" max="15107" width="11.85546875" style="113" customWidth="1"/>
    <col min="15108" max="15108" width="16.85546875" style="113" bestFit="1" customWidth="1"/>
    <col min="15109" max="15114" width="11.85546875" style="113" customWidth="1"/>
    <col min="15115" max="15115" width="14.140625" style="113" customWidth="1"/>
    <col min="15116" max="15360" width="9.140625" style="113"/>
    <col min="15361" max="15363" width="11.85546875" style="113" customWidth="1"/>
    <col min="15364" max="15364" width="16.85546875" style="113" bestFit="1" customWidth="1"/>
    <col min="15365" max="15370" width="11.85546875" style="113" customWidth="1"/>
    <col min="15371" max="15371" width="14.140625" style="113" customWidth="1"/>
    <col min="15372" max="15616" width="9.140625" style="113"/>
    <col min="15617" max="15619" width="11.85546875" style="113" customWidth="1"/>
    <col min="15620" max="15620" width="16.85546875" style="113" bestFit="1" customWidth="1"/>
    <col min="15621" max="15626" width="11.85546875" style="113" customWidth="1"/>
    <col min="15627" max="15627" width="14.140625" style="113" customWidth="1"/>
    <col min="15628" max="15872" width="9.140625" style="113"/>
    <col min="15873" max="15875" width="11.85546875" style="113" customWidth="1"/>
    <col min="15876" max="15876" width="16.85546875" style="113" bestFit="1" customWidth="1"/>
    <col min="15877" max="15882" width="11.85546875" style="113" customWidth="1"/>
    <col min="15883" max="15883" width="14.140625" style="113" customWidth="1"/>
    <col min="15884" max="16128" width="9.140625" style="113"/>
    <col min="16129" max="16131" width="11.85546875" style="113" customWidth="1"/>
    <col min="16132" max="16132" width="16.85546875" style="113" bestFit="1" customWidth="1"/>
    <col min="16133" max="16138" width="11.85546875" style="113" customWidth="1"/>
    <col min="16139" max="16139" width="14.140625" style="113" customWidth="1"/>
    <col min="16140" max="16384" width="9.140625" style="113"/>
  </cols>
  <sheetData>
    <row r="1" spans="1:11" ht="14.25">
      <c r="A1" s="994" t="s">
        <v>0</v>
      </c>
      <c r="B1" s="994"/>
      <c r="C1" s="994"/>
      <c r="D1" s="994"/>
      <c r="E1" s="994"/>
      <c r="F1" s="994"/>
      <c r="G1" s="994"/>
      <c r="H1" s="994"/>
      <c r="I1" s="994"/>
      <c r="J1" s="994"/>
      <c r="K1" s="994"/>
    </row>
    <row r="2" spans="1:11" ht="14.25">
      <c r="A2" s="994" t="s">
        <v>1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</row>
    <row r="3" spans="1:11" ht="14.25">
      <c r="A3" s="994" t="s">
        <v>2</v>
      </c>
      <c r="B3" s="994"/>
      <c r="C3" s="994"/>
      <c r="D3" s="994"/>
      <c r="E3" s="994"/>
      <c r="F3" s="994"/>
      <c r="G3" s="994"/>
      <c r="H3" s="994"/>
      <c r="I3" s="994"/>
      <c r="J3" s="994"/>
      <c r="K3" s="994"/>
    </row>
    <row r="4" spans="1:11" ht="18">
      <c r="A4" s="986" t="s">
        <v>3</v>
      </c>
      <c r="B4" s="986"/>
      <c r="C4" s="986"/>
      <c r="D4" s="986"/>
      <c r="E4" s="986"/>
      <c r="F4" s="986"/>
      <c r="G4" s="995" t="s">
        <v>4</v>
      </c>
      <c r="H4" s="995"/>
      <c r="I4" s="995"/>
      <c r="J4" s="995"/>
      <c r="K4" s="995"/>
    </row>
    <row r="5" spans="1:11" ht="14.25">
      <c r="A5" s="986" t="s">
        <v>5</v>
      </c>
      <c r="B5" s="986"/>
      <c r="C5" s="752" t="s">
        <v>6</v>
      </c>
      <c r="E5" s="752" t="s">
        <v>7</v>
      </c>
      <c r="F5" s="986">
        <v>9909920670</v>
      </c>
      <c r="G5" s="986"/>
      <c r="H5" s="114"/>
      <c r="I5" s="114"/>
      <c r="J5" s="114"/>
      <c r="K5" s="114"/>
    </row>
    <row r="6" spans="1:11" ht="14.25">
      <c r="A6" s="115"/>
      <c r="B6" s="115"/>
      <c r="C6" s="115"/>
      <c r="D6" s="115"/>
      <c r="E6" s="115"/>
      <c r="F6" s="115"/>
      <c r="H6" s="121"/>
      <c r="J6" s="122" t="s">
        <v>8</v>
      </c>
      <c r="K6" s="123">
        <f>K9</f>
        <v>178817913</v>
      </c>
    </row>
    <row r="7" spans="1:11" ht="30" customHeight="1">
      <c r="A7" s="987" t="s">
        <v>9</v>
      </c>
      <c r="B7" s="989" t="s">
        <v>10</v>
      </c>
      <c r="C7" s="990"/>
      <c r="D7" s="991" t="s">
        <v>11</v>
      </c>
      <c r="E7" s="987" t="s">
        <v>12</v>
      </c>
      <c r="F7" s="988" t="s">
        <v>13</v>
      </c>
      <c r="G7" s="988"/>
      <c r="H7" s="991" t="s">
        <v>14</v>
      </c>
      <c r="I7" s="987" t="s">
        <v>15</v>
      </c>
      <c r="J7" s="991" t="s">
        <v>16</v>
      </c>
      <c r="K7" s="991" t="s">
        <v>17</v>
      </c>
    </row>
    <row r="8" spans="1:11" ht="38.25">
      <c r="A8" s="988"/>
      <c r="B8" s="753" t="s">
        <v>18</v>
      </c>
      <c r="C8" s="753" t="s">
        <v>19</v>
      </c>
      <c r="D8" s="992"/>
      <c r="E8" s="987"/>
      <c r="F8" s="753" t="s">
        <v>18</v>
      </c>
      <c r="G8" s="753" t="s">
        <v>19</v>
      </c>
      <c r="H8" s="992"/>
      <c r="I8" s="987"/>
      <c r="J8" s="992"/>
      <c r="K8" s="992"/>
    </row>
    <row r="9" spans="1:11" ht="41.25" customHeight="1">
      <c r="A9" s="116" t="s">
        <v>20</v>
      </c>
      <c r="B9" s="120">
        <v>12543000</v>
      </c>
      <c r="C9" s="120">
        <v>55479500</v>
      </c>
      <c r="D9" s="120">
        <f>B9+C9</f>
        <v>68022500</v>
      </c>
      <c r="E9" s="120">
        <f>'Statement 2 (IT Equipment)-U.G'!F24</f>
        <v>73110000</v>
      </c>
      <c r="F9" s="120">
        <f>'Statement 3 (Furniture)-U.G'!E24</f>
        <v>2385500</v>
      </c>
      <c r="G9" s="120">
        <f>'Statement 3 (Furniture)-U.G'!E45</f>
        <v>30394500</v>
      </c>
      <c r="H9" s="120">
        <f>F9+G9</f>
        <v>32780000</v>
      </c>
      <c r="I9" s="120">
        <v>2179813</v>
      </c>
      <c r="J9" s="120">
        <f>'Statement 5 Maintanance-UG'!E61</f>
        <v>2725600</v>
      </c>
      <c r="K9" s="120">
        <f>D9+E9+H9+I9+J9</f>
        <v>178817913</v>
      </c>
    </row>
    <row r="13" spans="1:11" ht="28.5">
      <c r="H13" s="117" t="s">
        <v>21</v>
      </c>
      <c r="I13" s="118"/>
      <c r="J13" s="993" t="s">
        <v>22</v>
      </c>
      <c r="K13" s="993"/>
    </row>
    <row r="14" spans="1:11">
      <c r="A14" s="985" t="s">
        <v>23</v>
      </c>
      <c r="B14" s="985"/>
      <c r="C14" s="985"/>
      <c r="D14" s="985"/>
      <c r="E14" s="985"/>
      <c r="F14" s="985"/>
      <c r="G14" s="985"/>
      <c r="H14" s="985"/>
      <c r="I14" s="985"/>
      <c r="J14" s="985"/>
      <c r="K14" s="985"/>
    </row>
  </sheetData>
  <mergeCells count="18">
    <mergeCell ref="A1:K1"/>
    <mergeCell ref="A2:K2"/>
    <mergeCell ref="A3:K3"/>
    <mergeCell ref="A4:F4"/>
    <mergeCell ref="G4:K4"/>
    <mergeCell ref="A14:K14"/>
    <mergeCell ref="F5:G5"/>
    <mergeCell ref="A7:A8"/>
    <mergeCell ref="B7:C7"/>
    <mergeCell ref="D7:D8"/>
    <mergeCell ref="E7:E8"/>
    <mergeCell ref="F7:G7"/>
    <mergeCell ref="H7:H8"/>
    <mergeCell ref="I7:I8"/>
    <mergeCell ref="J7:J8"/>
    <mergeCell ref="K7:K8"/>
    <mergeCell ref="A5:B5"/>
    <mergeCell ref="J13:K13"/>
  </mergeCells>
  <printOptions horizontalCentered="1"/>
  <pageMargins left="0.23622047244094491" right="0.19685039370078741" top="1.0236220472440944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FA8-90E9-4D2B-8E6E-679BA187E391}">
  <dimension ref="A1:O33"/>
  <sheetViews>
    <sheetView view="pageBreakPreview" topLeftCell="A4" zoomScale="115" zoomScaleNormal="100" zoomScaleSheetLayoutView="115" workbookViewId="0">
      <selection activeCell="J19" activeCellId="1" sqref="G22 J19"/>
    </sheetView>
  </sheetViews>
  <sheetFormatPr defaultRowHeight="12.75"/>
  <cols>
    <col min="1" max="1" width="30.140625" style="164" bestFit="1" customWidth="1"/>
    <col min="2" max="2" width="17.5703125" style="164" customWidth="1"/>
    <col min="3" max="3" width="24.85546875" style="164" customWidth="1"/>
    <col min="4" max="4" width="21.42578125" style="164" customWidth="1"/>
    <col min="5" max="5" width="18.5703125" style="164" customWidth="1"/>
    <col min="6" max="6" width="2.7109375" style="164" customWidth="1"/>
    <col min="7" max="7" width="25.5703125" style="164" customWidth="1"/>
    <col min="8" max="8" width="15.5703125" style="164" customWidth="1"/>
    <col min="9" max="9" width="16.7109375" style="328" bestFit="1" customWidth="1"/>
    <col min="10" max="10" width="16.140625" style="164" bestFit="1" customWidth="1"/>
    <col min="11" max="11" width="15.5703125" style="164" customWidth="1"/>
    <col min="12" max="12" width="18.28515625" style="164" customWidth="1"/>
    <col min="13" max="13" width="14.140625" style="164" customWidth="1"/>
    <col min="14" max="15" width="9.5703125" style="164" bestFit="1" customWidth="1"/>
    <col min="16" max="16384" width="9.140625" style="164"/>
  </cols>
  <sheetData>
    <row r="1" spans="1:15" ht="49.5" customHeight="1">
      <c r="A1" s="996" t="s">
        <v>24</v>
      </c>
      <c r="B1" s="996"/>
      <c r="C1" s="996"/>
      <c r="D1" s="996"/>
      <c r="E1" s="996"/>
      <c r="F1" s="996"/>
      <c r="G1" s="996"/>
      <c r="H1" s="996"/>
      <c r="I1" s="996"/>
      <c r="J1" s="996"/>
      <c r="K1" s="996"/>
      <c r="L1" s="996"/>
    </row>
    <row r="2" spans="1:15" s="165" customFormat="1" ht="24.95" customHeight="1">
      <c r="A2" s="335" t="s">
        <v>25</v>
      </c>
      <c r="B2" s="336" t="s">
        <v>26</v>
      </c>
      <c r="C2" s="336" t="s">
        <v>27</v>
      </c>
      <c r="D2" s="336" t="s">
        <v>28</v>
      </c>
      <c r="E2" s="337" t="s">
        <v>29</v>
      </c>
      <c r="F2" s="338"/>
      <c r="G2" s="339" t="s">
        <v>30</v>
      </c>
      <c r="H2" s="339" t="s">
        <v>31</v>
      </c>
      <c r="I2" s="339" t="s">
        <v>32</v>
      </c>
      <c r="J2" s="339" t="s">
        <v>33</v>
      </c>
      <c r="K2" s="339" t="s">
        <v>34</v>
      </c>
      <c r="L2" s="339" t="s">
        <v>35</v>
      </c>
    </row>
    <row r="3" spans="1:15" ht="24.95" customHeight="1">
      <c r="A3" s="353" t="s">
        <v>36</v>
      </c>
      <c r="B3" s="354">
        <v>2097000</v>
      </c>
      <c r="C3" s="354">
        <v>0</v>
      </c>
      <c r="D3" s="354">
        <f t="shared" ref="D3:D20" si="0">B3+C3</f>
        <v>2097000</v>
      </c>
      <c r="E3" s="354">
        <f>600000+-600000+2000000</f>
        <v>2000000</v>
      </c>
      <c r="F3" s="355"/>
      <c r="G3" s="354">
        <f>87000+80000</f>
        <v>167000</v>
      </c>
      <c r="H3" s="354">
        <v>18079</v>
      </c>
      <c r="I3" s="356"/>
      <c r="J3" s="354"/>
      <c r="K3" s="354"/>
      <c r="L3" s="360">
        <f>9899+3000+1980</f>
        <v>14879</v>
      </c>
    </row>
    <row r="4" spans="1:15" ht="24.95" customHeight="1">
      <c r="A4" s="353" t="s">
        <v>37</v>
      </c>
      <c r="B4" s="354">
        <v>884500</v>
      </c>
      <c r="C4" s="354">
        <v>0</v>
      </c>
      <c r="D4" s="354">
        <f t="shared" si="0"/>
        <v>884500</v>
      </c>
      <c r="E4" s="354">
        <v>400000</v>
      </c>
      <c r="F4" s="355"/>
      <c r="G4" s="354">
        <f>515000+150000</f>
        <v>665000</v>
      </c>
      <c r="H4" s="354">
        <v>0</v>
      </c>
      <c r="I4" s="356"/>
      <c r="J4" s="354"/>
      <c r="K4" s="354"/>
      <c r="L4" s="360"/>
    </row>
    <row r="5" spans="1:15" ht="24.95" customHeight="1">
      <c r="A5" s="353" t="s">
        <v>38</v>
      </c>
      <c r="B5" s="354">
        <v>1220000</v>
      </c>
      <c r="C5" s="354">
        <v>0</v>
      </c>
      <c r="D5" s="354">
        <f t="shared" si="0"/>
        <v>1220000</v>
      </c>
      <c r="E5" s="354">
        <f>1200000+1000000</f>
        <v>2200000</v>
      </c>
      <c r="F5" s="355"/>
      <c r="G5" s="354">
        <v>3000000</v>
      </c>
      <c r="H5" s="354">
        <f>48300+58587+58410</f>
        <v>165297</v>
      </c>
      <c r="I5" s="358"/>
      <c r="J5" s="354"/>
      <c r="K5" s="354"/>
      <c r="L5" s="360">
        <f>58587+58410</f>
        <v>116997</v>
      </c>
    </row>
    <row r="6" spans="1:15" ht="24.95" customHeight="1">
      <c r="A6" s="353" t="s">
        <v>39</v>
      </c>
      <c r="B6" s="354">
        <v>1409000</v>
      </c>
      <c r="C6" s="354">
        <v>4700000</v>
      </c>
      <c r="D6" s="354">
        <f t="shared" si="0"/>
        <v>6109000</v>
      </c>
      <c r="E6" s="354">
        <f>6100000+400000</f>
        <v>6500000</v>
      </c>
      <c r="F6" s="355"/>
      <c r="G6" s="354">
        <v>9159000</v>
      </c>
      <c r="H6" s="354">
        <v>21776</v>
      </c>
      <c r="I6" s="356">
        <v>3020190</v>
      </c>
      <c r="J6" s="354"/>
      <c r="K6" s="354"/>
      <c r="L6" s="360">
        <v>21200</v>
      </c>
    </row>
    <row r="7" spans="1:15" ht="24.95" customHeight="1">
      <c r="A7" s="353" t="s">
        <v>40</v>
      </c>
      <c r="B7" s="354">
        <v>2399000</v>
      </c>
      <c r="C7" s="354">
        <v>0</v>
      </c>
      <c r="D7" s="354">
        <f t="shared" si="0"/>
        <v>2399000</v>
      </c>
      <c r="E7" s="354">
        <v>1135000</v>
      </c>
      <c r="F7" s="355"/>
      <c r="G7" s="354">
        <f>535000+600000</f>
        <v>1135000</v>
      </c>
      <c r="H7" s="354">
        <v>0</v>
      </c>
      <c r="I7" s="356"/>
      <c r="J7" s="359">
        <v>1687484</v>
      </c>
      <c r="K7" s="354"/>
      <c r="L7" s="360"/>
    </row>
    <row r="8" spans="1:15" ht="24.95" customHeight="1">
      <c r="A8" s="353" t="s">
        <v>41</v>
      </c>
      <c r="B8" s="354">
        <v>1295000</v>
      </c>
      <c r="C8" s="354">
        <v>0</v>
      </c>
      <c r="D8" s="354">
        <f t="shared" si="0"/>
        <v>1295000</v>
      </c>
      <c r="E8" s="354">
        <v>0</v>
      </c>
      <c r="F8" s="355"/>
      <c r="G8" s="354">
        <v>0</v>
      </c>
      <c r="H8" s="354">
        <v>0</v>
      </c>
      <c r="I8" s="356"/>
      <c r="J8" s="354"/>
      <c r="K8" s="354"/>
      <c r="L8" s="360"/>
    </row>
    <row r="9" spans="1:15" ht="24.95" customHeight="1">
      <c r="A9" s="353" t="s">
        <v>42</v>
      </c>
      <c r="B9" s="354">
        <f>2635000+4180000</f>
        <v>6815000</v>
      </c>
      <c r="C9" s="354">
        <v>0</v>
      </c>
      <c r="D9" s="354">
        <f t="shared" si="0"/>
        <v>6815000</v>
      </c>
      <c r="E9" s="354">
        <f>2600000+2600000</f>
        <v>5200000</v>
      </c>
      <c r="F9" s="355"/>
      <c r="G9" s="354">
        <f>521000+20000+20000+15000+22000</f>
        <v>598000</v>
      </c>
      <c r="H9" s="354">
        <f>24800+7000+16000+15000</f>
        <v>62800</v>
      </c>
      <c r="I9" s="356">
        <v>81000</v>
      </c>
      <c r="J9" s="354"/>
      <c r="K9" s="354"/>
      <c r="L9" s="360">
        <f>24800+15000+7000+16000</f>
        <v>62800</v>
      </c>
    </row>
    <row r="10" spans="1:15" ht="24.95" customHeight="1">
      <c r="A10" s="353" t="s">
        <v>43</v>
      </c>
      <c r="B10" s="354">
        <v>0</v>
      </c>
      <c r="C10" s="354">
        <v>0</v>
      </c>
      <c r="D10" s="354">
        <v>0</v>
      </c>
      <c r="E10" s="354">
        <v>3500000</v>
      </c>
      <c r="F10" s="355"/>
      <c r="G10" s="354">
        <v>3500000</v>
      </c>
      <c r="H10" s="354">
        <v>0</v>
      </c>
      <c r="I10" s="356"/>
      <c r="J10" s="354">
        <v>5242500</v>
      </c>
      <c r="K10" s="354"/>
      <c r="L10" s="360"/>
    </row>
    <row r="11" spans="1:15" ht="24.95" customHeight="1">
      <c r="A11" s="353" t="s">
        <v>44</v>
      </c>
      <c r="B11" s="354">
        <v>2081000</v>
      </c>
      <c r="C11" s="354">
        <v>675000</v>
      </c>
      <c r="D11" s="354">
        <f t="shared" si="0"/>
        <v>2756000</v>
      </c>
      <c r="E11" s="354">
        <f>2000000+1500000</f>
        <v>3500000</v>
      </c>
      <c r="F11" s="355"/>
      <c r="G11" s="354">
        <f>2581000+350000</f>
        <v>2931000</v>
      </c>
      <c r="H11" s="354">
        <f>5754+22001</f>
        <v>27755</v>
      </c>
      <c r="I11" s="356"/>
      <c r="J11" s="354"/>
      <c r="K11" s="354"/>
      <c r="L11" s="360">
        <f>5754+21891</f>
        <v>27645</v>
      </c>
    </row>
    <row r="12" spans="1:15" ht="24.95" customHeight="1">
      <c r="A12" s="353" t="s">
        <v>45</v>
      </c>
      <c r="B12" s="354">
        <v>0</v>
      </c>
      <c r="C12" s="354">
        <v>0</v>
      </c>
      <c r="D12" s="354">
        <f t="shared" si="0"/>
        <v>0</v>
      </c>
      <c r="E12" s="354">
        <v>9000000</v>
      </c>
      <c r="F12" s="355"/>
      <c r="G12" s="354">
        <v>5034950</v>
      </c>
      <c r="H12" s="354">
        <v>0</v>
      </c>
      <c r="I12" s="356">
        <v>269000</v>
      </c>
      <c r="J12" s="354"/>
      <c r="K12" s="354"/>
      <c r="L12" s="360"/>
    </row>
    <row r="13" spans="1:15" ht="24.95" customHeight="1">
      <c r="A13" s="353" t="s">
        <v>46</v>
      </c>
      <c r="B13" s="354">
        <v>150000</v>
      </c>
      <c r="C13" s="354">
        <v>0</v>
      </c>
      <c r="D13" s="354">
        <f t="shared" si="0"/>
        <v>150000</v>
      </c>
      <c r="E13" s="354">
        <v>0</v>
      </c>
      <c r="F13" s="355"/>
      <c r="G13" s="354">
        <v>0</v>
      </c>
      <c r="H13" s="354">
        <v>0</v>
      </c>
      <c r="I13" s="356"/>
      <c r="J13" s="354"/>
      <c r="K13" s="354"/>
      <c r="L13" s="360"/>
    </row>
    <row r="14" spans="1:15" ht="24.95" customHeight="1">
      <c r="A14" s="353" t="s">
        <v>47</v>
      </c>
      <c r="B14" s="354">
        <v>520000</v>
      </c>
      <c r="C14" s="354">
        <v>0</v>
      </c>
      <c r="D14" s="354">
        <f t="shared" si="0"/>
        <v>520000</v>
      </c>
      <c r="E14" s="354">
        <v>0</v>
      </c>
      <c r="F14" s="355"/>
      <c r="G14" s="354">
        <v>520000</v>
      </c>
      <c r="H14" s="354">
        <v>0</v>
      </c>
      <c r="I14" s="356"/>
      <c r="J14" s="354"/>
      <c r="K14" s="354"/>
      <c r="L14" s="360"/>
    </row>
    <row r="15" spans="1:15" ht="24.95" customHeight="1">
      <c r="A15" s="353" t="s">
        <v>48</v>
      </c>
      <c r="B15" s="354">
        <v>8130000</v>
      </c>
      <c r="C15" s="354">
        <v>1050000</v>
      </c>
      <c r="D15" s="354">
        <f t="shared" si="0"/>
        <v>9180000</v>
      </c>
      <c r="E15" s="354">
        <f>5000000-3200000</f>
        <v>1800000</v>
      </c>
      <c r="F15" s="355"/>
      <c r="G15" s="354">
        <v>2080000</v>
      </c>
      <c r="H15" s="354">
        <v>0</v>
      </c>
      <c r="I15" s="356">
        <v>64400</v>
      </c>
      <c r="J15" s="354"/>
      <c r="K15" s="354"/>
      <c r="L15" s="360"/>
    </row>
    <row r="16" spans="1:15" ht="24.95" customHeight="1">
      <c r="A16" s="353" t="s">
        <v>49</v>
      </c>
      <c r="B16" s="354">
        <v>225000</v>
      </c>
      <c r="C16" s="354">
        <v>0</v>
      </c>
      <c r="D16" s="354">
        <f t="shared" si="0"/>
        <v>225000</v>
      </c>
      <c r="E16" s="354">
        <v>7500000</v>
      </c>
      <c r="F16" s="355"/>
      <c r="G16" s="354">
        <v>0</v>
      </c>
      <c r="H16" s="354">
        <v>0</v>
      </c>
      <c r="I16" s="356"/>
      <c r="J16" s="354"/>
      <c r="K16" s="354"/>
      <c r="L16" s="360"/>
      <c r="O16" s="293"/>
    </row>
    <row r="17" spans="1:12" ht="24.95" customHeight="1">
      <c r="A17" s="353" t="s">
        <v>50</v>
      </c>
      <c r="B17" s="354">
        <v>1110000</v>
      </c>
      <c r="C17" s="354">
        <v>0</v>
      </c>
      <c r="D17" s="354">
        <f t="shared" si="0"/>
        <v>1110000</v>
      </c>
      <c r="E17" s="354">
        <v>600000</v>
      </c>
      <c r="F17" s="355"/>
      <c r="G17" s="354">
        <v>560000</v>
      </c>
      <c r="H17" s="354">
        <v>0</v>
      </c>
      <c r="I17" s="356">
        <v>189000</v>
      </c>
      <c r="J17" s="354"/>
      <c r="K17" s="354">
        <v>39900</v>
      </c>
      <c r="L17" s="360"/>
    </row>
    <row r="18" spans="1:12" ht="24.95" customHeight="1">
      <c r="A18" s="353" t="s">
        <v>51</v>
      </c>
      <c r="B18" s="354">
        <v>0</v>
      </c>
      <c r="C18" s="354">
        <v>0</v>
      </c>
      <c r="D18" s="354">
        <v>0</v>
      </c>
      <c r="E18" s="354">
        <v>0</v>
      </c>
      <c r="F18" s="355"/>
      <c r="G18" s="354">
        <f>23225+2289500+310000+90000</f>
        <v>2712725</v>
      </c>
      <c r="H18" s="354">
        <f>22224+1000</f>
        <v>23224</v>
      </c>
      <c r="I18" s="356"/>
      <c r="J18" s="354"/>
      <c r="K18" s="354"/>
      <c r="L18" s="360">
        <v>990</v>
      </c>
    </row>
    <row r="19" spans="1:12" ht="24.95" customHeight="1">
      <c r="A19" s="353" t="s">
        <v>52</v>
      </c>
      <c r="B19" s="354">
        <v>15222000</v>
      </c>
      <c r="C19" s="354">
        <v>415000</v>
      </c>
      <c r="D19" s="354">
        <f t="shared" si="0"/>
        <v>15637000</v>
      </c>
      <c r="E19" s="354">
        <v>15637000</v>
      </c>
      <c r="F19" s="355"/>
      <c r="G19" s="354">
        <f>1436700+111000+25000</f>
        <v>1572700</v>
      </c>
      <c r="H19" s="354">
        <f>99200+864480+94636+15000</f>
        <v>1073316</v>
      </c>
      <c r="I19" s="358"/>
      <c r="J19" s="354">
        <f>B28+B29</f>
        <v>2425009</v>
      </c>
      <c r="K19" s="354"/>
      <c r="L19" s="360">
        <f>9850+24875+15000</f>
        <v>49725</v>
      </c>
    </row>
    <row r="20" spans="1:12" ht="24.95" customHeight="1">
      <c r="A20" s="353" t="s">
        <v>53</v>
      </c>
      <c r="B20" s="354">
        <v>24985000</v>
      </c>
      <c r="C20" s="354">
        <v>3870000</v>
      </c>
      <c r="D20" s="354">
        <f t="shared" si="0"/>
        <v>28855000</v>
      </c>
      <c r="E20" s="354">
        <v>3350000</v>
      </c>
      <c r="F20" s="355"/>
      <c r="G20" s="354">
        <v>3350000</v>
      </c>
      <c r="H20" s="354">
        <v>0</v>
      </c>
      <c r="I20" s="358"/>
      <c r="J20" s="354">
        <v>3075300</v>
      </c>
      <c r="K20" s="354"/>
      <c r="L20" s="357"/>
    </row>
    <row r="21" spans="1:12" ht="24.95" customHeight="1">
      <c r="A21" s="353" t="s">
        <v>54</v>
      </c>
      <c r="B21" s="354"/>
      <c r="C21" s="354"/>
      <c r="D21" s="354"/>
      <c r="E21" s="354"/>
      <c r="F21" s="355"/>
      <c r="G21" s="354"/>
      <c r="H21" s="354"/>
      <c r="I21" s="358">
        <v>235950</v>
      </c>
      <c r="J21" s="354">
        <v>6479737</v>
      </c>
      <c r="K21" s="354"/>
      <c r="L21" s="357"/>
    </row>
    <row r="22" spans="1:12" ht="45.75" customHeight="1">
      <c r="A22" s="340" t="s">
        <v>17</v>
      </c>
      <c r="B22" s="341">
        <f>SUM(B3:B20)</f>
        <v>68542500</v>
      </c>
      <c r="C22" s="341">
        <f>SUM(C3:C20)</f>
        <v>10710000</v>
      </c>
      <c r="D22" s="341">
        <f t="shared" ref="D22" si="1">B22+C22</f>
        <v>79252500</v>
      </c>
      <c r="E22" s="341">
        <f>SUM(E3:E20)</f>
        <v>62322000</v>
      </c>
      <c r="F22" s="342"/>
      <c r="G22" s="341">
        <f t="shared" ref="G22:L22" si="2">SUM(G3:G20)</f>
        <v>36985375</v>
      </c>
      <c r="H22" s="341">
        <f t="shared" si="2"/>
        <v>1392247</v>
      </c>
      <c r="I22" s="343">
        <f>SUM(I3:I21)</f>
        <v>3859540</v>
      </c>
      <c r="J22" s="341">
        <f>SUM(J3:J21)</f>
        <v>18910030</v>
      </c>
      <c r="K22" s="341">
        <f t="shared" si="2"/>
        <v>39900</v>
      </c>
      <c r="L22" s="341">
        <f t="shared" si="2"/>
        <v>294236</v>
      </c>
    </row>
    <row r="23" spans="1:12" s="166" customFormat="1" ht="36" customHeight="1">
      <c r="F23" s="348"/>
      <c r="I23" s="329"/>
    </row>
    <row r="24" spans="1:12" ht="24.75" customHeight="1">
      <c r="C24" s="307"/>
      <c r="D24" s="307"/>
      <c r="F24" s="287"/>
      <c r="G24" s="293"/>
      <c r="H24" s="293"/>
      <c r="I24" s="293"/>
      <c r="J24" s="293"/>
      <c r="K24" s="293"/>
      <c r="L24" s="293"/>
    </row>
    <row r="25" spans="1:12" s="306" customFormat="1" ht="24.95" customHeight="1">
      <c r="A25" s="997" t="s">
        <v>55</v>
      </c>
      <c r="B25" s="997"/>
      <c r="C25" s="997"/>
      <c r="D25" s="997"/>
      <c r="F25" s="349"/>
      <c r="G25" s="997" t="s">
        <v>56</v>
      </c>
      <c r="H25" s="997"/>
      <c r="I25" s="330"/>
    </row>
    <row r="26" spans="1:12" ht="15.75" customHeight="1">
      <c r="A26" s="344" t="s">
        <v>57</v>
      </c>
      <c r="B26" s="310" t="s">
        <v>58</v>
      </c>
      <c r="C26" s="310" t="s">
        <v>59</v>
      </c>
      <c r="D26" s="344" t="s">
        <v>25</v>
      </c>
      <c r="F26" s="350"/>
      <c r="G26" s="309" t="s">
        <v>60</v>
      </c>
      <c r="H26" s="310" t="s">
        <v>58</v>
      </c>
      <c r="I26" s="331"/>
    </row>
    <row r="27" spans="1:12" ht="24.95" customHeight="1">
      <c r="A27" s="308" t="s">
        <v>61</v>
      </c>
      <c r="B27" s="332">
        <v>3075300</v>
      </c>
      <c r="C27" s="345" t="s">
        <v>62</v>
      </c>
      <c r="D27" s="308" t="s">
        <v>63</v>
      </c>
      <c r="F27" s="351"/>
      <c r="G27" s="306" t="s">
        <v>64</v>
      </c>
      <c r="H27" s="167">
        <v>2345000</v>
      </c>
    </row>
    <row r="28" spans="1:12" ht="24.95" customHeight="1">
      <c r="A28" s="308" t="s">
        <v>65</v>
      </c>
      <c r="B28" s="332">
        <v>1189220</v>
      </c>
      <c r="C28" s="345" t="s">
        <v>66</v>
      </c>
      <c r="D28" s="308" t="s">
        <v>52</v>
      </c>
      <c r="F28" s="352"/>
      <c r="G28" s="306" t="s">
        <v>67</v>
      </c>
      <c r="H28" s="332">
        <v>164880</v>
      </c>
      <c r="J28" s="164">
        <v>123960</v>
      </c>
      <c r="K28" s="164">
        <f>J28*3/100</f>
        <v>3718.8</v>
      </c>
    </row>
    <row r="29" spans="1:12" ht="24.95" customHeight="1">
      <c r="A29" s="306" t="s">
        <v>68</v>
      </c>
      <c r="B29" s="332">
        <v>1235789</v>
      </c>
      <c r="C29" s="345" t="s">
        <v>66</v>
      </c>
      <c r="D29" s="308" t="s">
        <v>69</v>
      </c>
      <c r="F29" s="287"/>
      <c r="G29" s="308" t="s">
        <v>70</v>
      </c>
      <c r="H29" s="167">
        <v>9908765</v>
      </c>
      <c r="J29" s="164">
        <v>130164</v>
      </c>
      <c r="K29" s="164">
        <f>J29*3/100</f>
        <v>3904.92</v>
      </c>
    </row>
    <row r="30" spans="1:12" ht="24.95" customHeight="1">
      <c r="A30" s="306" t="s">
        <v>71</v>
      </c>
      <c r="B30" s="332">
        <v>1687484</v>
      </c>
      <c r="C30" s="346" t="s">
        <v>72</v>
      </c>
      <c r="D30" s="164" t="s">
        <v>73</v>
      </c>
      <c r="F30" s="287"/>
      <c r="G30" s="306" t="s">
        <v>74</v>
      </c>
      <c r="H30" s="167">
        <v>4565977</v>
      </c>
    </row>
    <row r="31" spans="1:12" ht="24.95" customHeight="1">
      <c r="A31" s="306" t="s">
        <v>75</v>
      </c>
      <c r="B31" s="332">
        <v>6479737</v>
      </c>
      <c r="C31" s="346" t="s">
        <v>76</v>
      </c>
      <c r="D31" s="164" t="s">
        <v>54</v>
      </c>
      <c r="F31" s="287"/>
      <c r="G31" s="306"/>
      <c r="H31" s="311">
        <f>SUM(H27:H30)</f>
        <v>16984622</v>
      </c>
    </row>
    <row r="32" spans="1:12" ht="24.95" customHeight="1">
      <c r="A32" s="306" t="s">
        <v>77</v>
      </c>
      <c r="B32" s="332">
        <v>5242500</v>
      </c>
      <c r="C32" s="306" t="s">
        <v>78</v>
      </c>
      <c r="D32" s="306" t="s">
        <v>79</v>
      </c>
      <c r="F32" s="287"/>
    </row>
    <row r="33" spans="2:2" ht="24.95" customHeight="1">
      <c r="B33" s="311">
        <f>SUM(B27:B32)</f>
        <v>18910030</v>
      </c>
    </row>
  </sheetData>
  <sortState xmlns:xlrd2="http://schemas.microsoft.com/office/spreadsheetml/2017/richdata2" ref="A3:D20">
    <sortCondition ref="A3:A20"/>
  </sortState>
  <mergeCells count="3">
    <mergeCell ref="A1:L1"/>
    <mergeCell ref="A25:D25"/>
    <mergeCell ref="G25:H25"/>
  </mergeCells>
  <printOptions gridLines="1"/>
  <pageMargins left="0.37" right="0.11811023622047245" top="0.46" bottom="0.42" header="0.31496062992125984" footer="0.31496062992125984"/>
  <pageSetup paperSize="9" scale="60" orientation="landscape" r:id="rId1"/>
  <ignoredErrors>
    <ignoredError sqref="D22 J22" formula="1"/>
    <ignoredError sqref="L19 L11 L9 L5 L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A26D-D1D7-4F2D-BB5A-4206171C8A72}">
  <dimension ref="A1:C19"/>
  <sheetViews>
    <sheetView workbookViewId="0">
      <selection activeCell="G29" sqref="G29"/>
    </sheetView>
  </sheetViews>
  <sheetFormatPr defaultRowHeight="12.75"/>
  <cols>
    <col min="1" max="1" width="21.7109375" bestFit="1" customWidth="1"/>
    <col min="2" max="2" width="26.5703125" bestFit="1" customWidth="1"/>
    <col min="3" max="3" width="14.7109375" customWidth="1"/>
  </cols>
  <sheetData>
    <row r="1" spans="1:3">
      <c r="A1" s="168" t="s">
        <v>80</v>
      </c>
      <c r="B1" t="s">
        <v>81</v>
      </c>
    </row>
    <row r="2" spans="1:3">
      <c r="A2" s="168" t="s">
        <v>82</v>
      </c>
      <c r="B2" t="s">
        <v>83</v>
      </c>
    </row>
    <row r="4" spans="1:3">
      <c r="A4" s="168" t="s">
        <v>84</v>
      </c>
      <c r="B4" t="s">
        <v>85</v>
      </c>
      <c r="C4" t="s">
        <v>86</v>
      </c>
    </row>
    <row r="5" spans="1:3">
      <c r="A5" s="291" t="s">
        <v>36</v>
      </c>
      <c r="B5">
        <v>1528000</v>
      </c>
      <c r="C5">
        <v>1095679</v>
      </c>
    </row>
    <row r="6" spans="1:3">
      <c r="A6" s="291" t="s">
        <v>37</v>
      </c>
      <c r="B6">
        <v>600000</v>
      </c>
      <c r="C6">
        <v>333210</v>
      </c>
    </row>
    <row r="7" spans="1:3">
      <c r="A7" s="291" t="s">
        <v>38</v>
      </c>
      <c r="B7">
        <v>1250000</v>
      </c>
      <c r="C7">
        <v>1100572</v>
      </c>
    </row>
    <row r="8" spans="1:3">
      <c r="A8" s="291" t="s">
        <v>87</v>
      </c>
      <c r="B8">
        <v>3478000</v>
      </c>
      <c r="C8">
        <v>3155052</v>
      </c>
    </row>
    <row r="9" spans="1:3">
      <c r="A9" s="291" t="s">
        <v>39</v>
      </c>
      <c r="B9">
        <v>10717000</v>
      </c>
      <c r="C9">
        <v>5724628</v>
      </c>
    </row>
    <row r="10" spans="1:3">
      <c r="A10" s="291" t="s">
        <v>40</v>
      </c>
      <c r="B10">
        <v>535000</v>
      </c>
      <c r="C10">
        <v>421500</v>
      </c>
    </row>
    <row r="11" spans="1:3">
      <c r="A11" s="291" t="s">
        <v>42</v>
      </c>
      <c r="B11">
        <v>3519000</v>
      </c>
      <c r="C11">
        <v>1740553</v>
      </c>
    </row>
    <row r="12" spans="1:3">
      <c r="A12" s="291" t="s">
        <v>44</v>
      </c>
      <c r="B12">
        <v>2401000</v>
      </c>
      <c r="C12">
        <v>1584480</v>
      </c>
    </row>
    <row r="13" spans="1:3">
      <c r="A13" s="291" t="s">
        <v>88</v>
      </c>
      <c r="B13">
        <v>3145690</v>
      </c>
      <c r="C13">
        <v>2469000</v>
      </c>
    </row>
    <row r="14" spans="1:3">
      <c r="A14" s="291" t="s">
        <v>48</v>
      </c>
      <c r="B14">
        <v>762916</v>
      </c>
      <c r="C14">
        <v>556454</v>
      </c>
    </row>
    <row r="15" spans="1:3">
      <c r="A15" s="291" t="s">
        <v>49</v>
      </c>
      <c r="B15">
        <v>360000</v>
      </c>
      <c r="C15">
        <v>239900</v>
      </c>
    </row>
    <row r="16" spans="1:3">
      <c r="A16" s="291" t="s">
        <v>89</v>
      </c>
      <c r="B16">
        <v>1695000</v>
      </c>
      <c r="C16">
        <v>1077531</v>
      </c>
    </row>
    <row r="17" spans="1:3">
      <c r="A17" s="291" t="s">
        <v>90</v>
      </c>
      <c r="B17">
        <v>2448000</v>
      </c>
      <c r="C17">
        <v>2150202</v>
      </c>
    </row>
    <row r="18" spans="1:3">
      <c r="A18" s="291" t="s">
        <v>52</v>
      </c>
      <c r="B18">
        <v>4324700</v>
      </c>
      <c r="C18">
        <v>3927021</v>
      </c>
    </row>
    <row r="19" spans="1:3">
      <c r="A19" s="291" t="s">
        <v>17</v>
      </c>
      <c r="B19">
        <v>36764306</v>
      </c>
      <c r="C19">
        <v>25575782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1A6B-224F-48FF-AA97-11F885490F5E}">
  <sheetPr filterMode="1"/>
  <dimension ref="A1:Z929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322" activeCellId="1" sqref="P138 P322"/>
    </sheetView>
  </sheetViews>
  <sheetFormatPr defaultColWidth="14.42578125" defaultRowHeight="12.75"/>
  <cols>
    <col min="1" max="1" width="18" style="160" customWidth="1"/>
    <col min="2" max="2" width="61.140625" style="160" customWidth="1"/>
    <col min="3" max="3" width="14.140625" style="678" customWidth="1"/>
    <col min="4" max="4" width="15.140625" style="898" bestFit="1" customWidth="1"/>
    <col min="5" max="5" width="21.85546875" style="160" bestFit="1" customWidth="1"/>
    <col min="6" max="6" width="20.7109375" style="678" customWidth="1"/>
    <col min="7" max="7" width="8.28515625" style="678" hidden="1" customWidth="1"/>
    <col min="8" max="8" width="10.28515625" style="160" hidden="1" customWidth="1"/>
    <col min="9" max="9" width="11" style="678" hidden="1" customWidth="1"/>
    <col min="10" max="10" width="11.5703125" style="678" hidden="1" customWidth="1"/>
    <col min="11" max="11" width="16" style="678" customWidth="1"/>
    <col min="12" max="12" width="17.85546875" style="678" customWidth="1"/>
    <col min="13" max="13" width="19" style="678" bestFit="1" customWidth="1"/>
    <col min="14" max="14" width="37.85546875" style="678" customWidth="1"/>
    <col min="15" max="15" width="18.28515625" style="160" customWidth="1"/>
    <col min="16" max="16" width="18.5703125" style="920" customWidth="1"/>
    <col min="17" max="17" width="18.85546875" style="858" bestFit="1" customWidth="1"/>
    <col min="18" max="18" width="15.42578125" style="858" bestFit="1" customWidth="1"/>
    <col min="19" max="19" width="20.28515625" style="678" bestFit="1" customWidth="1"/>
    <col min="20" max="20" width="16.85546875" style="898" customWidth="1"/>
    <col min="21" max="21" width="16.5703125" style="160" bestFit="1" customWidth="1"/>
    <col min="22" max="22" width="15.85546875" style="160" customWidth="1"/>
    <col min="23" max="26" width="8.5703125" style="160" customWidth="1"/>
    <col min="27" max="16384" width="14.42578125" style="160"/>
  </cols>
  <sheetData>
    <row r="1" spans="1:26" ht="24" customHeight="1">
      <c r="A1" s="998" t="s">
        <v>91</v>
      </c>
      <c r="B1" s="998"/>
      <c r="C1" s="998"/>
      <c r="D1" s="999"/>
      <c r="E1" s="1000"/>
      <c r="F1" s="998"/>
      <c r="G1" s="998"/>
      <c r="H1" s="1000"/>
      <c r="I1" s="998"/>
      <c r="J1" s="998"/>
      <c r="K1" s="998"/>
      <c r="L1" s="780"/>
      <c r="M1" s="365"/>
      <c r="N1" s="781">
        <f>E4-M4</f>
        <v>11072787</v>
      </c>
      <c r="O1" s="782" t="s">
        <v>92</v>
      </c>
      <c r="P1" s="919"/>
      <c r="Q1" s="783">
        <f>M4-P4</f>
        <v>115737</v>
      </c>
      <c r="R1" s="703" t="s">
        <v>93</v>
      </c>
      <c r="S1" s="161"/>
      <c r="T1" s="303"/>
      <c r="U1" s="161"/>
      <c r="V1" s="161"/>
      <c r="W1" s="161"/>
      <c r="X1" s="161"/>
      <c r="Y1" s="161"/>
      <c r="Z1" s="161"/>
    </row>
    <row r="2" spans="1:26" ht="24" customHeight="1">
      <c r="A2" s="1001" t="s">
        <v>94</v>
      </c>
      <c r="B2" s="1001"/>
      <c r="C2" s="1001"/>
      <c r="D2" s="1002"/>
      <c r="E2" s="1003"/>
      <c r="F2" s="1001"/>
      <c r="G2" s="1001"/>
      <c r="H2" s="1003"/>
      <c r="I2" s="1001"/>
      <c r="J2" s="1001"/>
      <c r="K2" s="1001"/>
      <c r="L2" s="784"/>
      <c r="M2" s="365"/>
      <c r="N2" s="365"/>
      <c r="O2" s="161"/>
      <c r="P2" s="162"/>
      <c r="Q2" s="161"/>
      <c r="R2" s="161"/>
      <c r="S2" s="161"/>
      <c r="T2" s="303"/>
      <c r="U2" s="161"/>
      <c r="V2" s="161"/>
      <c r="W2" s="161"/>
      <c r="X2" s="161"/>
      <c r="Y2" s="161"/>
      <c r="Z2" s="161"/>
    </row>
    <row r="3" spans="1:26" ht="56.25" customHeight="1">
      <c r="A3" s="721" t="s">
        <v>95</v>
      </c>
      <c r="B3" s="754" t="s">
        <v>96</v>
      </c>
      <c r="C3" s="721" t="s">
        <v>97</v>
      </c>
      <c r="D3" s="721" t="s">
        <v>98</v>
      </c>
      <c r="E3" s="721" t="s">
        <v>99</v>
      </c>
      <c r="F3" s="721" t="s">
        <v>100</v>
      </c>
      <c r="G3" s="756" t="s">
        <v>101</v>
      </c>
      <c r="H3" s="757" t="s">
        <v>102</v>
      </c>
      <c r="I3" s="756" t="s">
        <v>103</v>
      </c>
      <c r="J3" s="721" t="s">
        <v>104</v>
      </c>
      <c r="K3" s="721" t="s">
        <v>82</v>
      </c>
      <c r="L3" s="758" t="s">
        <v>80</v>
      </c>
      <c r="M3" s="758" t="s">
        <v>58</v>
      </c>
      <c r="N3" s="758" t="s">
        <v>59</v>
      </c>
      <c r="O3" s="758" t="s">
        <v>105</v>
      </c>
      <c r="P3" s="760" t="s">
        <v>106</v>
      </c>
      <c r="Q3" s="758" t="s">
        <v>107</v>
      </c>
      <c r="R3" s="758" t="s">
        <v>108</v>
      </c>
      <c r="S3" s="785" t="s">
        <v>109</v>
      </c>
      <c r="T3" s="933" t="s">
        <v>110</v>
      </c>
      <c r="U3" s="785" t="s">
        <v>105</v>
      </c>
      <c r="V3" s="161"/>
      <c r="W3" s="161"/>
      <c r="X3" s="161"/>
      <c r="Y3" s="161"/>
      <c r="Z3" s="161"/>
    </row>
    <row r="4" spans="1:26" s="859" customFormat="1" ht="31.5" customHeight="1">
      <c r="A4" s="775">
        <f>SUBTOTAL(2,A5:A338)+22+14+9</f>
        <v>141</v>
      </c>
      <c r="B4" s="681" t="s">
        <v>111</v>
      </c>
      <c r="C4" s="775">
        <f>SUBTOTAL(9,C5:C338)</f>
        <v>373</v>
      </c>
      <c r="D4" s="713" t="s">
        <v>112</v>
      </c>
      <c r="E4" s="776">
        <f>SUBTOTAL(9,E5:E338)</f>
        <v>36764306</v>
      </c>
      <c r="F4" s="681" t="s">
        <v>111</v>
      </c>
      <c r="G4" s="777">
        <f>SUBTOTAL(9,G5:G322)</f>
        <v>28</v>
      </c>
      <c r="H4" s="682" t="s">
        <v>111</v>
      </c>
      <c r="I4" s="683" t="s">
        <v>111</v>
      </c>
      <c r="J4" s="681" t="s">
        <v>111</v>
      </c>
      <c r="K4" s="681" t="s">
        <v>111</v>
      </c>
      <c r="L4" s="684" t="s">
        <v>111</v>
      </c>
      <c r="M4" s="775">
        <f>SUBTOTAL(9,M5:M338)</f>
        <v>25691519</v>
      </c>
      <c r="N4" s="684" t="s">
        <v>111</v>
      </c>
      <c r="O4" s="903" t="s">
        <v>111</v>
      </c>
      <c r="P4" s="776">
        <f>SUBTOTAL(9,P5:P338)</f>
        <v>25575782</v>
      </c>
      <c r="Q4" s="684" t="s">
        <v>111</v>
      </c>
      <c r="R4" s="684" t="s">
        <v>111</v>
      </c>
      <c r="S4" s="684" t="s">
        <v>111</v>
      </c>
      <c r="T4" s="934"/>
      <c r="U4" s="863"/>
      <c r="V4" s="786"/>
      <c r="W4" s="786"/>
      <c r="X4" s="786"/>
      <c r="Y4" s="786"/>
      <c r="Z4" s="786"/>
    </row>
    <row r="5" spans="1:26" ht="24.95" customHeight="1">
      <c r="A5" s="244">
        <v>1</v>
      </c>
      <c r="B5" s="209" t="s">
        <v>113</v>
      </c>
      <c r="C5" s="323">
        <v>1</v>
      </c>
      <c r="D5" s="967">
        <v>3000</v>
      </c>
      <c r="E5" s="778">
        <f t="shared" ref="E5:E41" si="0">C5*D5</f>
        <v>3000</v>
      </c>
      <c r="F5" s="323" t="s">
        <v>36</v>
      </c>
      <c r="G5" s="176">
        <v>1</v>
      </c>
      <c r="H5" s="685" t="s">
        <v>114</v>
      </c>
      <c r="I5" s="178" t="s">
        <v>115</v>
      </c>
      <c r="J5" s="574" t="s">
        <v>20</v>
      </c>
      <c r="K5" s="555" t="s">
        <v>83</v>
      </c>
      <c r="L5" s="787" t="s">
        <v>81</v>
      </c>
      <c r="M5" s="788">
        <v>2000</v>
      </c>
      <c r="N5" s="334" t="s">
        <v>116</v>
      </c>
      <c r="O5" s="890" t="s">
        <v>117</v>
      </c>
      <c r="P5" s="466">
        <v>1980</v>
      </c>
      <c r="Q5" s="276" t="s">
        <v>118</v>
      </c>
      <c r="R5" s="794">
        <v>45913</v>
      </c>
      <c r="S5" s="276" t="s">
        <v>119</v>
      </c>
      <c r="T5" s="833"/>
      <c r="U5" s="276"/>
      <c r="V5" s="161"/>
      <c r="W5" s="161"/>
      <c r="X5" s="161"/>
      <c r="Y5" s="161"/>
      <c r="Z5" s="161"/>
    </row>
    <row r="6" spans="1:26" ht="24.95" hidden="1" customHeight="1">
      <c r="A6" s="171">
        <f t="shared" ref="A6:A37" si="1">A5+1</f>
        <v>2</v>
      </c>
      <c r="B6" s="172" t="s">
        <v>120</v>
      </c>
      <c r="C6" s="181">
        <v>1</v>
      </c>
      <c r="D6" s="182">
        <v>9000</v>
      </c>
      <c r="E6" s="554">
        <f t="shared" si="0"/>
        <v>9000</v>
      </c>
      <c r="F6" s="173" t="s">
        <v>36</v>
      </c>
      <c r="G6" s="173">
        <v>1</v>
      </c>
      <c r="H6" s="294" t="s">
        <v>121</v>
      </c>
      <c r="I6" s="178" t="s">
        <v>115</v>
      </c>
      <c r="J6" s="179" t="s">
        <v>20</v>
      </c>
      <c r="K6" s="211" t="s">
        <v>83</v>
      </c>
      <c r="L6" s="547" t="s">
        <v>122</v>
      </c>
      <c r="M6" s="488">
        <v>2080</v>
      </c>
      <c r="N6" s="276"/>
      <c r="O6" s="556" t="s">
        <v>117</v>
      </c>
      <c r="P6" s="466">
        <v>0</v>
      </c>
      <c r="Q6" s="276" t="s">
        <v>119</v>
      </c>
      <c r="R6" s="276" t="s">
        <v>119</v>
      </c>
      <c r="S6" s="276" t="s">
        <v>119</v>
      </c>
      <c r="T6" s="276"/>
      <c r="U6" s="276"/>
      <c r="V6" s="161"/>
      <c r="W6" s="161"/>
      <c r="X6" s="161"/>
      <c r="Y6" s="161"/>
      <c r="Z6" s="161"/>
    </row>
    <row r="7" spans="1:26" ht="24.95" customHeight="1">
      <c r="A7" s="171">
        <f t="shared" si="1"/>
        <v>3</v>
      </c>
      <c r="B7" s="249" t="s">
        <v>123</v>
      </c>
      <c r="C7" s="173">
        <v>1</v>
      </c>
      <c r="D7" s="174">
        <v>12000</v>
      </c>
      <c r="E7" s="554">
        <f t="shared" si="0"/>
        <v>12000</v>
      </c>
      <c r="F7" s="173" t="s">
        <v>36</v>
      </c>
      <c r="G7" s="176">
        <v>1</v>
      </c>
      <c r="H7" s="685" t="s">
        <v>114</v>
      </c>
      <c r="I7" s="178" t="s">
        <v>115</v>
      </c>
      <c r="J7" s="179" t="s">
        <v>20</v>
      </c>
      <c r="K7" s="211" t="s">
        <v>83</v>
      </c>
      <c r="L7" s="547" t="s">
        <v>81</v>
      </c>
      <c r="M7" s="488">
        <v>9999</v>
      </c>
      <c r="N7" s="264" t="s">
        <v>124</v>
      </c>
      <c r="O7" s="547" t="s">
        <v>117</v>
      </c>
      <c r="P7" s="466">
        <v>9899</v>
      </c>
      <c r="Q7" s="276" t="s">
        <v>125</v>
      </c>
      <c r="R7" s="794">
        <v>45875</v>
      </c>
      <c r="S7" s="276" t="s">
        <v>119</v>
      </c>
      <c r="T7" s="833"/>
      <c r="U7" s="276"/>
      <c r="V7" s="161"/>
      <c r="W7" s="365"/>
      <c r="X7" s="161"/>
      <c r="Y7" s="161"/>
      <c r="Z7" s="161"/>
    </row>
    <row r="8" spans="1:26" ht="24.95" customHeight="1">
      <c r="A8" s="238">
        <f t="shared" si="1"/>
        <v>4</v>
      </c>
      <c r="B8" s="318" t="s">
        <v>126</v>
      </c>
      <c r="C8" s="320">
        <v>1</v>
      </c>
      <c r="D8" s="968">
        <v>13000</v>
      </c>
      <c r="E8" s="779">
        <f t="shared" si="0"/>
        <v>13000</v>
      </c>
      <c r="F8" s="320" t="s">
        <v>36</v>
      </c>
      <c r="G8" s="176">
        <v>1</v>
      </c>
      <c r="H8" s="685" t="s">
        <v>114</v>
      </c>
      <c r="I8" s="178" t="s">
        <v>115</v>
      </c>
      <c r="J8" s="266" t="s">
        <v>20</v>
      </c>
      <c r="K8" s="270" t="s">
        <v>83</v>
      </c>
      <c r="L8" s="790" t="s">
        <v>81</v>
      </c>
      <c r="M8" s="791">
        <v>3000</v>
      </c>
      <c r="N8" s="546" t="s">
        <v>127</v>
      </c>
      <c r="O8" s="790" t="s">
        <v>117</v>
      </c>
      <c r="P8" s="466">
        <v>3000</v>
      </c>
      <c r="Q8" s="276" t="s">
        <v>128</v>
      </c>
      <c r="R8" s="794">
        <v>45905</v>
      </c>
      <c r="S8" s="276" t="s">
        <v>119</v>
      </c>
      <c r="T8" s="833"/>
      <c r="U8" s="276"/>
      <c r="V8" s="161"/>
      <c r="W8" s="161"/>
      <c r="X8" s="161"/>
      <c r="Y8" s="161"/>
      <c r="Z8" s="161"/>
    </row>
    <row r="9" spans="1:26" ht="24.95" hidden="1" customHeight="1">
      <c r="A9" s="211">
        <f t="shared" si="1"/>
        <v>5</v>
      </c>
      <c r="B9" s="262" t="s">
        <v>129</v>
      </c>
      <c r="C9" s="288">
        <v>1</v>
      </c>
      <c r="D9" s="289">
        <v>80000</v>
      </c>
      <c r="E9" s="489">
        <f t="shared" si="0"/>
        <v>80000</v>
      </c>
      <c r="F9" s="215" t="s">
        <v>36</v>
      </c>
      <c r="G9" s="205">
        <v>0</v>
      </c>
      <c r="H9" s="183" t="s">
        <v>121</v>
      </c>
      <c r="I9" s="641" t="s">
        <v>115</v>
      </c>
      <c r="J9" s="179" t="s">
        <v>20</v>
      </c>
      <c r="K9" s="211" t="s">
        <v>83</v>
      </c>
      <c r="L9" s="547" t="s">
        <v>122</v>
      </c>
      <c r="M9" s="553">
        <v>83500</v>
      </c>
      <c r="N9" s="276" t="s">
        <v>130</v>
      </c>
      <c r="O9" s="556" t="s">
        <v>131</v>
      </c>
      <c r="P9" s="466">
        <v>0</v>
      </c>
      <c r="Q9" s="276" t="s">
        <v>119</v>
      </c>
      <c r="R9" s="276" t="s">
        <v>119</v>
      </c>
      <c r="S9" s="276" t="s">
        <v>132</v>
      </c>
      <c r="T9" s="276"/>
      <c r="U9" s="276"/>
      <c r="V9" s="161"/>
      <c r="W9" s="161"/>
      <c r="X9" s="161"/>
      <c r="Y9" s="161"/>
      <c r="Z9" s="161"/>
    </row>
    <row r="10" spans="1:26" ht="24.95" hidden="1" customHeight="1">
      <c r="A10" s="211">
        <f t="shared" si="1"/>
        <v>6</v>
      </c>
      <c r="B10" s="262" t="s">
        <v>133</v>
      </c>
      <c r="C10" s="288">
        <v>1</v>
      </c>
      <c r="D10" s="289">
        <v>80000</v>
      </c>
      <c r="E10" s="489">
        <f t="shared" si="0"/>
        <v>80000</v>
      </c>
      <c r="F10" s="215" t="s">
        <v>36</v>
      </c>
      <c r="G10" s="205">
        <v>0</v>
      </c>
      <c r="H10" s="183" t="s">
        <v>121</v>
      </c>
      <c r="I10" s="641" t="s">
        <v>115</v>
      </c>
      <c r="J10" s="179" t="s">
        <v>20</v>
      </c>
      <c r="K10" s="211" t="s">
        <v>83</v>
      </c>
      <c r="L10" s="547" t="s">
        <v>122</v>
      </c>
      <c r="M10" s="488">
        <v>84200</v>
      </c>
      <c r="N10" s="276" t="s">
        <v>130</v>
      </c>
      <c r="O10" s="556" t="s">
        <v>131</v>
      </c>
      <c r="P10" s="466">
        <v>0</v>
      </c>
      <c r="Q10" s="276" t="s">
        <v>119</v>
      </c>
      <c r="R10" s="276" t="s">
        <v>119</v>
      </c>
      <c r="S10" s="276" t="s">
        <v>132</v>
      </c>
      <c r="T10" s="276"/>
      <c r="U10" s="276"/>
      <c r="V10" s="161"/>
      <c r="W10" s="161"/>
      <c r="X10" s="161"/>
      <c r="Y10" s="161"/>
      <c r="Z10" s="161"/>
    </row>
    <row r="11" spans="1:26" ht="70.5" hidden="1" customHeight="1">
      <c r="A11" s="244">
        <f t="shared" si="1"/>
        <v>7</v>
      </c>
      <c r="B11" s="185" t="s">
        <v>134</v>
      </c>
      <c r="C11" s="186">
        <v>1</v>
      </c>
      <c r="D11" s="187">
        <v>90000</v>
      </c>
      <c r="E11" s="220">
        <f t="shared" si="0"/>
        <v>90000</v>
      </c>
      <c r="F11" s="186" t="s">
        <v>36</v>
      </c>
      <c r="G11" s="188">
        <v>1</v>
      </c>
      <c r="H11" s="189" t="s">
        <v>114</v>
      </c>
      <c r="I11" s="190" t="s">
        <v>115</v>
      </c>
      <c r="J11" s="574" t="s">
        <v>20</v>
      </c>
      <c r="K11" s="324" t="s">
        <v>83</v>
      </c>
      <c r="L11" s="642" t="s">
        <v>135</v>
      </c>
      <c r="M11" s="161"/>
      <c r="N11" s="161"/>
      <c r="O11" s="161"/>
      <c r="P11" s="161"/>
      <c r="Q11" s="161"/>
      <c r="R11" s="908"/>
      <c r="S11" s="161"/>
      <c r="T11" s="161"/>
      <c r="U11" s="365"/>
      <c r="V11" s="161"/>
      <c r="W11" s="161"/>
      <c r="X11" s="161"/>
      <c r="Y11" s="161"/>
      <c r="Z11" s="161"/>
    </row>
    <row r="12" spans="1:26" ht="24.95" hidden="1" customHeight="1">
      <c r="A12" s="171">
        <f t="shared" si="1"/>
        <v>8</v>
      </c>
      <c r="B12" s="185" t="s">
        <v>136</v>
      </c>
      <c r="C12" s="186">
        <v>1</v>
      </c>
      <c r="D12" s="591">
        <v>360000</v>
      </c>
      <c r="E12" s="554">
        <f t="shared" si="0"/>
        <v>360000</v>
      </c>
      <c r="F12" s="186" t="s">
        <v>36</v>
      </c>
      <c r="G12" s="186">
        <v>0</v>
      </c>
      <c r="H12" s="189" t="s">
        <v>114</v>
      </c>
      <c r="I12" s="190" t="s">
        <v>115</v>
      </c>
      <c r="J12" s="179" t="s">
        <v>20</v>
      </c>
      <c r="K12" s="211" t="s">
        <v>83</v>
      </c>
      <c r="L12" s="547" t="s">
        <v>122</v>
      </c>
      <c r="M12" s="553">
        <v>202000</v>
      </c>
      <c r="N12" s="161" t="s">
        <v>137</v>
      </c>
      <c r="O12" s="556" t="s">
        <v>138</v>
      </c>
      <c r="P12" s="466">
        <v>0</v>
      </c>
      <c r="Q12" s="276" t="s">
        <v>119</v>
      </c>
      <c r="R12" s="276" t="s">
        <v>119</v>
      </c>
      <c r="S12" s="795">
        <v>502203</v>
      </c>
      <c r="T12" s="276">
        <v>10100</v>
      </c>
      <c r="U12" s="276" t="s">
        <v>139</v>
      </c>
      <c r="V12" s="161"/>
      <c r="W12" s="161"/>
      <c r="X12" s="161"/>
      <c r="Y12" s="161"/>
      <c r="Z12" s="161"/>
    </row>
    <row r="13" spans="1:26" ht="30" hidden="1" customHeight="1">
      <c r="A13" s="171">
        <f t="shared" si="1"/>
        <v>9</v>
      </c>
      <c r="B13" s="172" t="s">
        <v>140</v>
      </c>
      <c r="C13" s="181">
        <v>1</v>
      </c>
      <c r="D13" s="182">
        <v>24500</v>
      </c>
      <c r="E13" s="175">
        <f t="shared" si="0"/>
        <v>24500</v>
      </c>
      <c r="F13" s="173" t="s">
        <v>37</v>
      </c>
      <c r="G13" s="173">
        <v>0</v>
      </c>
      <c r="H13" s="183" t="s">
        <v>141</v>
      </c>
      <c r="I13" s="178" t="s">
        <v>142</v>
      </c>
      <c r="J13" s="179" t="s">
        <v>20</v>
      </c>
      <c r="K13" s="180" t="s">
        <v>83</v>
      </c>
      <c r="L13" s="264" t="s">
        <v>135</v>
      </c>
      <c r="M13" s="161"/>
      <c r="N13" s="161"/>
      <c r="O13" s="161"/>
      <c r="P13" s="161"/>
      <c r="Q13" s="161"/>
      <c r="R13" s="751"/>
      <c r="S13" s="161"/>
      <c r="T13" s="161"/>
      <c r="U13" s="161"/>
      <c r="V13" s="161"/>
      <c r="W13" s="161"/>
      <c r="X13" s="161"/>
      <c r="Y13" s="161"/>
      <c r="Z13" s="161"/>
    </row>
    <row r="14" spans="1:26" ht="30" hidden="1" customHeight="1">
      <c r="A14" s="171">
        <f t="shared" si="1"/>
        <v>10</v>
      </c>
      <c r="B14" s="172" t="s">
        <v>143</v>
      </c>
      <c r="C14" s="181">
        <v>1</v>
      </c>
      <c r="D14" s="182">
        <v>45000</v>
      </c>
      <c r="E14" s="175">
        <f t="shared" si="0"/>
        <v>45000</v>
      </c>
      <c r="F14" s="173" t="s">
        <v>37</v>
      </c>
      <c r="G14" s="173">
        <v>0</v>
      </c>
      <c r="H14" s="183" t="s">
        <v>141</v>
      </c>
      <c r="I14" s="178" t="s">
        <v>142</v>
      </c>
      <c r="J14" s="179" t="s">
        <v>20</v>
      </c>
      <c r="K14" s="180" t="s">
        <v>83</v>
      </c>
      <c r="L14" s="264" t="s">
        <v>135</v>
      </c>
      <c r="M14" s="161"/>
      <c r="N14" s="161"/>
      <c r="O14" s="161"/>
      <c r="P14" s="161"/>
      <c r="Q14" s="161"/>
      <c r="R14" s="751"/>
      <c r="S14" s="161"/>
      <c r="T14" s="161"/>
      <c r="U14" s="161"/>
      <c r="V14" s="161"/>
      <c r="W14" s="161"/>
      <c r="X14" s="161"/>
      <c r="Y14" s="161"/>
      <c r="Z14" s="161"/>
    </row>
    <row r="15" spans="1:26" ht="30" hidden="1" customHeight="1">
      <c r="A15" s="171">
        <f t="shared" si="1"/>
        <v>11</v>
      </c>
      <c r="B15" s="172" t="s">
        <v>144</v>
      </c>
      <c r="C15" s="181">
        <v>1</v>
      </c>
      <c r="D15" s="182">
        <v>50000</v>
      </c>
      <c r="E15" s="175">
        <f t="shared" si="0"/>
        <v>50000</v>
      </c>
      <c r="F15" s="173" t="s">
        <v>37</v>
      </c>
      <c r="G15" s="173">
        <v>0</v>
      </c>
      <c r="H15" s="183" t="s">
        <v>141</v>
      </c>
      <c r="I15" s="178" t="s">
        <v>142</v>
      </c>
      <c r="J15" s="179" t="s">
        <v>20</v>
      </c>
      <c r="K15" s="180" t="s">
        <v>83</v>
      </c>
      <c r="L15" s="264" t="s">
        <v>135</v>
      </c>
      <c r="M15" s="161"/>
      <c r="N15" s="161"/>
      <c r="O15" s="161"/>
      <c r="P15" s="161"/>
      <c r="Q15" s="161"/>
      <c r="R15" s="908"/>
      <c r="S15" s="161"/>
      <c r="T15" s="161"/>
      <c r="U15" s="161"/>
      <c r="V15" s="161"/>
      <c r="W15" s="161"/>
      <c r="X15" s="161"/>
      <c r="Y15" s="161"/>
      <c r="Z15" s="161"/>
    </row>
    <row r="16" spans="1:26" ht="30" hidden="1" customHeight="1">
      <c r="A16" s="171">
        <f t="shared" si="1"/>
        <v>12</v>
      </c>
      <c r="B16" s="172" t="s">
        <v>145</v>
      </c>
      <c r="C16" s="181">
        <v>1</v>
      </c>
      <c r="D16" s="182">
        <v>65000</v>
      </c>
      <c r="E16" s="361">
        <f t="shared" si="0"/>
        <v>65000</v>
      </c>
      <c r="F16" s="173" t="s">
        <v>37</v>
      </c>
      <c r="G16" s="173">
        <v>0</v>
      </c>
      <c r="H16" s="183" t="s">
        <v>141</v>
      </c>
      <c r="I16" s="178" t="s">
        <v>142</v>
      </c>
      <c r="J16" s="179" t="s">
        <v>20</v>
      </c>
      <c r="K16" s="211" t="s">
        <v>83</v>
      </c>
      <c r="L16" s="547" t="s">
        <v>146</v>
      </c>
      <c r="M16" s="466"/>
      <c r="N16" s="792"/>
      <c r="O16" s="556"/>
      <c r="P16" s="466"/>
      <c r="Q16" s="276"/>
      <c r="R16" s="911"/>
      <c r="S16" s="276"/>
      <c r="T16" s="276"/>
      <c r="U16" s="276"/>
      <c r="V16" s="161"/>
      <c r="W16" s="161"/>
      <c r="X16" s="161"/>
      <c r="Y16" s="161"/>
      <c r="Z16" s="161"/>
    </row>
    <row r="17" spans="1:26" ht="30" hidden="1" customHeight="1">
      <c r="A17" s="171">
        <f t="shared" si="1"/>
        <v>13</v>
      </c>
      <c r="B17" s="172" t="s">
        <v>147</v>
      </c>
      <c r="C17" s="181">
        <v>5</v>
      </c>
      <c r="D17" s="182">
        <v>20000</v>
      </c>
      <c r="E17" s="175">
        <f t="shared" si="0"/>
        <v>100000</v>
      </c>
      <c r="F17" s="173" t="s">
        <v>37</v>
      </c>
      <c r="G17" s="173">
        <v>0</v>
      </c>
      <c r="H17" s="183" t="s">
        <v>141</v>
      </c>
      <c r="I17" s="178" t="s">
        <v>142</v>
      </c>
      <c r="J17" s="179" t="s">
        <v>20</v>
      </c>
      <c r="K17" s="211" t="s">
        <v>83</v>
      </c>
      <c r="L17" s="547" t="s">
        <v>146</v>
      </c>
      <c r="M17" s="466"/>
      <c r="N17" s="792"/>
      <c r="O17" s="556"/>
      <c r="P17" s="466"/>
      <c r="Q17" s="276"/>
      <c r="R17" s="911"/>
      <c r="S17" s="276"/>
      <c r="T17" s="276"/>
      <c r="U17" s="276"/>
      <c r="V17" s="161"/>
      <c r="W17" s="161"/>
      <c r="X17" s="161"/>
      <c r="Y17" s="161"/>
      <c r="Z17" s="161"/>
    </row>
    <row r="18" spans="1:26" s="976" customFormat="1" ht="30" customHeight="1">
      <c r="A18" s="171">
        <f t="shared" si="1"/>
        <v>14</v>
      </c>
      <c r="B18" s="172" t="s">
        <v>148</v>
      </c>
      <c r="C18" s="181">
        <v>1</v>
      </c>
      <c r="D18" s="182">
        <v>150000</v>
      </c>
      <c r="E18" s="554">
        <f t="shared" si="0"/>
        <v>150000</v>
      </c>
      <c r="F18" s="173" t="s">
        <v>37</v>
      </c>
      <c r="G18" s="173">
        <v>0</v>
      </c>
      <c r="H18" s="183" t="s">
        <v>141</v>
      </c>
      <c r="I18" s="178" t="s">
        <v>142</v>
      </c>
      <c r="J18" s="179" t="s">
        <v>20</v>
      </c>
      <c r="K18" s="211" t="s">
        <v>83</v>
      </c>
      <c r="L18" s="547" t="s">
        <v>81</v>
      </c>
      <c r="M18" s="488">
        <v>16000</v>
      </c>
      <c r="N18" s="792" t="s">
        <v>149</v>
      </c>
      <c r="O18" s="556" t="s">
        <v>117</v>
      </c>
      <c r="P18" s="466">
        <v>15920</v>
      </c>
      <c r="Q18" s="276" t="s">
        <v>150</v>
      </c>
      <c r="R18" s="794">
        <v>45999</v>
      </c>
      <c r="S18" s="276" t="s">
        <v>119</v>
      </c>
      <c r="T18" s="833"/>
      <c r="U18" s="276"/>
      <c r="V18" s="975"/>
      <c r="W18" s="975"/>
      <c r="X18" s="975"/>
      <c r="Y18" s="975"/>
      <c r="Z18" s="975"/>
    </row>
    <row r="19" spans="1:26" ht="30" customHeight="1">
      <c r="A19" s="171">
        <f t="shared" si="1"/>
        <v>15</v>
      </c>
      <c r="B19" s="172" t="s">
        <v>151</v>
      </c>
      <c r="C19" s="181">
        <v>1</v>
      </c>
      <c r="D19" s="592">
        <v>200000</v>
      </c>
      <c r="E19" s="554">
        <f t="shared" si="0"/>
        <v>200000</v>
      </c>
      <c r="F19" s="173" t="s">
        <v>37</v>
      </c>
      <c r="G19" s="173">
        <v>0</v>
      </c>
      <c r="H19" s="183" t="s">
        <v>141</v>
      </c>
      <c r="I19" s="178" t="s">
        <v>142</v>
      </c>
      <c r="J19" s="179" t="s">
        <v>20</v>
      </c>
      <c r="K19" s="211" t="s">
        <v>83</v>
      </c>
      <c r="L19" s="547" t="s">
        <v>81</v>
      </c>
      <c r="M19" s="553">
        <v>131000</v>
      </c>
      <c r="N19" s="276" t="s">
        <v>152</v>
      </c>
      <c r="O19" s="556" t="s">
        <v>138</v>
      </c>
      <c r="P19" s="799">
        <v>129690</v>
      </c>
      <c r="Q19" s="276" t="s">
        <v>153</v>
      </c>
      <c r="R19" s="794">
        <v>46066</v>
      </c>
      <c r="S19" s="276" t="s">
        <v>154</v>
      </c>
      <c r="T19" s="833"/>
      <c r="U19" s="276"/>
      <c r="V19" s="161"/>
      <c r="W19" s="161"/>
      <c r="X19" s="161"/>
      <c r="Y19" s="161"/>
      <c r="Z19" s="161"/>
    </row>
    <row r="20" spans="1:26" ht="30" customHeight="1">
      <c r="A20" s="171">
        <f t="shared" si="1"/>
        <v>16</v>
      </c>
      <c r="B20" s="172" t="s">
        <v>155</v>
      </c>
      <c r="C20" s="181">
        <v>1</v>
      </c>
      <c r="D20" s="592">
        <v>250000</v>
      </c>
      <c r="E20" s="554">
        <f t="shared" si="0"/>
        <v>250000</v>
      </c>
      <c r="F20" s="173" t="s">
        <v>37</v>
      </c>
      <c r="G20" s="173">
        <v>0</v>
      </c>
      <c r="H20" s="183" t="s">
        <v>141</v>
      </c>
      <c r="I20" s="178" t="s">
        <v>142</v>
      </c>
      <c r="J20" s="179" t="s">
        <v>20</v>
      </c>
      <c r="K20" s="211" t="s">
        <v>83</v>
      </c>
      <c r="L20" s="547" t="s">
        <v>81</v>
      </c>
      <c r="M20" s="361">
        <v>187600</v>
      </c>
      <c r="N20" s="276" t="s">
        <v>152</v>
      </c>
      <c r="O20" s="556" t="s">
        <v>138</v>
      </c>
      <c r="P20" s="466">
        <v>187600</v>
      </c>
      <c r="Q20" s="276" t="s">
        <v>156</v>
      </c>
      <c r="R20" s="794">
        <v>46087</v>
      </c>
      <c r="S20" s="276" t="s">
        <v>154</v>
      </c>
      <c r="T20" s="833"/>
      <c r="U20" s="276"/>
      <c r="V20" s="161"/>
      <c r="W20" s="161"/>
      <c r="X20" s="161"/>
      <c r="Y20" s="161"/>
      <c r="Z20" s="161"/>
    </row>
    <row r="21" spans="1:26" ht="26.25" customHeight="1">
      <c r="A21" s="171">
        <f t="shared" si="1"/>
        <v>17</v>
      </c>
      <c r="B21" s="192" t="s">
        <v>157</v>
      </c>
      <c r="C21" s="193">
        <v>3</v>
      </c>
      <c r="D21" s="194">
        <v>20000</v>
      </c>
      <c r="E21" s="554">
        <f t="shared" si="0"/>
        <v>60000</v>
      </c>
      <c r="F21" s="176" t="s">
        <v>38</v>
      </c>
      <c r="G21" s="176">
        <v>0</v>
      </c>
      <c r="H21" s="686" t="s">
        <v>158</v>
      </c>
      <c r="I21" s="190" t="s">
        <v>159</v>
      </c>
      <c r="J21" s="179" t="s">
        <v>20</v>
      </c>
      <c r="K21" s="211" t="s">
        <v>83</v>
      </c>
      <c r="L21" s="547" t="s">
        <v>81</v>
      </c>
      <c r="M21" s="488">
        <v>48300</v>
      </c>
      <c r="N21" s="793" t="s">
        <v>160</v>
      </c>
      <c r="O21" s="556" t="s">
        <v>161</v>
      </c>
      <c r="P21" s="488">
        <v>47576</v>
      </c>
      <c r="Q21" s="276" t="s">
        <v>162</v>
      </c>
      <c r="R21" s="794">
        <v>45927</v>
      </c>
      <c r="S21" s="327" t="s">
        <v>163</v>
      </c>
      <c r="T21" s="833"/>
      <c r="U21" s="276"/>
      <c r="V21" s="161"/>
      <c r="W21" s="161"/>
      <c r="X21" s="161"/>
      <c r="Y21" s="161"/>
      <c r="Z21" s="161"/>
    </row>
    <row r="22" spans="1:26" ht="29.25" customHeight="1">
      <c r="A22" s="171">
        <f t="shared" si="1"/>
        <v>18</v>
      </c>
      <c r="B22" s="192" t="s">
        <v>164</v>
      </c>
      <c r="C22" s="193">
        <v>3</v>
      </c>
      <c r="D22" s="194">
        <v>20000</v>
      </c>
      <c r="E22" s="554">
        <f t="shared" si="0"/>
        <v>60000</v>
      </c>
      <c r="F22" s="176" t="s">
        <v>38</v>
      </c>
      <c r="G22" s="176">
        <v>0</v>
      </c>
      <c r="H22" s="686" t="s">
        <v>158</v>
      </c>
      <c r="I22" s="190" t="s">
        <v>159</v>
      </c>
      <c r="J22" s="179" t="s">
        <v>20</v>
      </c>
      <c r="K22" s="211" t="s">
        <v>83</v>
      </c>
      <c r="L22" s="547" t="s">
        <v>81</v>
      </c>
      <c r="M22" s="488">
        <v>58587</v>
      </c>
      <c r="N22" s="793" t="s">
        <v>165</v>
      </c>
      <c r="O22" s="556" t="s">
        <v>161</v>
      </c>
      <c r="P22" s="488">
        <v>58587</v>
      </c>
      <c r="Q22" s="276" t="s">
        <v>166</v>
      </c>
      <c r="R22" s="794">
        <v>45929</v>
      </c>
      <c r="S22" s="795" t="s">
        <v>167</v>
      </c>
      <c r="T22" s="833"/>
      <c r="U22" s="276"/>
      <c r="V22" s="161"/>
      <c r="W22" s="161"/>
      <c r="X22" s="161"/>
      <c r="Y22" s="161"/>
      <c r="Z22" s="161"/>
    </row>
    <row r="23" spans="1:26" ht="28.5" customHeight="1">
      <c r="A23" s="171">
        <f t="shared" si="1"/>
        <v>19</v>
      </c>
      <c r="B23" s="196" t="s">
        <v>168</v>
      </c>
      <c r="C23" s="176">
        <v>3</v>
      </c>
      <c r="D23" s="194">
        <v>20000</v>
      </c>
      <c r="E23" s="554">
        <f t="shared" si="0"/>
        <v>60000</v>
      </c>
      <c r="F23" s="176" t="s">
        <v>38</v>
      </c>
      <c r="G23" s="176">
        <v>0</v>
      </c>
      <c r="H23" s="294" t="s">
        <v>158</v>
      </c>
      <c r="I23" s="190" t="s">
        <v>159</v>
      </c>
      <c r="J23" s="179" t="s">
        <v>20</v>
      </c>
      <c r="K23" s="211" t="s">
        <v>83</v>
      </c>
      <c r="L23" s="547" t="s">
        <v>81</v>
      </c>
      <c r="M23" s="488">
        <v>58410</v>
      </c>
      <c r="N23" s="793" t="s">
        <v>165</v>
      </c>
      <c r="O23" s="556" t="s">
        <v>161</v>
      </c>
      <c r="P23" s="488">
        <v>58410</v>
      </c>
      <c r="Q23" s="276" t="s">
        <v>169</v>
      </c>
      <c r="R23" s="794">
        <v>45924</v>
      </c>
      <c r="S23" s="795" t="s">
        <v>170</v>
      </c>
      <c r="T23" s="833"/>
      <c r="U23" s="276"/>
      <c r="V23" s="161"/>
      <c r="W23" s="161"/>
      <c r="X23" s="161"/>
      <c r="Y23" s="161"/>
      <c r="Z23" s="161"/>
    </row>
    <row r="24" spans="1:26" ht="57" hidden="1">
      <c r="A24" s="171">
        <f t="shared" si="1"/>
        <v>20</v>
      </c>
      <c r="B24" s="197" t="s">
        <v>171</v>
      </c>
      <c r="C24" s="188">
        <v>3</v>
      </c>
      <c r="D24" s="194">
        <v>80000</v>
      </c>
      <c r="E24" s="175">
        <f t="shared" si="0"/>
        <v>240000</v>
      </c>
      <c r="F24" s="176" t="s">
        <v>38</v>
      </c>
      <c r="G24" s="176">
        <v>0</v>
      </c>
      <c r="H24" s="195" t="s">
        <v>158</v>
      </c>
      <c r="I24" s="190" t="s">
        <v>159</v>
      </c>
      <c r="J24" s="179" t="s">
        <v>20</v>
      </c>
      <c r="K24" s="180" t="s">
        <v>83</v>
      </c>
      <c r="L24" s="264" t="s">
        <v>135</v>
      </c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</row>
    <row r="25" spans="1:26" ht="30" hidden="1" customHeight="1">
      <c r="A25" s="171">
        <f t="shared" si="1"/>
        <v>21</v>
      </c>
      <c r="B25" s="172" t="s">
        <v>172</v>
      </c>
      <c r="C25" s="181">
        <v>4</v>
      </c>
      <c r="D25" s="182">
        <v>80000</v>
      </c>
      <c r="E25" s="175">
        <f t="shared" si="0"/>
        <v>320000</v>
      </c>
      <c r="F25" s="173" t="s">
        <v>38</v>
      </c>
      <c r="G25" s="173">
        <v>0</v>
      </c>
      <c r="H25" s="183" t="s">
        <v>173</v>
      </c>
      <c r="I25" s="178" t="s">
        <v>159</v>
      </c>
      <c r="J25" s="179" t="s">
        <v>20</v>
      </c>
      <c r="K25" s="180" t="s">
        <v>83</v>
      </c>
      <c r="L25" s="264" t="s">
        <v>135</v>
      </c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ht="57" hidden="1">
      <c r="A26" s="171">
        <f t="shared" si="1"/>
        <v>22</v>
      </c>
      <c r="B26" s="197" t="s">
        <v>174</v>
      </c>
      <c r="C26" s="188">
        <v>2</v>
      </c>
      <c r="D26" s="198">
        <v>240000</v>
      </c>
      <c r="E26" s="175">
        <f t="shared" si="0"/>
        <v>480000</v>
      </c>
      <c r="F26" s="176" t="s">
        <v>38</v>
      </c>
      <c r="G26" s="176">
        <v>0</v>
      </c>
      <c r="H26" s="195" t="s">
        <v>158</v>
      </c>
      <c r="I26" s="190" t="s">
        <v>159</v>
      </c>
      <c r="J26" s="179" t="s">
        <v>20</v>
      </c>
      <c r="K26" s="180" t="s">
        <v>83</v>
      </c>
      <c r="L26" s="264" t="s">
        <v>135</v>
      </c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ht="30" hidden="1" customHeight="1">
      <c r="A27" s="171">
        <f t="shared" si="1"/>
        <v>23</v>
      </c>
      <c r="B27" s="172" t="s">
        <v>175</v>
      </c>
      <c r="C27" s="181">
        <v>4</v>
      </c>
      <c r="D27" s="182">
        <v>1000</v>
      </c>
      <c r="E27" s="175">
        <f t="shared" si="0"/>
        <v>4000</v>
      </c>
      <c r="F27" s="173" t="s">
        <v>39</v>
      </c>
      <c r="G27" s="173">
        <v>0</v>
      </c>
      <c r="H27" s="183" t="s">
        <v>176</v>
      </c>
      <c r="I27" s="178" t="s">
        <v>159</v>
      </c>
      <c r="J27" s="179" t="s">
        <v>20</v>
      </c>
      <c r="K27" s="180" t="s">
        <v>83</v>
      </c>
      <c r="L27" s="264" t="s">
        <v>135</v>
      </c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ht="30" hidden="1" customHeight="1">
      <c r="A28" s="171">
        <f t="shared" si="1"/>
        <v>24</v>
      </c>
      <c r="B28" s="172" t="s">
        <v>177</v>
      </c>
      <c r="C28" s="181">
        <v>2</v>
      </c>
      <c r="D28" s="182">
        <v>2000</v>
      </c>
      <c r="E28" s="175">
        <f t="shared" si="0"/>
        <v>4000</v>
      </c>
      <c r="F28" s="173" t="s">
        <v>39</v>
      </c>
      <c r="G28" s="173">
        <v>0</v>
      </c>
      <c r="H28" s="183" t="s">
        <v>176</v>
      </c>
      <c r="I28" s="178" t="s">
        <v>159</v>
      </c>
      <c r="J28" s="179" t="s">
        <v>20</v>
      </c>
      <c r="K28" s="180" t="s">
        <v>83</v>
      </c>
      <c r="L28" s="264" t="s">
        <v>135</v>
      </c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ht="30" hidden="1" customHeight="1">
      <c r="A29" s="171">
        <f t="shared" si="1"/>
        <v>25</v>
      </c>
      <c r="B29" s="172" t="s">
        <v>178</v>
      </c>
      <c r="C29" s="181">
        <v>4</v>
      </c>
      <c r="D29" s="182">
        <v>1500</v>
      </c>
      <c r="E29" s="175">
        <f t="shared" si="0"/>
        <v>6000</v>
      </c>
      <c r="F29" s="173" t="s">
        <v>39</v>
      </c>
      <c r="G29" s="173">
        <v>0</v>
      </c>
      <c r="H29" s="183" t="s">
        <v>176</v>
      </c>
      <c r="I29" s="178" t="s">
        <v>159</v>
      </c>
      <c r="J29" s="179" t="s">
        <v>20</v>
      </c>
      <c r="K29" s="180" t="s">
        <v>83</v>
      </c>
      <c r="L29" s="264" t="s">
        <v>135</v>
      </c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ht="30" hidden="1" customHeight="1">
      <c r="A30" s="171">
        <f t="shared" si="1"/>
        <v>26</v>
      </c>
      <c r="B30" s="172" t="s">
        <v>179</v>
      </c>
      <c r="C30" s="181">
        <v>1</v>
      </c>
      <c r="D30" s="182">
        <v>15000</v>
      </c>
      <c r="E30" s="175">
        <f t="shared" si="0"/>
        <v>15000</v>
      </c>
      <c r="F30" s="173" t="s">
        <v>39</v>
      </c>
      <c r="G30" s="173">
        <v>0</v>
      </c>
      <c r="H30" s="183" t="s">
        <v>176</v>
      </c>
      <c r="I30" s="178" t="s">
        <v>159</v>
      </c>
      <c r="J30" s="179" t="s">
        <v>20</v>
      </c>
      <c r="K30" s="180" t="s">
        <v>83</v>
      </c>
      <c r="L30" s="264" t="s">
        <v>135</v>
      </c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ht="39.75" customHeight="1">
      <c r="A31" s="171">
        <f t="shared" si="1"/>
        <v>27</v>
      </c>
      <c r="B31" s="172" t="s">
        <v>180</v>
      </c>
      <c r="C31" s="181">
        <v>2</v>
      </c>
      <c r="D31" s="182">
        <v>12000</v>
      </c>
      <c r="E31" s="554">
        <f t="shared" si="0"/>
        <v>24000</v>
      </c>
      <c r="F31" s="173" t="s">
        <v>39</v>
      </c>
      <c r="G31" s="173">
        <v>0</v>
      </c>
      <c r="H31" s="294" t="s">
        <v>176</v>
      </c>
      <c r="I31" s="178" t="s">
        <v>159</v>
      </c>
      <c r="J31" s="179" t="s">
        <v>20</v>
      </c>
      <c r="K31" s="211" t="s">
        <v>83</v>
      </c>
      <c r="L31" s="547" t="s">
        <v>81</v>
      </c>
      <c r="M31" s="488">
        <v>21776</v>
      </c>
      <c r="N31" s="797" t="s">
        <v>181</v>
      </c>
      <c r="O31" s="790" t="s">
        <v>117</v>
      </c>
      <c r="P31" s="488">
        <v>21200</v>
      </c>
      <c r="Q31" s="276" t="s">
        <v>182</v>
      </c>
      <c r="R31" s="794">
        <v>45882</v>
      </c>
      <c r="S31" s="276" t="s">
        <v>119</v>
      </c>
      <c r="T31" s="833"/>
      <c r="U31" s="276"/>
      <c r="V31" s="161"/>
      <c r="W31" s="161"/>
      <c r="X31" s="161"/>
      <c r="Y31" s="161"/>
      <c r="Z31" s="161"/>
    </row>
    <row r="32" spans="1:26" ht="30" customHeight="1">
      <c r="A32" s="171">
        <f t="shared" si="1"/>
        <v>28</v>
      </c>
      <c r="B32" s="172" t="s">
        <v>183</v>
      </c>
      <c r="C32" s="181">
        <v>1</v>
      </c>
      <c r="D32" s="182">
        <v>25000</v>
      </c>
      <c r="E32" s="796">
        <f t="shared" si="0"/>
        <v>25000</v>
      </c>
      <c r="F32" s="173" t="s">
        <v>39</v>
      </c>
      <c r="G32" s="173">
        <v>0</v>
      </c>
      <c r="H32" s="744" t="s">
        <v>176</v>
      </c>
      <c r="I32" s="745" t="s">
        <v>159</v>
      </c>
      <c r="J32" s="179" t="s">
        <v>20</v>
      </c>
      <c r="K32" s="211" t="s">
        <v>83</v>
      </c>
      <c r="L32" s="264" t="s">
        <v>81</v>
      </c>
      <c r="M32" s="364">
        <v>21900</v>
      </c>
      <c r="N32" s="276" t="s">
        <v>184</v>
      </c>
      <c r="O32" s="556" t="s">
        <v>117</v>
      </c>
      <c r="P32" s="488">
        <v>21890</v>
      </c>
      <c r="Q32" s="276" t="s">
        <v>185</v>
      </c>
      <c r="R32" s="794">
        <v>46077</v>
      </c>
      <c r="S32" s="276" t="s">
        <v>186</v>
      </c>
      <c r="T32" s="833"/>
      <c r="U32" s="276"/>
      <c r="V32" s="161"/>
      <c r="W32" s="161"/>
      <c r="X32" s="161"/>
      <c r="Y32" s="161"/>
      <c r="Z32" s="161"/>
    </row>
    <row r="33" spans="1:26" ht="30" hidden="1" customHeight="1">
      <c r="A33" s="171">
        <f t="shared" si="1"/>
        <v>29</v>
      </c>
      <c r="B33" s="172" t="s">
        <v>187</v>
      </c>
      <c r="C33" s="181">
        <v>1</v>
      </c>
      <c r="D33" s="182">
        <v>30000</v>
      </c>
      <c r="E33" s="175">
        <f t="shared" si="0"/>
        <v>30000</v>
      </c>
      <c r="F33" s="173" t="s">
        <v>39</v>
      </c>
      <c r="G33" s="173">
        <v>0</v>
      </c>
      <c r="H33" s="183" t="s">
        <v>176</v>
      </c>
      <c r="I33" s="178" t="s">
        <v>159</v>
      </c>
      <c r="J33" s="179" t="s">
        <v>20</v>
      </c>
      <c r="K33" s="180" t="s">
        <v>83</v>
      </c>
      <c r="L33" s="264" t="s">
        <v>135</v>
      </c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ht="30" customHeight="1">
      <c r="A34" s="171">
        <f t="shared" si="1"/>
        <v>30</v>
      </c>
      <c r="B34" s="172" t="s">
        <v>188</v>
      </c>
      <c r="C34" s="181">
        <v>1</v>
      </c>
      <c r="D34" s="182">
        <v>35000</v>
      </c>
      <c r="E34" s="796">
        <f t="shared" si="0"/>
        <v>35000</v>
      </c>
      <c r="F34" s="173" t="s">
        <v>39</v>
      </c>
      <c r="G34" s="173">
        <v>0</v>
      </c>
      <c r="H34" s="183" t="s">
        <v>176</v>
      </c>
      <c r="I34" s="178" t="s">
        <v>159</v>
      </c>
      <c r="J34" s="179" t="s">
        <v>20</v>
      </c>
      <c r="K34" s="211" t="s">
        <v>83</v>
      </c>
      <c r="L34" s="264" t="s">
        <v>81</v>
      </c>
      <c r="M34" s="364">
        <v>24900</v>
      </c>
      <c r="N34" s="276" t="s">
        <v>189</v>
      </c>
      <c r="O34" s="556" t="s">
        <v>117</v>
      </c>
      <c r="P34" s="466">
        <v>24601</v>
      </c>
      <c r="Q34" s="276" t="s">
        <v>190</v>
      </c>
      <c r="R34" s="794">
        <v>46084</v>
      </c>
      <c r="S34" s="276" t="s">
        <v>119</v>
      </c>
      <c r="T34" s="833"/>
      <c r="U34" s="276"/>
      <c r="V34" s="161"/>
      <c r="W34" s="161"/>
      <c r="X34" s="161"/>
      <c r="Y34" s="161"/>
      <c r="Z34" s="161"/>
    </row>
    <row r="35" spans="1:26" ht="30" hidden="1" customHeight="1">
      <c r="A35" s="171">
        <f t="shared" si="1"/>
        <v>31</v>
      </c>
      <c r="B35" s="172" t="s">
        <v>191</v>
      </c>
      <c r="C35" s="181">
        <v>3</v>
      </c>
      <c r="D35" s="182">
        <v>15000</v>
      </c>
      <c r="E35" s="175">
        <f t="shared" si="0"/>
        <v>45000</v>
      </c>
      <c r="F35" s="173" t="s">
        <v>39</v>
      </c>
      <c r="G35" s="173">
        <v>0</v>
      </c>
      <c r="H35" s="183" t="s">
        <v>176</v>
      </c>
      <c r="I35" s="178" t="s">
        <v>159</v>
      </c>
      <c r="J35" s="179" t="s">
        <v>20</v>
      </c>
      <c r="K35" s="180" t="s">
        <v>83</v>
      </c>
      <c r="L35" s="264" t="s">
        <v>135</v>
      </c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ht="30" customHeight="1">
      <c r="A36" s="171">
        <f t="shared" si="1"/>
        <v>32</v>
      </c>
      <c r="B36" s="172" t="s">
        <v>192</v>
      </c>
      <c r="C36" s="181">
        <v>3</v>
      </c>
      <c r="D36" s="182">
        <v>16000</v>
      </c>
      <c r="E36" s="796">
        <f t="shared" si="0"/>
        <v>48000</v>
      </c>
      <c r="F36" s="173" t="s">
        <v>39</v>
      </c>
      <c r="G36" s="173">
        <v>0</v>
      </c>
      <c r="H36" s="183" t="s">
        <v>176</v>
      </c>
      <c r="I36" s="178" t="s">
        <v>159</v>
      </c>
      <c r="J36" s="179" t="s">
        <v>20</v>
      </c>
      <c r="K36" s="211" t="s">
        <v>83</v>
      </c>
      <c r="L36" s="264" t="s">
        <v>81</v>
      </c>
      <c r="M36" s="364">
        <v>24314</v>
      </c>
      <c r="N36" s="276" t="s">
        <v>193</v>
      </c>
      <c r="O36" s="556" t="s">
        <v>117</v>
      </c>
      <c r="P36" s="466">
        <v>24192</v>
      </c>
      <c r="Q36" s="276" t="s">
        <v>194</v>
      </c>
      <c r="R36" s="794">
        <v>46084</v>
      </c>
      <c r="S36" s="276" t="s">
        <v>119</v>
      </c>
      <c r="T36" s="833"/>
      <c r="U36" s="276"/>
      <c r="V36" s="161"/>
      <c r="W36" s="161"/>
      <c r="X36" s="161"/>
      <c r="Y36" s="161"/>
      <c r="Z36" s="161"/>
    </row>
    <row r="37" spans="1:26" ht="30" hidden="1" customHeight="1">
      <c r="A37" s="171">
        <f t="shared" si="1"/>
        <v>33</v>
      </c>
      <c r="B37" s="172" t="s">
        <v>195</v>
      </c>
      <c r="C37" s="181">
        <v>3</v>
      </c>
      <c r="D37" s="182">
        <v>16000</v>
      </c>
      <c r="E37" s="175">
        <f t="shared" si="0"/>
        <v>48000</v>
      </c>
      <c r="F37" s="173" t="s">
        <v>39</v>
      </c>
      <c r="G37" s="173">
        <v>0</v>
      </c>
      <c r="H37" s="183" t="s">
        <v>176</v>
      </c>
      <c r="I37" s="178" t="s">
        <v>159</v>
      </c>
      <c r="J37" s="179" t="s">
        <v>20</v>
      </c>
      <c r="K37" s="180" t="s">
        <v>83</v>
      </c>
      <c r="L37" s="264" t="s">
        <v>135</v>
      </c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ht="30" customHeight="1">
      <c r="A38" s="171">
        <f t="shared" ref="A38:A56" si="2">A37+1</f>
        <v>34</v>
      </c>
      <c r="B38" s="172" t="s">
        <v>196</v>
      </c>
      <c r="C38" s="181">
        <v>2</v>
      </c>
      <c r="D38" s="182">
        <v>30000</v>
      </c>
      <c r="E38" s="796">
        <f t="shared" si="0"/>
        <v>60000</v>
      </c>
      <c r="F38" s="173" t="s">
        <v>39</v>
      </c>
      <c r="G38" s="173">
        <v>0</v>
      </c>
      <c r="H38" s="183" t="s">
        <v>176</v>
      </c>
      <c r="I38" s="178" t="s">
        <v>159</v>
      </c>
      <c r="J38" s="179" t="s">
        <v>20</v>
      </c>
      <c r="K38" s="211" t="s">
        <v>83</v>
      </c>
      <c r="L38" s="264" t="s">
        <v>81</v>
      </c>
      <c r="M38" s="364">
        <v>24850</v>
      </c>
      <c r="N38" s="276" t="s">
        <v>189</v>
      </c>
      <c r="O38" s="556" t="s">
        <v>117</v>
      </c>
      <c r="P38" s="466">
        <v>24651</v>
      </c>
      <c r="Q38" s="276" t="s">
        <v>197</v>
      </c>
      <c r="R38" s="794">
        <v>46080</v>
      </c>
      <c r="S38" s="276" t="s">
        <v>119</v>
      </c>
      <c r="T38" s="833"/>
      <c r="U38" s="276"/>
      <c r="V38" s="161"/>
      <c r="W38" s="161"/>
      <c r="X38" s="161"/>
      <c r="Y38" s="161"/>
      <c r="Z38" s="161"/>
    </row>
    <row r="39" spans="1:26" ht="30" hidden="1" customHeight="1">
      <c r="A39" s="171">
        <f t="shared" si="2"/>
        <v>35</v>
      </c>
      <c r="B39" s="172" t="s">
        <v>198</v>
      </c>
      <c r="C39" s="181">
        <v>3</v>
      </c>
      <c r="D39" s="182">
        <v>45000</v>
      </c>
      <c r="E39" s="175">
        <f t="shared" si="0"/>
        <v>135000</v>
      </c>
      <c r="F39" s="173" t="s">
        <v>39</v>
      </c>
      <c r="G39" s="173">
        <v>0</v>
      </c>
      <c r="H39" s="183" t="s">
        <v>176</v>
      </c>
      <c r="I39" s="178" t="s">
        <v>159</v>
      </c>
      <c r="J39" s="179" t="s">
        <v>20</v>
      </c>
      <c r="K39" s="180" t="s">
        <v>83</v>
      </c>
      <c r="L39" s="264" t="s">
        <v>135</v>
      </c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ht="24.75" hidden="1" customHeight="1">
      <c r="A40" s="238">
        <f t="shared" si="2"/>
        <v>36</v>
      </c>
      <c r="B40" s="570" t="s">
        <v>199</v>
      </c>
      <c r="C40" s="571">
        <v>1</v>
      </c>
      <c r="D40" s="572">
        <v>450000</v>
      </c>
      <c r="E40" s="319">
        <f t="shared" si="0"/>
        <v>450000</v>
      </c>
      <c r="F40" s="571" t="s">
        <v>39</v>
      </c>
      <c r="G40" s="176">
        <v>0</v>
      </c>
      <c r="H40" s="195" t="s">
        <v>200</v>
      </c>
      <c r="I40" s="190" t="s">
        <v>159</v>
      </c>
      <c r="J40" s="266" t="s">
        <v>20</v>
      </c>
      <c r="K40" s="273" t="s">
        <v>83</v>
      </c>
      <c r="L40" s="546" t="s">
        <v>135</v>
      </c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s="868" customFormat="1" ht="27" customHeight="1">
      <c r="A41" s="211">
        <f t="shared" si="2"/>
        <v>37</v>
      </c>
      <c r="B41" s="180" t="s">
        <v>201</v>
      </c>
      <c r="C41" s="259">
        <v>1</v>
      </c>
      <c r="D41" s="575">
        <v>480000</v>
      </c>
      <c r="E41" s="687">
        <f t="shared" si="0"/>
        <v>480000</v>
      </c>
      <c r="F41" s="259" t="s">
        <v>39</v>
      </c>
      <c r="G41" s="207">
        <v>0</v>
      </c>
      <c r="H41" s="195" t="s">
        <v>202</v>
      </c>
      <c r="I41" s="688" t="s">
        <v>159</v>
      </c>
      <c r="J41" s="179" t="s">
        <v>20</v>
      </c>
      <c r="K41" s="211" t="s">
        <v>83</v>
      </c>
      <c r="L41" s="547" t="s">
        <v>81</v>
      </c>
      <c r="M41" s="488">
        <v>121400</v>
      </c>
      <c r="N41" s="276" t="s">
        <v>203</v>
      </c>
      <c r="O41" s="556" t="s">
        <v>138</v>
      </c>
      <c r="P41" s="466">
        <v>121400</v>
      </c>
      <c r="Q41" s="276" t="s">
        <v>204</v>
      </c>
      <c r="R41" s="794">
        <v>46063</v>
      </c>
      <c r="S41" s="964" t="s">
        <v>205</v>
      </c>
      <c r="T41" s="276">
        <v>6070</v>
      </c>
      <c r="U41" s="276"/>
      <c r="V41" s="276"/>
      <c r="W41" s="276"/>
      <c r="X41" s="276"/>
      <c r="Y41" s="276"/>
      <c r="Z41" s="276"/>
    </row>
    <row r="42" spans="1:26" ht="71.25" hidden="1">
      <c r="A42" s="244">
        <f t="shared" si="2"/>
        <v>38</v>
      </c>
      <c r="B42" s="197" t="s">
        <v>206</v>
      </c>
      <c r="C42" s="222">
        <v>1</v>
      </c>
      <c r="D42" s="573">
        <v>1000</v>
      </c>
      <c r="E42" s="573">
        <v>1000</v>
      </c>
      <c r="F42" s="222" t="s">
        <v>40</v>
      </c>
      <c r="G42" s="176">
        <v>0</v>
      </c>
      <c r="H42" s="189" t="s">
        <v>207</v>
      </c>
      <c r="I42" s="190" t="s">
        <v>159</v>
      </c>
      <c r="J42" s="574" t="s">
        <v>20</v>
      </c>
      <c r="K42" s="324" t="s">
        <v>83</v>
      </c>
      <c r="L42" s="642" t="s">
        <v>135</v>
      </c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ht="71.25" hidden="1">
      <c r="A43" s="171">
        <f t="shared" si="2"/>
        <v>39</v>
      </c>
      <c r="B43" s="196" t="s">
        <v>208</v>
      </c>
      <c r="C43" s="176">
        <v>2</v>
      </c>
      <c r="D43" s="199">
        <v>2000</v>
      </c>
      <c r="E43" s="175">
        <v>4000</v>
      </c>
      <c r="F43" s="176" t="s">
        <v>40</v>
      </c>
      <c r="G43" s="176">
        <v>2</v>
      </c>
      <c r="H43" s="189" t="s">
        <v>207</v>
      </c>
      <c r="I43" s="190" t="s">
        <v>159</v>
      </c>
      <c r="J43" s="179" t="s">
        <v>20</v>
      </c>
      <c r="K43" s="180" t="s">
        <v>83</v>
      </c>
      <c r="L43" s="264" t="s">
        <v>135</v>
      </c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ht="71.25" hidden="1">
      <c r="A44" s="171">
        <f t="shared" si="2"/>
        <v>40</v>
      </c>
      <c r="B44" s="184" t="s">
        <v>209</v>
      </c>
      <c r="C44" s="176">
        <v>2</v>
      </c>
      <c r="D44" s="199">
        <v>2000</v>
      </c>
      <c r="E44" s="175">
        <v>4000</v>
      </c>
      <c r="F44" s="176" t="s">
        <v>40</v>
      </c>
      <c r="G44" s="176">
        <v>2</v>
      </c>
      <c r="H44" s="189" t="s">
        <v>207</v>
      </c>
      <c r="I44" s="190" t="s">
        <v>159</v>
      </c>
      <c r="J44" s="179" t="s">
        <v>20</v>
      </c>
      <c r="K44" s="180" t="s">
        <v>83</v>
      </c>
      <c r="L44" s="264" t="s">
        <v>135</v>
      </c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ht="71.25" hidden="1">
      <c r="A45" s="171">
        <f t="shared" si="2"/>
        <v>41</v>
      </c>
      <c r="B45" s="196" t="s">
        <v>210</v>
      </c>
      <c r="C45" s="176">
        <v>1</v>
      </c>
      <c r="D45" s="199">
        <v>10000</v>
      </c>
      <c r="E45" s="175">
        <v>10000</v>
      </c>
      <c r="F45" s="176" t="s">
        <v>40</v>
      </c>
      <c r="G45" s="176">
        <v>0</v>
      </c>
      <c r="H45" s="189" t="s">
        <v>207</v>
      </c>
      <c r="I45" s="190" t="s">
        <v>142</v>
      </c>
      <c r="J45" s="179" t="s">
        <v>20</v>
      </c>
      <c r="K45" s="180" t="s">
        <v>83</v>
      </c>
      <c r="L45" s="264" t="s">
        <v>135</v>
      </c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ht="71.25" hidden="1">
      <c r="A46" s="171">
        <f t="shared" si="2"/>
        <v>42</v>
      </c>
      <c r="B46" s="196" t="s">
        <v>211</v>
      </c>
      <c r="C46" s="176">
        <v>1</v>
      </c>
      <c r="D46" s="199">
        <v>20000</v>
      </c>
      <c r="E46" s="199">
        <v>20000</v>
      </c>
      <c r="F46" s="176" t="s">
        <v>40</v>
      </c>
      <c r="G46" s="176">
        <v>1</v>
      </c>
      <c r="H46" s="189" t="s">
        <v>207</v>
      </c>
      <c r="I46" s="190" t="s">
        <v>159</v>
      </c>
      <c r="J46" s="179" t="s">
        <v>20</v>
      </c>
      <c r="K46" s="180" t="s">
        <v>83</v>
      </c>
      <c r="L46" s="264" t="s">
        <v>135</v>
      </c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ht="71.25" hidden="1">
      <c r="A47" s="171">
        <f t="shared" si="2"/>
        <v>43</v>
      </c>
      <c r="B47" s="172" t="s">
        <v>187</v>
      </c>
      <c r="C47" s="176">
        <v>1</v>
      </c>
      <c r="D47" s="199">
        <v>30000</v>
      </c>
      <c r="E47" s="175">
        <f>C47*D47</f>
        <v>30000</v>
      </c>
      <c r="F47" s="176" t="s">
        <v>40</v>
      </c>
      <c r="G47" s="176">
        <v>0</v>
      </c>
      <c r="H47" s="189" t="s">
        <v>207</v>
      </c>
      <c r="I47" s="190" t="s">
        <v>142</v>
      </c>
      <c r="J47" s="179" t="s">
        <v>20</v>
      </c>
      <c r="K47" s="180" t="s">
        <v>83</v>
      </c>
      <c r="L47" s="264" t="s">
        <v>135</v>
      </c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  <row r="48" spans="1:26" ht="71.25" hidden="1">
      <c r="A48" s="171">
        <f t="shared" si="2"/>
        <v>44</v>
      </c>
      <c r="B48" s="172" t="s">
        <v>212</v>
      </c>
      <c r="C48" s="176">
        <v>1</v>
      </c>
      <c r="D48" s="199">
        <v>40000</v>
      </c>
      <c r="E48" s="175">
        <f>C48*D48</f>
        <v>40000</v>
      </c>
      <c r="F48" s="176" t="s">
        <v>40</v>
      </c>
      <c r="G48" s="176">
        <v>1</v>
      </c>
      <c r="H48" s="189" t="s">
        <v>207</v>
      </c>
      <c r="I48" s="190" t="s">
        <v>142</v>
      </c>
      <c r="J48" s="179" t="s">
        <v>20</v>
      </c>
      <c r="K48" s="180" t="s">
        <v>83</v>
      </c>
      <c r="L48" s="264" t="s">
        <v>135</v>
      </c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</row>
    <row r="49" spans="1:26" ht="71.25" hidden="1">
      <c r="A49" s="171">
        <f t="shared" si="2"/>
        <v>45</v>
      </c>
      <c r="B49" s="196" t="s">
        <v>213</v>
      </c>
      <c r="C49" s="176">
        <v>1</v>
      </c>
      <c r="D49" s="199">
        <v>60000</v>
      </c>
      <c r="E49" s="175">
        <v>60000</v>
      </c>
      <c r="F49" s="176" t="s">
        <v>40</v>
      </c>
      <c r="G49" s="200">
        <v>0</v>
      </c>
      <c r="H49" s="189" t="s">
        <v>207</v>
      </c>
      <c r="I49" s="190" t="s">
        <v>142</v>
      </c>
      <c r="J49" s="179" t="s">
        <v>20</v>
      </c>
      <c r="K49" s="180" t="s">
        <v>83</v>
      </c>
      <c r="L49" s="264" t="s">
        <v>135</v>
      </c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1:26" ht="71.25" hidden="1">
      <c r="A50" s="171">
        <f t="shared" si="2"/>
        <v>46</v>
      </c>
      <c r="B50" s="196" t="s">
        <v>214</v>
      </c>
      <c r="C50" s="176">
        <v>1</v>
      </c>
      <c r="D50" s="199">
        <v>80000</v>
      </c>
      <c r="E50" s="175">
        <v>80000</v>
      </c>
      <c r="F50" s="176" t="s">
        <v>40</v>
      </c>
      <c r="G50" s="200">
        <v>0</v>
      </c>
      <c r="H50" s="189" t="s">
        <v>207</v>
      </c>
      <c r="I50" s="190" t="s">
        <v>142</v>
      </c>
      <c r="J50" s="179" t="s">
        <v>20</v>
      </c>
      <c r="K50" s="180" t="s">
        <v>83</v>
      </c>
      <c r="L50" s="264" t="s">
        <v>135</v>
      </c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1:26" ht="71.25" hidden="1">
      <c r="A51" s="171">
        <f t="shared" si="2"/>
        <v>47</v>
      </c>
      <c r="B51" s="201" t="s">
        <v>215</v>
      </c>
      <c r="C51" s="176">
        <v>1</v>
      </c>
      <c r="D51" s="199">
        <v>100000</v>
      </c>
      <c r="E51" s="175">
        <v>100000</v>
      </c>
      <c r="F51" s="176" t="s">
        <v>40</v>
      </c>
      <c r="G51" s="176">
        <v>0</v>
      </c>
      <c r="H51" s="189" t="s">
        <v>207</v>
      </c>
      <c r="I51" s="190" t="s">
        <v>142</v>
      </c>
      <c r="J51" s="179" t="s">
        <v>20</v>
      </c>
      <c r="K51" s="180" t="s">
        <v>83</v>
      </c>
      <c r="L51" s="264" t="s">
        <v>135</v>
      </c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1:26" ht="71.25" hidden="1">
      <c r="A52" s="171">
        <f t="shared" si="2"/>
        <v>48</v>
      </c>
      <c r="B52" s="172" t="s">
        <v>216</v>
      </c>
      <c r="C52" s="176">
        <v>1</v>
      </c>
      <c r="D52" s="199">
        <v>250000</v>
      </c>
      <c r="E52" s="175">
        <f>C52*D52</f>
        <v>250000</v>
      </c>
      <c r="F52" s="176" t="s">
        <v>40</v>
      </c>
      <c r="G52" s="176">
        <v>0</v>
      </c>
      <c r="H52" s="189" t="s">
        <v>207</v>
      </c>
      <c r="I52" s="190" t="s">
        <v>142</v>
      </c>
      <c r="J52" s="179" t="s">
        <v>20</v>
      </c>
      <c r="K52" s="180" t="s">
        <v>83</v>
      </c>
      <c r="L52" s="264" t="s">
        <v>135</v>
      </c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1:26" ht="71.25" hidden="1">
      <c r="A53" s="171">
        <f t="shared" si="2"/>
        <v>49</v>
      </c>
      <c r="B53" s="202" t="s">
        <v>217</v>
      </c>
      <c r="C53" s="173">
        <v>2</v>
      </c>
      <c r="D53" s="174">
        <v>5000</v>
      </c>
      <c r="E53" s="175">
        <v>10000</v>
      </c>
      <c r="F53" s="171" t="s">
        <v>41</v>
      </c>
      <c r="G53" s="176">
        <v>0</v>
      </c>
      <c r="H53" s="177" t="s">
        <v>218</v>
      </c>
      <c r="I53" s="190" t="s">
        <v>115</v>
      </c>
      <c r="J53" s="179" t="s">
        <v>20</v>
      </c>
      <c r="K53" s="180" t="s">
        <v>83</v>
      </c>
      <c r="L53" s="264" t="s">
        <v>135</v>
      </c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  <row r="54" spans="1:26" ht="30" hidden="1" customHeight="1">
      <c r="A54" s="171">
        <f t="shared" si="2"/>
        <v>50</v>
      </c>
      <c r="B54" s="172" t="s">
        <v>219</v>
      </c>
      <c r="C54" s="181">
        <v>1</v>
      </c>
      <c r="D54" s="182">
        <v>35000</v>
      </c>
      <c r="E54" s="175">
        <v>35000</v>
      </c>
      <c r="F54" s="173" t="s">
        <v>41</v>
      </c>
      <c r="G54" s="173">
        <v>0</v>
      </c>
      <c r="H54" s="183" t="s">
        <v>220</v>
      </c>
      <c r="I54" s="178" t="s">
        <v>115</v>
      </c>
      <c r="J54" s="179" t="s">
        <v>20</v>
      </c>
      <c r="K54" s="180" t="s">
        <v>83</v>
      </c>
      <c r="L54" s="264" t="s">
        <v>135</v>
      </c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</row>
    <row r="55" spans="1:26" ht="42" hidden="1" customHeight="1">
      <c r="A55" s="171">
        <f t="shared" si="2"/>
        <v>51</v>
      </c>
      <c r="B55" s="172" t="s">
        <v>221</v>
      </c>
      <c r="C55" s="181">
        <v>1</v>
      </c>
      <c r="D55" s="182">
        <v>3000</v>
      </c>
      <c r="E55" s="175">
        <v>3000</v>
      </c>
      <c r="F55" s="173" t="s">
        <v>42</v>
      </c>
      <c r="G55" s="173">
        <v>0</v>
      </c>
      <c r="H55" s="183" t="s">
        <v>222</v>
      </c>
      <c r="I55" s="178" t="s">
        <v>115</v>
      </c>
      <c r="J55" s="179" t="s">
        <v>20</v>
      </c>
      <c r="K55" s="180" t="s">
        <v>83</v>
      </c>
      <c r="L55" s="264" t="s">
        <v>135</v>
      </c>
      <c r="M55" s="276"/>
      <c r="N55" s="161"/>
      <c r="O55" s="498" t="s">
        <v>223</v>
      </c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</row>
    <row r="56" spans="1:26" ht="30" hidden="1" customHeight="1">
      <c r="A56" s="171">
        <f t="shared" si="2"/>
        <v>52</v>
      </c>
      <c r="B56" s="172" t="s">
        <v>224</v>
      </c>
      <c r="C56" s="181">
        <v>1</v>
      </c>
      <c r="D56" s="182">
        <v>3000</v>
      </c>
      <c r="E56" s="175">
        <v>3000</v>
      </c>
      <c r="F56" s="173" t="s">
        <v>42</v>
      </c>
      <c r="G56" s="173">
        <v>0</v>
      </c>
      <c r="H56" s="183" t="s">
        <v>222</v>
      </c>
      <c r="I56" s="178" t="s">
        <v>115</v>
      </c>
      <c r="J56" s="179" t="s">
        <v>20</v>
      </c>
      <c r="K56" s="180" t="s">
        <v>83</v>
      </c>
      <c r="L56" s="264" t="s">
        <v>135</v>
      </c>
      <c r="M56" s="333"/>
      <c r="N56" s="161"/>
      <c r="O56" s="519" t="s">
        <v>223</v>
      </c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</row>
    <row r="57" spans="1:26" s="976" customFormat="1" ht="30" customHeight="1">
      <c r="A57" s="171">
        <v>54</v>
      </c>
      <c r="B57" s="172" t="s">
        <v>225</v>
      </c>
      <c r="C57" s="181">
        <v>2</v>
      </c>
      <c r="D57" s="182">
        <v>10000</v>
      </c>
      <c r="E57" s="554">
        <v>20000</v>
      </c>
      <c r="F57" s="173" t="s">
        <v>42</v>
      </c>
      <c r="G57" s="173">
        <v>0</v>
      </c>
      <c r="H57" s="183" t="s">
        <v>141</v>
      </c>
      <c r="I57" s="178" t="s">
        <v>115</v>
      </c>
      <c r="J57" s="179" t="s">
        <v>20</v>
      </c>
      <c r="K57" s="211" t="s">
        <v>83</v>
      </c>
      <c r="L57" s="547" t="s">
        <v>81</v>
      </c>
      <c r="M57" s="798">
        <v>16000</v>
      </c>
      <c r="N57" s="276" t="s">
        <v>226</v>
      </c>
      <c r="O57" s="556" t="s">
        <v>117</v>
      </c>
      <c r="P57" s="466">
        <v>16000</v>
      </c>
      <c r="Q57" s="276" t="s">
        <v>227</v>
      </c>
      <c r="R57" s="794">
        <v>45926</v>
      </c>
      <c r="S57" s="276" t="s">
        <v>119</v>
      </c>
      <c r="T57" s="833"/>
      <c r="U57" s="276"/>
      <c r="V57" s="975"/>
      <c r="W57" s="975"/>
      <c r="X57" s="975"/>
      <c r="Y57" s="975"/>
      <c r="Z57" s="975"/>
    </row>
    <row r="58" spans="1:26" ht="30" hidden="1" customHeight="1">
      <c r="A58" s="171">
        <v>56</v>
      </c>
      <c r="B58" s="172" t="s">
        <v>228</v>
      </c>
      <c r="C58" s="181">
        <v>8</v>
      </c>
      <c r="D58" s="182">
        <v>3000</v>
      </c>
      <c r="E58" s="175">
        <v>24000</v>
      </c>
      <c r="F58" s="173" t="s">
        <v>42</v>
      </c>
      <c r="G58" s="173">
        <v>8</v>
      </c>
      <c r="H58" s="183" t="s">
        <v>141</v>
      </c>
      <c r="I58" s="178" t="s">
        <v>115</v>
      </c>
      <c r="J58" s="179" t="s">
        <v>20</v>
      </c>
      <c r="K58" s="180" t="s">
        <v>83</v>
      </c>
      <c r="L58" s="264" t="s">
        <v>135</v>
      </c>
      <c r="M58" s="276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</row>
    <row r="59" spans="1:26" ht="30" hidden="1" customHeight="1">
      <c r="A59" s="171">
        <v>57</v>
      </c>
      <c r="B59" s="172" t="s">
        <v>229</v>
      </c>
      <c r="C59" s="181">
        <v>1</v>
      </c>
      <c r="D59" s="182">
        <v>90000</v>
      </c>
      <c r="E59" s="175">
        <v>90000</v>
      </c>
      <c r="F59" s="173" t="s">
        <v>42</v>
      </c>
      <c r="G59" s="173">
        <v>0</v>
      </c>
      <c r="H59" s="183" t="s">
        <v>230</v>
      </c>
      <c r="I59" s="178" t="s">
        <v>115</v>
      </c>
      <c r="J59" s="179" t="s">
        <v>20</v>
      </c>
      <c r="K59" s="180" t="s">
        <v>83</v>
      </c>
      <c r="L59" s="264" t="s">
        <v>135</v>
      </c>
      <c r="M59" s="333"/>
      <c r="N59" s="161"/>
      <c r="O59" s="519" t="s">
        <v>231</v>
      </c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</row>
    <row r="60" spans="1:26" ht="41.25" hidden="1" customHeight="1">
      <c r="A60" s="171">
        <f>A59+1</f>
        <v>58</v>
      </c>
      <c r="B60" s="172" t="s">
        <v>232</v>
      </c>
      <c r="C60" s="181">
        <v>1</v>
      </c>
      <c r="D60" s="182">
        <v>120000</v>
      </c>
      <c r="E60" s="796">
        <v>120000</v>
      </c>
      <c r="F60" s="173" t="s">
        <v>42</v>
      </c>
      <c r="G60" s="173">
        <v>0</v>
      </c>
      <c r="H60" s="183" t="s">
        <v>222</v>
      </c>
      <c r="I60" s="178" t="s">
        <v>115</v>
      </c>
      <c r="J60" s="179" t="s">
        <v>20</v>
      </c>
      <c r="K60" s="211" t="s">
        <v>83</v>
      </c>
      <c r="L60" s="547" t="s">
        <v>233</v>
      </c>
      <c r="M60" s="276">
        <v>0</v>
      </c>
      <c r="N60" s="276"/>
      <c r="O60" s="904" t="s">
        <v>234</v>
      </c>
      <c r="P60" s="466">
        <v>0</v>
      </c>
      <c r="Q60" s="276" t="s">
        <v>119</v>
      </c>
      <c r="R60" s="276" t="s">
        <v>119</v>
      </c>
      <c r="S60" s="276" t="s">
        <v>119</v>
      </c>
      <c r="T60" s="276"/>
      <c r="U60" s="276"/>
      <c r="V60" s="161"/>
      <c r="W60" s="161"/>
      <c r="X60" s="161"/>
      <c r="Y60" s="161"/>
      <c r="Z60" s="161"/>
    </row>
    <row r="61" spans="1:26" s="976" customFormat="1" ht="43.5" customHeight="1">
      <c r="A61" s="171">
        <v>59</v>
      </c>
      <c r="B61" s="172" t="s">
        <v>235</v>
      </c>
      <c r="C61" s="173">
        <v>20</v>
      </c>
      <c r="D61" s="174">
        <v>1200</v>
      </c>
      <c r="E61" s="554">
        <v>240000</v>
      </c>
      <c r="F61" s="173" t="s">
        <v>42</v>
      </c>
      <c r="G61" s="173">
        <v>0</v>
      </c>
      <c r="H61" s="294" t="s">
        <v>236</v>
      </c>
      <c r="I61" s="178" t="s">
        <v>115</v>
      </c>
      <c r="J61" s="179" t="s">
        <v>20</v>
      </c>
      <c r="K61" s="211" t="s">
        <v>83</v>
      </c>
      <c r="L61" s="547" t="s">
        <v>81</v>
      </c>
      <c r="M61" s="798">
        <v>24800</v>
      </c>
      <c r="N61" s="276" t="s">
        <v>237</v>
      </c>
      <c r="O61" s="556" t="s">
        <v>117</v>
      </c>
      <c r="P61" s="466">
        <v>24800</v>
      </c>
      <c r="Q61" s="276" t="s">
        <v>238</v>
      </c>
      <c r="R61" s="794">
        <v>45512</v>
      </c>
      <c r="S61" s="276" t="s">
        <v>119</v>
      </c>
      <c r="T61" s="833"/>
      <c r="U61" s="276"/>
      <c r="V61" s="975"/>
      <c r="W61" s="975"/>
      <c r="X61" s="975"/>
      <c r="Y61" s="975"/>
      <c r="Z61" s="975"/>
    </row>
    <row r="62" spans="1:26" ht="33" hidden="1" customHeight="1">
      <c r="A62" s="171">
        <v>60</v>
      </c>
      <c r="B62" s="196" t="s">
        <v>239</v>
      </c>
      <c r="C62" s="176">
        <v>1</v>
      </c>
      <c r="D62" s="199">
        <v>281000</v>
      </c>
      <c r="E62" s="554">
        <f t="shared" ref="E62:E82" si="3">C62*D62</f>
        <v>281000</v>
      </c>
      <c r="F62" s="176" t="s">
        <v>240</v>
      </c>
      <c r="G62" s="285">
        <v>0</v>
      </c>
      <c r="H62" s="295" t="s">
        <v>241</v>
      </c>
      <c r="I62" s="283" t="s">
        <v>159</v>
      </c>
      <c r="J62" s="284" t="s">
        <v>20</v>
      </c>
      <c r="K62" s="211" t="s">
        <v>83</v>
      </c>
      <c r="L62" s="547" t="s">
        <v>233</v>
      </c>
      <c r="M62" s="276">
        <v>0</v>
      </c>
      <c r="N62" s="466"/>
      <c r="O62" s="904" t="s">
        <v>242</v>
      </c>
      <c r="P62" s="466">
        <v>0</v>
      </c>
      <c r="Q62" s="276" t="s">
        <v>119</v>
      </c>
      <c r="R62" s="276" t="s">
        <v>119</v>
      </c>
      <c r="S62" s="276" t="s">
        <v>119</v>
      </c>
      <c r="T62" s="276"/>
      <c r="U62" s="276"/>
      <c r="V62" s="161"/>
      <c r="W62" s="161"/>
      <c r="X62" s="161"/>
      <c r="Y62" s="161"/>
      <c r="Z62" s="161"/>
    </row>
    <row r="63" spans="1:26" s="976" customFormat="1" ht="30" customHeight="1">
      <c r="A63" s="171">
        <f t="shared" ref="A63:A93" si="4">A62+1</f>
        <v>61</v>
      </c>
      <c r="B63" s="172" t="s">
        <v>243</v>
      </c>
      <c r="C63" s="181">
        <v>1</v>
      </c>
      <c r="D63" s="182">
        <v>11000</v>
      </c>
      <c r="E63" s="554">
        <f t="shared" si="3"/>
        <v>11000</v>
      </c>
      <c r="F63" s="173" t="s">
        <v>44</v>
      </c>
      <c r="G63" s="173">
        <v>0</v>
      </c>
      <c r="H63" s="183" t="s">
        <v>244</v>
      </c>
      <c r="I63" s="178" t="s">
        <v>115</v>
      </c>
      <c r="J63" s="179" t="s">
        <v>20</v>
      </c>
      <c r="K63" s="211" t="s">
        <v>83</v>
      </c>
      <c r="L63" s="547" t="s">
        <v>81</v>
      </c>
      <c r="M63" s="798">
        <v>5754</v>
      </c>
      <c r="N63" s="276" t="s">
        <v>245</v>
      </c>
      <c r="O63" s="556" t="s">
        <v>117</v>
      </c>
      <c r="P63" s="466">
        <v>5754</v>
      </c>
      <c r="Q63" s="276" t="s">
        <v>246</v>
      </c>
      <c r="R63" s="794">
        <v>45898</v>
      </c>
      <c r="S63" s="276" t="s">
        <v>119</v>
      </c>
      <c r="T63" s="833"/>
      <c r="U63" s="276"/>
      <c r="V63" s="975"/>
      <c r="W63" s="975"/>
      <c r="X63" s="975"/>
      <c r="Y63" s="975"/>
      <c r="Z63" s="975"/>
    </row>
    <row r="64" spans="1:26" ht="85.5" hidden="1">
      <c r="A64" s="171">
        <f t="shared" si="4"/>
        <v>62</v>
      </c>
      <c r="B64" s="172" t="s">
        <v>247</v>
      </c>
      <c r="C64" s="173">
        <v>3</v>
      </c>
      <c r="D64" s="174">
        <v>5000</v>
      </c>
      <c r="E64" s="175">
        <f t="shared" si="3"/>
        <v>15000</v>
      </c>
      <c r="F64" s="173" t="s">
        <v>44</v>
      </c>
      <c r="G64" s="173">
        <v>2</v>
      </c>
      <c r="H64" s="183" t="s">
        <v>244</v>
      </c>
      <c r="I64" s="178" t="s">
        <v>115</v>
      </c>
      <c r="J64" s="179" t="s">
        <v>20</v>
      </c>
      <c r="K64" s="180" t="s">
        <v>83</v>
      </c>
      <c r="L64" s="264" t="s">
        <v>135</v>
      </c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</row>
    <row r="65" spans="1:26" s="976" customFormat="1" ht="85.5">
      <c r="A65" s="171">
        <f t="shared" si="4"/>
        <v>63</v>
      </c>
      <c r="B65" s="172" t="s">
        <v>248</v>
      </c>
      <c r="C65" s="173">
        <v>1</v>
      </c>
      <c r="D65" s="174">
        <v>24000</v>
      </c>
      <c r="E65" s="554">
        <f t="shared" si="3"/>
        <v>24000</v>
      </c>
      <c r="F65" s="173" t="s">
        <v>44</v>
      </c>
      <c r="G65" s="173">
        <v>0</v>
      </c>
      <c r="H65" s="183" t="s">
        <v>244</v>
      </c>
      <c r="I65" s="178" t="s">
        <v>115</v>
      </c>
      <c r="J65" s="179" t="s">
        <v>20</v>
      </c>
      <c r="K65" s="211" t="s">
        <v>83</v>
      </c>
      <c r="L65" s="547" t="s">
        <v>81</v>
      </c>
      <c r="M65" s="488">
        <v>22001</v>
      </c>
      <c r="N65" s="276" t="s">
        <v>249</v>
      </c>
      <c r="O65" s="556" t="s">
        <v>117</v>
      </c>
      <c r="P65" s="466">
        <v>21891</v>
      </c>
      <c r="Q65" s="276" t="s">
        <v>250</v>
      </c>
      <c r="R65" s="794">
        <v>45902</v>
      </c>
      <c r="S65" s="276" t="s">
        <v>119</v>
      </c>
      <c r="T65" s="833"/>
      <c r="U65" s="276"/>
      <c r="V65" s="975"/>
      <c r="W65" s="975"/>
      <c r="X65" s="975"/>
      <c r="Y65" s="975"/>
      <c r="Z65" s="975"/>
    </row>
    <row r="66" spans="1:26" ht="85.5">
      <c r="A66" s="171">
        <f t="shared" si="4"/>
        <v>64</v>
      </c>
      <c r="B66" s="172" t="s">
        <v>251</v>
      </c>
      <c r="C66" s="173">
        <v>1</v>
      </c>
      <c r="D66" s="174">
        <v>40000</v>
      </c>
      <c r="E66" s="554">
        <f t="shared" si="3"/>
        <v>40000</v>
      </c>
      <c r="F66" s="173" t="s">
        <v>44</v>
      </c>
      <c r="G66" s="173">
        <v>0</v>
      </c>
      <c r="H66" s="294" t="s">
        <v>244</v>
      </c>
      <c r="I66" s="178" t="s">
        <v>115</v>
      </c>
      <c r="J66" s="179" t="s">
        <v>20</v>
      </c>
      <c r="K66" s="211" t="s">
        <v>83</v>
      </c>
      <c r="L66" s="547" t="s">
        <v>81</v>
      </c>
      <c r="M66" s="488">
        <v>29890</v>
      </c>
      <c r="N66" s="276" t="s">
        <v>252</v>
      </c>
      <c r="O66" s="556" t="s">
        <v>253</v>
      </c>
      <c r="P66" s="488">
        <v>29890</v>
      </c>
      <c r="Q66" s="276" t="s">
        <v>254</v>
      </c>
      <c r="R66" s="794">
        <v>46019</v>
      </c>
      <c r="S66" s="276" t="s">
        <v>119</v>
      </c>
      <c r="T66" s="833"/>
      <c r="U66" s="276"/>
      <c r="V66" s="161"/>
      <c r="W66" s="161"/>
      <c r="X66" s="161"/>
      <c r="Y66" s="161"/>
      <c r="Z66" s="161"/>
    </row>
    <row r="67" spans="1:26" ht="85.5">
      <c r="A67" s="171">
        <f t="shared" si="4"/>
        <v>65</v>
      </c>
      <c r="B67" s="172" t="s">
        <v>255</v>
      </c>
      <c r="C67" s="173">
        <v>2</v>
      </c>
      <c r="D67" s="174">
        <v>20000</v>
      </c>
      <c r="E67" s="554">
        <f t="shared" si="3"/>
        <v>40000</v>
      </c>
      <c r="F67" s="173" t="s">
        <v>44</v>
      </c>
      <c r="G67" s="173">
        <v>0</v>
      </c>
      <c r="H67" s="294" t="s">
        <v>244</v>
      </c>
      <c r="I67" s="178" t="s">
        <v>115</v>
      </c>
      <c r="J67" s="179" t="s">
        <v>20</v>
      </c>
      <c r="K67" s="211" t="s">
        <v>83</v>
      </c>
      <c r="L67" s="547" t="s">
        <v>81</v>
      </c>
      <c r="M67" s="488">
        <v>38740</v>
      </c>
      <c r="N67" s="276" t="s">
        <v>252</v>
      </c>
      <c r="O67" s="556" t="s">
        <v>253</v>
      </c>
      <c r="P67" s="799">
        <v>38740</v>
      </c>
      <c r="Q67" s="276" t="s">
        <v>256</v>
      </c>
      <c r="R67" s="794">
        <v>46019</v>
      </c>
      <c r="S67" s="276" t="s">
        <v>154</v>
      </c>
      <c r="T67" s="833"/>
      <c r="U67" s="276"/>
      <c r="V67" s="161"/>
      <c r="W67" s="161"/>
      <c r="X67" s="161"/>
      <c r="Y67" s="161"/>
      <c r="Z67" s="161"/>
    </row>
    <row r="68" spans="1:26" ht="85.5" hidden="1">
      <c r="A68" s="171">
        <f t="shared" si="4"/>
        <v>66</v>
      </c>
      <c r="B68" s="172" t="s">
        <v>257</v>
      </c>
      <c r="C68" s="173">
        <v>1</v>
      </c>
      <c r="D68" s="174">
        <v>75000</v>
      </c>
      <c r="E68" s="175">
        <f t="shared" si="3"/>
        <v>75000</v>
      </c>
      <c r="F68" s="173" t="s">
        <v>44</v>
      </c>
      <c r="G68" s="173">
        <v>0</v>
      </c>
      <c r="H68" s="183" t="s">
        <v>244</v>
      </c>
      <c r="I68" s="178" t="s">
        <v>115</v>
      </c>
      <c r="J68" s="179" t="s">
        <v>20</v>
      </c>
      <c r="K68" s="180" t="s">
        <v>83</v>
      </c>
      <c r="L68" s="264" t="s">
        <v>135</v>
      </c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</row>
    <row r="69" spans="1:26" ht="85.5">
      <c r="A69" s="171">
        <f t="shared" si="4"/>
        <v>67</v>
      </c>
      <c r="B69" s="172" t="s">
        <v>258</v>
      </c>
      <c r="C69" s="173">
        <v>6</v>
      </c>
      <c r="D69" s="174">
        <v>25000</v>
      </c>
      <c r="E69" s="554">
        <f t="shared" si="3"/>
        <v>150000</v>
      </c>
      <c r="F69" s="173" t="s">
        <v>44</v>
      </c>
      <c r="G69" s="173">
        <v>2</v>
      </c>
      <c r="H69" s="294" t="s">
        <v>244</v>
      </c>
      <c r="I69" s="178" t="s">
        <v>115</v>
      </c>
      <c r="J69" s="179" t="s">
        <v>259</v>
      </c>
      <c r="K69" s="211" t="s">
        <v>83</v>
      </c>
      <c r="L69" s="547" t="s">
        <v>81</v>
      </c>
      <c r="M69" s="488">
        <v>149280</v>
      </c>
      <c r="N69" s="276" t="s">
        <v>252</v>
      </c>
      <c r="O69" s="556" t="s">
        <v>253</v>
      </c>
      <c r="P69" s="488">
        <v>149280</v>
      </c>
      <c r="Q69" s="276" t="s">
        <v>260</v>
      </c>
      <c r="R69" s="794">
        <v>46019</v>
      </c>
      <c r="S69" s="276" t="s">
        <v>119</v>
      </c>
      <c r="T69" s="833"/>
      <c r="U69" s="276"/>
      <c r="V69" s="161"/>
      <c r="W69" s="161"/>
      <c r="X69" s="161"/>
      <c r="Y69" s="161"/>
      <c r="Z69" s="161"/>
    </row>
    <row r="70" spans="1:26" ht="85.5">
      <c r="A70" s="171">
        <f t="shared" si="4"/>
        <v>68</v>
      </c>
      <c r="B70" s="172" t="s">
        <v>261</v>
      </c>
      <c r="C70" s="173">
        <v>2</v>
      </c>
      <c r="D70" s="174">
        <v>40000</v>
      </c>
      <c r="E70" s="554">
        <f t="shared" si="3"/>
        <v>80000</v>
      </c>
      <c r="F70" s="173" t="s">
        <v>44</v>
      </c>
      <c r="G70" s="173">
        <v>1</v>
      </c>
      <c r="H70" s="294" t="s">
        <v>244</v>
      </c>
      <c r="I70" s="178" t="s">
        <v>115</v>
      </c>
      <c r="J70" s="179" t="s">
        <v>20</v>
      </c>
      <c r="K70" s="211" t="s">
        <v>83</v>
      </c>
      <c r="L70" s="547" t="s">
        <v>81</v>
      </c>
      <c r="M70" s="488">
        <v>53000</v>
      </c>
      <c r="N70" s="276" t="s">
        <v>252</v>
      </c>
      <c r="O70" s="556" t="s">
        <v>253</v>
      </c>
      <c r="P70" s="799">
        <v>53000</v>
      </c>
      <c r="Q70" s="276" t="s">
        <v>262</v>
      </c>
      <c r="R70" s="794">
        <v>47115</v>
      </c>
      <c r="S70" s="276" t="s">
        <v>119</v>
      </c>
      <c r="T70" s="833"/>
      <c r="U70" s="276"/>
      <c r="V70" s="161"/>
      <c r="W70" s="161"/>
      <c r="X70" s="161"/>
      <c r="Y70" s="161"/>
      <c r="Z70" s="161"/>
    </row>
    <row r="71" spans="1:26" ht="24.95" customHeight="1">
      <c r="A71" s="171">
        <f t="shared" si="4"/>
        <v>69</v>
      </c>
      <c r="B71" s="172" t="s">
        <v>263</v>
      </c>
      <c r="C71" s="173">
        <v>1</v>
      </c>
      <c r="D71" s="174">
        <v>81000</v>
      </c>
      <c r="E71" s="554">
        <f t="shared" si="3"/>
        <v>81000</v>
      </c>
      <c r="F71" s="173" t="s">
        <v>44</v>
      </c>
      <c r="G71" s="173">
        <v>0</v>
      </c>
      <c r="H71" s="294" t="s">
        <v>244</v>
      </c>
      <c r="I71" s="178" t="s">
        <v>115</v>
      </c>
      <c r="J71" s="179" t="s">
        <v>20</v>
      </c>
      <c r="K71" s="211" t="s">
        <v>83</v>
      </c>
      <c r="L71" s="547" t="s">
        <v>81</v>
      </c>
      <c r="M71" s="488">
        <v>58700</v>
      </c>
      <c r="N71" s="276" t="s">
        <v>264</v>
      </c>
      <c r="O71" s="556" t="s">
        <v>253</v>
      </c>
      <c r="P71" s="799">
        <v>58700</v>
      </c>
      <c r="Q71" s="276" t="s">
        <v>265</v>
      </c>
      <c r="R71" s="794">
        <v>46027</v>
      </c>
      <c r="S71" s="276" t="s">
        <v>154</v>
      </c>
      <c r="T71" s="833"/>
      <c r="U71" s="276"/>
      <c r="V71" s="161"/>
      <c r="W71" s="161"/>
      <c r="X71" s="161"/>
      <c r="Y71" s="161"/>
      <c r="Z71" s="161"/>
    </row>
    <row r="72" spans="1:26" ht="85.5">
      <c r="A72" s="171">
        <f t="shared" si="4"/>
        <v>70</v>
      </c>
      <c r="B72" s="172" t="s">
        <v>266</v>
      </c>
      <c r="C72" s="173">
        <v>1</v>
      </c>
      <c r="D72" s="174">
        <v>90000</v>
      </c>
      <c r="E72" s="554">
        <f t="shared" si="3"/>
        <v>90000</v>
      </c>
      <c r="F72" s="173" t="s">
        <v>44</v>
      </c>
      <c r="G72" s="173">
        <v>0</v>
      </c>
      <c r="H72" s="294" t="s">
        <v>244</v>
      </c>
      <c r="I72" s="178" t="s">
        <v>115</v>
      </c>
      <c r="J72" s="179" t="s">
        <v>20</v>
      </c>
      <c r="K72" s="211" t="s">
        <v>83</v>
      </c>
      <c r="L72" s="547" t="s">
        <v>81</v>
      </c>
      <c r="M72" s="488">
        <v>41900</v>
      </c>
      <c r="N72" s="276" t="s">
        <v>267</v>
      </c>
      <c r="O72" s="556" t="s">
        <v>253</v>
      </c>
      <c r="P72" s="799">
        <v>41900</v>
      </c>
      <c r="Q72" s="276" t="s">
        <v>268</v>
      </c>
      <c r="R72" s="794">
        <v>46034</v>
      </c>
      <c r="S72" s="276" t="s">
        <v>154</v>
      </c>
      <c r="T72" s="833"/>
      <c r="U72" s="276"/>
      <c r="V72" s="161"/>
      <c r="W72" s="161"/>
      <c r="X72" s="161"/>
      <c r="Y72" s="161"/>
      <c r="Z72" s="161"/>
    </row>
    <row r="73" spans="1:26" ht="85.5" hidden="1">
      <c r="A73" s="171">
        <f t="shared" si="4"/>
        <v>71</v>
      </c>
      <c r="B73" s="172" t="s">
        <v>269</v>
      </c>
      <c r="C73" s="173">
        <v>1</v>
      </c>
      <c r="D73" s="174">
        <v>140000</v>
      </c>
      <c r="E73" s="554">
        <f t="shared" si="3"/>
        <v>140000</v>
      </c>
      <c r="F73" s="173" t="s">
        <v>44</v>
      </c>
      <c r="G73" s="173">
        <v>0</v>
      </c>
      <c r="H73" s="183" t="s">
        <v>244</v>
      </c>
      <c r="I73" s="178" t="s">
        <v>115</v>
      </c>
      <c r="J73" s="179" t="s">
        <v>20</v>
      </c>
      <c r="K73" s="497" t="s">
        <v>83</v>
      </c>
      <c r="L73" s="547" t="s">
        <v>233</v>
      </c>
      <c r="M73" s="276">
        <v>0</v>
      </c>
      <c r="N73" s="466"/>
      <c r="O73" s="556"/>
      <c r="P73" s="466">
        <v>0</v>
      </c>
      <c r="Q73" s="276" t="s">
        <v>119</v>
      </c>
      <c r="R73" s="276" t="s">
        <v>119</v>
      </c>
      <c r="S73" s="276" t="s">
        <v>119</v>
      </c>
      <c r="T73" s="276"/>
      <c r="U73" s="276"/>
      <c r="V73" s="161"/>
      <c r="W73" s="161"/>
      <c r="X73" s="161"/>
      <c r="Y73" s="161"/>
      <c r="Z73" s="161"/>
    </row>
    <row r="74" spans="1:26" ht="24.95" customHeight="1">
      <c r="A74" s="171">
        <f t="shared" si="4"/>
        <v>72</v>
      </c>
      <c r="B74" s="172" t="s">
        <v>270</v>
      </c>
      <c r="C74" s="173">
        <v>1</v>
      </c>
      <c r="D74" s="174">
        <v>200000</v>
      </c>
      <c r="E74" s="554">
        <f t="shared" si="3"/>
        <v>200000</v>
      </c>
      <c r="F74" s="173" t="s">
        <v>44</v>
      </c>
      <c r="G74" s="173">
        <v>0</v>
      </c>
      <c r="H74" s="294" t="s">
        <v>244</v>
      </c>
      <c r="I74" s="178" t="s">
        <v>115</v>
      </c>
      <c r="J74" s="179" t="s">
        <v>20</v>
      </c>
      <c r="K74" s="211" t="s">
        <v>83</v>
      </c>
      <c r="L74" s="547" t="s">
        <v>81</v>
      </c>
      <c r="M74" s="488">
        <v>98800</v>
      </c>
      <c r="N74" s="276" t="s">
        <v>271</v>
      </c>
      <c r="O74" s="556" t="s">
        <v>253</v>
      </c>
      <c r="P74" s="488">
        <v>98800</v>
      </c>
      <c r="Q74" s="276" t="s">
        <v>272</v>
      </c>
      <c r="R74" s="794">
        <v>46029</v>
      </c>
      <c r="S74" s="276" t="s">
        <v>154</v>
      </c>
      <c r="T74" s="833"/>
      <c r="U74" s="276"/>
      <c r="V74" s="161"/>
      <c r="W74" s="161"/>
      <c r="X74" s="161"/>
      <c r="Y74" s="161"/>
      <c r="Z74" s="161"/>
    </row>
    <row r="75" spans="1:26" ht="24.95" customHeight="1">
      <c r="A75" s="171">
        <f t="shared" si="4"/>
        <v>73</v>
      </c>
      <c r="B75" s="172" t="s">
        <v>273</v>
      </c>
      <c r="C75" s="173">
        <v>1</v>
      </c>
      <c r="D75" s="174">
        <v>200000</v>
      </c>
      <c r="E75" s="554">
        <f t="shared" si="3"/>
        <v>200000</v>
      </c>
      <c r="F75" s="173" t="s">
        <v>44</v>
      </c>
      <c r="G75" s="173">
        <v>0</v>
      </c>
      <c r="H75" s="294" t="s">
        <v>244</v>
      </c>
      <c r="I75" s="178" t="s">
        <v>115</v>
      </c>
      <c r="J75" s="179" t="s">
        <v>20</v>
      </c>
      <c r="K75" s="211" t="s">
        <v>83</v>
      </c>
      <c r="L75" s="547" t="s">
        <v>81</v>
      </c>
      <c r="M75" s="488">
        <v>165275</v>
      </c>
      <c r="N75" s="276" t="s">
        <v>274</v>
      </c>
      <c r="O75" s="556" t="s">
        <v>253</v>
      </c>
      <c r="P75" s="799">
        <v>165275</v>
      </c>
      <c r="Q75" s="276" t="s">
        <v>275</v>
      </c>
      <c r="R75" s="794">
        <v>46015</v>
      </c>
      <c r="S75" s="276" t="s">
        <v>154</v>
      </c>
      <c r="T75" s="833"/>
      <c r="U75" s="276"/>
      <c r="V75" s="161"/>
      <c r="W75" s="161"/>
      <c r="X75" s="161"/>
      <c r="Y75" s="161"/>
      <c r="Z75" s="161"/>
    </row>
    <row r="76" spans="1:26" ht="85.5" hidden="1">
      <c r="A76" s="171">
        <f t="shared" si="4"/>
        <v>74</v>
      </c>
      <c r="B76" s="172" t="s">
        <v>276</v>
      </c>
      <c r="C76" s="173">
        <v>1</v>
      </c>
      <c r="D76" s="174">
        <v>490000</v>
      </c>
      <c r="E76" s="554">
        <f t="shared" si="3"/>
        <v>490000</v>
      </c>
      <c r="F76" s="173" t="s">
        <v>44</v>
      </c>
      <c r="G76" s="173">
        <v>0</v>
      </c>
      <c r="H76" s="294" t="s">
        <v>244</v>
      </c>
      <c r="I76" s="178" t="s">
        <v>115</v>
      </c>
      <c r="J76" s="179" t="s">
        <v>20</v>
      </c>
      <c r="K76" s="497" t="s">
        <v>83</v>
      </c>
      <c r="L76" s="547" t="s">
        <v>233</v>
      </c>
      <c r="M76" s="276">
        <v>0</v>
      </c>
      <c r="N76" s="466"/>
      <c r="O76" s="556"/>
      <c r="P76" s="466">
        <v>0</v>
      </c>
      <c r="Q76" s="276" t="s">
        <v>119</v>
      </c>
      <c r="R76" s="276" t="s">
        <v>119</v>
      </c>
      <c r="S76" s="276" t="s">
        <v>119</v>
      </c>
      <c r="T76" s="276"/>
      <c r="U76" s="276"/>
      <c r="V76" s="161"/>
      <c r="W76" s="161"/>
      <c r="X76" s="161"/>
      <c r="Y76" s="161"/>
      <c r="Z76" s="161"/>
    </row>
    <row r="77" spans="1:26" ht="99.75" hidden="1">
      <c r="A77" s="171">
        <f t="shared" si="4"/>
        <v>75</v>
      </c>
      <c r="B77" s="172" t="s">
        <v>277</v>
      </c>
      <c r="C77" s="173">
        <v>2</v>
      </c>
      <c r="D77" s="175">
        <v>5000</v>
      </c>
      <c r="E77" s="175">
        <f t="shared" si="3"/>
        <v>10000</v>
      </c>
      <c r="F77" s="176" t="s">
        <v>46</v>
      </c>
      <c r="G77" s="176">
        <v>0</v>
      </c>
      <c r="H77" s="183" t="s">
        <v>278</v>
      </c>
      <c r="I77" s="190" t="s">
        <v>142</v>
      </c>
      <c r="J77" s="179" t="s">
        <v>20</v>
      </c>
      <c r="K77" s="180" t="s">
        <v>83</v>
      </c>
      <c r="L77" s="264" t="s">
        <v>135</v>
      </c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</row>
    <row r="78" spans="1:26" ht="30" hidden="1" customHeight="1">
      <c r="A78" s="171">
        <f t="shared" si="4"/>
        <v>76</v>
      </c>
      <c r="B78" s="172" t="s">
        <v>279</v>
      </c>
      <c r="C78" s="181">
        <v>2</v>
      </c>
      <c r="D78" s="182">
        <v>20000</v>
      </c>
      <c r="E78" s="175">
        <f t="shared" si="3"/>
        <v>40000</v>
      </c>
      <c r="F78" s="173" t="s">
        <v>46</v>
      </c>
      <c r="G78" s="173">
        <v>0</v>
      </c>
      <c r="H78" s="183" t="s">
        <v>280</v>
      </c>
      <c r="I78" s="178" t="s">
        <v>142</v>
      </c>
      <c r="J78" s="179" t="s">
        <v>20</v>
      </c>
      <c r="K78" s="180" t="s">
        <v>83</v>
      </c>
      <c r="L78" s="264" t="s">
        <v>135</v>
      </c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</row>
    <row r="79" spans="1:26" ht="99.75" hidden="1">
      <c r="A79" s="171">
        <f t="shared" si="4"/>
        <v>77</v>
      </c>
      <c r="B79" s="172" t="s">
        <v>281</v>
      </c>
      <c r="C79" s="173">
        <v>2</v>
      </c>
      <c r="D79" s="175">
        <v>25000</v>
      </c>
      <c r="E79" s="175">
        <f t="shared" si="3"/>
        <v>50000</v>
      </c>
      <c r="F79" s="176" t="s">
        <v>46</v>
      </c>
      <c r="G79" s="176">
        <v>0</v>
      </c>
      <c r="H79" s="183" t="s">
        <v>278</v>
      </c>
      <c r="I79" s="190" t="s">
        <v>142</v>
      </c>
      <c r="J79" s="179" t="s">
        <v>20</v>
      </c>
      <c r="K79" s="180" t="s">
        <v>83</v>
      </c>
      <c r="L79" s="264" t="s">
        <v>135</v>
      </c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</row>
    <row r="80" spans="1:26" ht="30" hidden="1" customHeight="1">
      <c r="A80" s="171">
        <f t="shared" si="4"/>
        <v>78</v>
      </c>
      <c r="B80" s="172" t="s">
        <v>282</v>
      </c>
      <c r="C80" s="181">
        <v>2</v>
      </c>
      <c r="D80" s="182">
        <v>25000</v>
      </c>
      <c r="E80" s="175">
        <f t="shared" si="3"/>
        <v>50000</v>
      </c>
      <c r="F80" s="173" t="s">
        <v>46</v>
      </c>
      <c r="G80" s="173">
        <v>0</v>
      </c>
      <c r="H80" s="183" t="s">
        <v>283</v>
      </c>
      <c r="I80" s="178" t="s">
        <v>142</v>
      </c>
      <c r="J80" s="179" t="s">
        <v>20</v>
      </c>
      <c r="K80" s="180" t="s">
        <v>83</v>
      </c>
      <c r="L80" s="264" t="s">
        <v>135</v>
      </c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</row>
    <row r="81" spans="1:26" ht="142.5" hidden="1">
      <c r="A81" s="238">
        <f t="shared" si="4"/>
        <v>79</v>
      </c>
      <c r="B81" s="197" t="s">
        <v>284</v>
      </c>
      <c r="C81" s="176">
        <v>1</v>
      </c>
      <c r="D81" s="199">
        <v>70000</v>
      </c>
      <c r="E81" s="175">
        <f t="shared" si="3"/>
        <v>70000</v>
      </c>
      <c r="F81" s="246" t="s">
        <v>48</v>
      </c>
      <c r="G81" s="188">
        <v>1</v>
      </c>
      <c r="H81" s="203" t="s">
        <v>285</v>
      </c>
      <c r="I81" s="190" t="s">
        <v>142</v>
      </c>
      <c r="J81" s="179" t="s">
        <v>20</v>
      </c>
      <c r="K81" s="180" t="s">
        <v>83</v>
      </c>
      <c r="L81" s="264" t="s">
        <v>135</v>
      </c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</row>
    <row r="82" spans="1:26" ht="24.95" customHeight="1">
      <c r="A82" s="211">
        <f t="shared" si="4"/>
        <v>80</v>
      </c>
      <c r="B82" s="192" t="s">
        <v>286</v>
      </c>
      <c r="C82" s="176">
        <v>1</v>
      </c>
      <c r="D82" s="199">
        <v>80000</v>
      </c>
      <c r="E82" s="867">
        <f t="shared" si="3"/>
        <v>80000</v>
      </c>
      <c r="F82" s="259" t="s">
        <v>48</v>
      </c>
      <c r="G82" s="188">
        <v>1</v>
      </c>
      <c r="H82" s="689" t="s">
        <v>285</v>
      </c>
      <c r="I82" s="190" t="s">
        <v>142</v>
      </c>
      <c r="J82" s="259" t="s">
        <v>20</v>
      </c>
      <c r="K82" s="211" t="s">
        <v>83</v>
      </c>
      <c r="L82" s="547" t="s">
        <v>81</v>
      </c>
      <c r="M82" s="482">
        <v>64400</v>
      </c>
      <c r="N82" s="469" t="s">
        <v>287</v>
      </c>
      <c r="O82" s="905" t="s">
        <v>288</v>
      </c>
      <c r="P82" s="488">
        <v>63756</v>
      </c>
      <c r="Q82" s="276" t="s">
        <v>289</v>
      </c>
      <c r="R82" s="794">
        <v>45977</v>
      </c>
      <c r="S82" s="276" t="s">
        <v>154</v>
      </c>
      <c r="T82" s="833"/>
      <c r="U82" s="276"/>
      <c r="V82" s="161"/>
      <c r="W82" s="161"/>
      <c r="X82" s="161"/>
      <c r="Y82" s="161"/>
      <c r="Z82" s="161"/>
    </row>
    <row r="83" spans="1:26" ht="30" hidden="1" customHeight="1">
      <c r="A83" s="244">
        <f t="shared" si="4"/>
        <v>81</v>
      </c>
      <c r="B83" s="172" t="s">
        <v>290</v>
      </c>
      <c r="C83" s="181">
        <v>1</v>
      </c>
      <c r="D83" s="182">
        <v>150000</v>
      </c>
      <c r="E83" s="175">
        <v>150000</v>
      </c>
      <c r="F83" s="323" t="s">
        <v>48</v>
      </c>
      <c r="G83" s="173">
        <v>0</v>
      </c>
      <c r="H83" s="183" t="s">
        <v>291</v>
      </c>
      <c r="I83" s="178" t="s">
        <v>142</v>
      </c>
      <c r="J83" s="179" t="s">
        <v>20</v>
      </c>
      <c r="K83" s="180" t="s">
        <v>83</v>
      </c>
      <c r="L83" s="264" t="s">
        <v>135</v>
      </c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</row>
    <row r="84" spans="1:26" ht="30" hidden="1" customHeight="1">
      <c r="A84" s="171">
        <f t="shared" si="4"/>
        <v>82</v>
      </c>
      <c r="B84" s="172" t="s">
        <v>292</v>
      </c>
      <c r="C84" s="181">
        <v>1</v>
      </c>
      <c r="D84" s="182">
        <v>150000</v>
      </c>
      <c r="E84" s="175">
        <v>150000</v>
      </c>
      <c r="F84" s="173" t="s">
        <v>48</v>
      </c>
      <c r="G84" s="173">
        <v>0</v>
      </c>
      <c r="H84" s="183" t="s">
        <v>291</v>
      </c>
      <c r="I84" s="178" t="s">
        <v>142</v>
      </c>
      <c r="J84" s="179" t="s">
        <v>20</v>
      </c>
      <c r="K84" s="180" t="s">
        <v>83</v>
      </c>
      <c r="L84" s="264" t="s">
        <v>135</v>
      </c>
      <c r="M84" s="163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</row>
    <row r="85" spans="1:26" ht="30" hidden="1" customHeight="1">
      <c r="A85" s="171">
        <f t="shared" si="4"/>
        <v>83</v>
      </c>
      <c r="B85" s="172" t="s">
        <v>293</v>
      </c>
      <c r="C85" s="181">
        <v>1</v>
      </c>
      <c r="D85" s="182">
        <v>300000</v>
      </c>
      <c r="E85" s="175">
        <v>300000</v>
      </c>
      <c r="F85" s="173" t="s">
        <v>48</v>
      </c>
      <c r="G85" s="173">
        <v>0</v>
      </c>
      <c r="H85" s="183" t="s">
        <v>291</v>
      </c>
      <c r="I85" s="178" t="s">
        <v>142</v>
      </c>
      <c r="J85" s="179" t="s">
        <v>20</v>
      </c>
      <c r="K85" s="180" t="s">
        <v>83</v>
      </c>
      <c r="L85" s="264" t="s">
        <v>135</v>
      </c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</row>
    <row r="86" spans="1:26" ht="30" hidden="1" customHeight="1">
      <c r="A86" s="171">
        <f t="shared" si="4"/>
        <v>84</v>
      </c>
      <c r="B86" s="172" t="s">
        <v>294</v>
      </c>
      <c r="C86" s="181">
        <v>1</v>
      </c>
      <c r="D86" s="182">
        <v>400000</v>
      </c>
      <c r="E86" s="175">
        <v>400000</v>
      </c>
      <c r="F86" s="173" t="s">
        <v>48</v>
      </c>
      <c r="G86" s="173">
        <v>0</v>
      </c>
      <c r="H86" s="183" t="s">
        <v>291</v>
      </c>
      <c r="I86" s="178" t="s">
        <v>142</v>
      </c>
      <c r="J86" s="179" t="s">
        <v>20</v>
      </c>
      <c r="K86" s="180" t="s">
        <v>83</v>
      </c>
      <c r="L86" s="264" t="s">
        <v>135</v>
      </c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</row>
    <row r="87" spans="1:26" ht="30" hidden="1" customHeight="1">
      <c r="A87" s="171">
        <f t="shared" si="4"/>
        <v>85</v>
      </c>
      <c r="B87" s="172" t="s">
        <v>295</v>
      </c>
      <c r="C87" s="181">
        <v>1</v>
      </c>
      <c r="D87" s="182">
        <v>490000</v>
      </c>
      <c r="E87" s="175">
        <f t="shared" ref="E87:E91" si="5">C87*D87</f>
        <v>490000</v>
      </c>
      <c r="F87" s="173" t="s">
        <v>48</v>
      </c>
      <c r="G87" s="173">
        <v>1</v>
      </c>
      <c r="H87" s="183" t="s">
        <v>296</v>
      </c>
      <c r="I87" s="178" t="s">
        <v>142</v>
      </c>
      <c r="J87" s="179" t="s">
        <v>20</v>
      </c>
      <c r="K87" s="211" t="s">
        <v>83</v>
      </c>
      <c r="L87" s="547" t="s">
        <v>146</v>
      </c>
      <c r="M87" s="466"/>
      <c r="N87" s="869"/>
      <c r="O87" s="862"/>
      <c r="P87" s="466"/>
      <c r="Q87" s="276"/>
      <c r="R87" s="276"/>
      <c r="S87" s="276"/>
      <c r="T87" s="276"/>
      <c r="U87" s="276"/>
      <c r="V87" s="161"/>
      <c r="W87" s="161"/>
      <c r="X87" s="161"/>
      <c r="Y87" s="161"/>
      <c r="Z87" s="161"/>
    </row>
    <row r="88" spans="1:26" ht="30" customHeight="1">
      <c r="A88" s="171">
        <f t="shared" si="4"/>
        <v>86</v>
      </c>
      <c r="B88" s="172" t="s">
        <v>297</v>
      </c>
      <c r="C88" s="181">
        <v>1</v>
      </c>
      <c r="D88" s="592">
        <v>490000</v>
      </c>
      <c r="E88" s="554">
        <f t="shared" si="5"/>
        <v>490000</v>
      </c>
      <c r="F88" s="173" t="s">
        <v>48</v>
      </c>
      <c r="G88" s="173">
        <v>1</v>
      </c>
      <c r="H88" s="183" t="s">
        <v>296</v>
      </c>
      <c r="I88" s="178" t="s">
        <v>142</v>
      </c>
      <c r="J88" s="179" t="s">
        <v>20</v>
      </c>
      <c r="K88" s="211" t="s">
        <v>83</v>
      </c>
      <c r="L88" s="264" t="s">
        <v>81</v>
      </c>
      <c r="M88" s="471">
        <v>169000</v>
      </c>
      <c r="N88" s="276" t="s">
        <v>298</v>
      </c>
      <c r="O88" s="556" t="s">
        <v>138</v>
      </c>
      <c r="P88" s="867">
        <v>166465</v>
      </c>
      <c r="Q88" s="276" t="s">
        <v>299</v>
      </c>
      <c r="R88" s="794">
        <v>46078</v>
      </c>
      <c r="S88" s="276" t="s">
        <v>154</v>
      </c>
      <c r="T88" s="833"/>
      <c r="U88" s="276"/>
      <c r="V88" s="161"/>
      <c r="W88" s="161"/>
      <c r="X88" s="161"/>
      <c r="Y88" s="161"/>
      <c r="Z88" s="161"/>
    </row>
    <row r="89" spans="1:26" ht="30" hidden="1" customHeight="1">
      <c r="A89" s="171" t="e">
        <f>#REF!+1</f>
        <v>#REF!</v>
      </c>
      <c r="B89" s="172" t="s">
        <v>300</v>
      </c>
      <c r="C89" s="181">
        <v>1</v>
      </c>
      <c r="D89" s="182">
        <v>10000</v>
      </c>
      <c r="E89" s="175">
        <f t="shared" si="5"/>
        <v>10000</v>
      </c>
      <c r="F89" s="173" t="s">
        <v>89</v>
      </c>
      <c r="G89" s="173">
        <v>0</v>
      </c>
      <c r="H89" s="183" t="s">
        <v>301</v>
      </c>
      <c r="I89" s="178" t="s">
        <v>115</v>
      </c>
      <c r="J89" s="179" t="s">
        <v>20</v>
      </c>
      <c r="K89" s="180" t="s">
        <v>83</v>
      </c>
      <c r="L89" s="264" t="s">
        <v>135</v>
      </c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</row>
    <row r="90" spans="1:26" ht="30" hidden="1" customHeight="1">
      <c r="A90" s="171" t="e">
        <f t="shared" si="4"/>
        <v>#REF!</v>
      </c>
      <c r="B90" s="172" t="s">
        <v>302</v>
      </c>
      <c r="C90" s="181">
        <v>1</v>
      </c>
      <c r="D90" s="182">
        <v>50000</v>
      </c>
      <c r="E90" s="175">
        <f t="shared" si="5"/>
        <v>50000</v>
      </c>
      <c r="F90" s="173" t="s">
        <v>89</v>
      </c>
      <c r="G90" s="173">
        <v>0</v>
      </c>
      <c r="H90" s="183" t="s">
        <v>301</v>
      </c>
      <c r="I90" s="178" t="s">
        <v>159</v>
      </c>
      <c r="J90" s="179" t="s">
        <v>20</v>
      </c>
      <c r="K90" s="180" t="s">
        <v>83</v>
      </c>
      <c r="L90" s="264" t="s">
        <v>135</v>
      </c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</row>
    <row r="91" spans="1:26" ht="30" hidden="1" customHeight="1">
      <c r="A91" s="238" t="e">
        <f t="shared" si="4"/>
        <v>#REF!</v>
      </c>
      <c r="B91" s="318" t="s">
        <v>303</v>
      </c>
      <c r="C91" s="252">
        <v>1</v>
      </c>
      <c r="D91" s="253">
        <v>55000</v>
      </c>
      <c r="E91" s="319">
        <f t="shared" si="5"/>
        <v>55000</v>
      </c>
      <c r="F91" s="320" t="s">
        <v>89</v>
      </c>
      <c r="G91" s="173">
        <v>0</v>
      </c>
      <c r="H91" s="321" t="s">
        <v>301</v>
      </c>
      <c r="I91" s="178" t="s">
        <v>159</v>
      </c>
      <c r="J91" s="266" t="s">
        <v>20</v>
      </c>
      <c r="K91" s="273" t="s">
        <v>83</v>
      </c>
      <c r="L91" s="546" t="s">
        <v>135</v>
      </c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</row>
    <row r="92" spans="1:26" ht="45" hidden="1" customHeight="1">
      <c r="A92" s="211" t="e">
        <f t="shared" si="4"/>
        <v>#REF!</v>
      </c>
      <c r="B92" s="262" t="s">
        <v>284</v>
      </c>
      <c r="C92" s="288">
        <v>1</v>
      </c>
      <c r="D92" s="289">
        <v>60000</v>
      </c>
      <c r="E92" s="325"/>
      <c r="F92" s="215" t="s">
        <v>89</v>
      </c>
      <c r="G92" s="680">
        <v>0</v>
      </c>
      <c r="H92" s="299" t="s">
        <v>301</v>
      </c>
      <c r="I92" s="317" t="s">
        <v>159</v>
      </c>
      <c r="J92" s="215" t="s">
        <v>20</v>
      </c>
      <c r="K92" s="211" t="s">
        <v>83</v>
      </c>
      <c r="L92" s="547" t="s">
        <v>304</v>
      </c>
      <c r="M92" s="677">
        <v>0</v>
      </c>
      <c r="N92" s="276" t="s">
        <v>305</v>
      </c>
      <c r="O92" s="327" t="s">
        <v>306</v>
      </c>
      <c r="P92" s="466">
        <v>0</v>
      </c>
      <c r="Q92" s="276" t="s">
        <v>119</v>
      </c>
      <c r="R92" s="276" t="s">
        <v>119</v>
      </c>
      <c r="S92" s="276" t="s">
        <v>119</v>
      </c>
      <c r="T92" s="161"/>
      <c r="U92" s="161"/>
      <c r="V92" s="161"/>
      <c r="W92" s="161"/>
      <c r="X92" s="161"/>
      <c r="Y92" s="161"/>
      <c r="Z92" s="161"/>
    </row>
    <row r="93" spans="1:26" ht="30" hidden="1" customHeight="1">
      <c r="A93" s="244" t="e">
        <f t="shared" si="4"/>
        <v>#REF!</v>
      </c>
      <c r="B93" s="209" t="s">
        <v>307</v>
      </c>
      <c r="C93" s="254">
        <v>1</v>
      </c>
      <c r="D93" s="322">
        <v>100000</v>
      </c>
      <c r="E93" s="220">
        <f>C93*D93</f>
        <v>100000</v>
      </c>
      <c r="F93" s="323" t="s">
        <v>89</v>
      </c>
      <c r="G93" s="173">
        <v>0</v>
      </c>
      <c r="H93" s="209" t="s">
        <v>301</v>
      </c>
      <c r="I93" s="173" t="s">
        <v>159</v>
      </c>
      <c r="J93" s="323" t="s">
        <v>20</v>
      </c>
      <c r="K93" s="324" t="s">
        <v>83</v>
      </c>
      <c r="L93" s="642" t="s">
        <v>135</v>
      </c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 spans="1:26" ht="30" hidden="1" customHeight="1">
      <c r="A94" s="171" t="e">
        <f t="shared" ref="A94:A118" si="6">A93+1</f>
        <v>#REF!</v>
      </c>
      <c r="B94" s="172" t="s">
        <v>308</v>
      </c>
      <c r="C94" s="181">
        <v>1</v>
      </c>
      <c r="D94" s="182">
        <v>110000</v>
      </c>
      <c r="E94" s="175">
        <v>110000</v>
      </c>
      <c r="F94" s="173" t="s">
        <v>89</v>
      </c>
      <c r="G94" s="173">
        <v>0</v>
      </c>
      <c r="H94" s="172" t="s">
        <v>301</v>
      </c>
      <c r="I94" s="173" t="s">
        <v>159</v>
      </c>
      <c r="J94" s="173" t="s">
        <v>20</v>
      </c>
      <c r="K94" s="211" t="s">
        <v>83</v>
      </c>
      <c r="L94" s="547" t="s">
        <v>146</v>
      </c>
      <c r="M94" s="276"/>
      <c r="N94" s="276"/>
      <c r="O94" s="556"/>
      <c r="P94" s="466"/>
      <c r="Q94" s="276"/>
      <c r="R94" s="276"/>
      <c r="S94" s="276"/>
      <c r="T94" s="276"/>
      <c r="U94" s="276"/>
      <c r="V94" s="161"/>
      <c r="W94" s="161"/>
      <c r="X94" s="161"/>
      <c r="Y94" s="161"/>
      <c r="Z94" s="161"/>
    </row>
    <row r="95" spans="1:26" ht="30" hidden="1" customHeight="1">
      <c r="A95" s="171" t="e">
        <f t="shared" si="6"/>
        <v>#REF!</v>
      </c>
      <c r="B95" s="172" t="s">
        <v>309</v>
      </c>
      <c r="C95" s="181">
        <v>1</v>
      </c>
      <c r="D95" s="182">
        <v>125000</v>
      </c>
      <c r="E95" s="175">
        <v>125000</v>
      </c>
      <c r="F95" s="173" t="s">
        <v>89</v>
      </c>
      <c r="G95" s="173">
        <v>0</v>
      </c>
      <c r="H95" s="172" t="s">
        <v>301</v>
      </c>
      <c r="I95" s="173" t="s">
        <v>159</v>
      </c>
      <c r="J95" s="173" t="s">
        <v>20</v>
      </c>
      <c r="K95" s="211" t="s">
        <v>83</v>
      </c>
      <c r="L95" s="547" t="s">
        <v>146</v>
      </c>
      <c r="M95" s="466"/>
      <c r="N95" s="276"/>
      <c r="O95" s="556"/>
      <c r="P95" s="466"/>
      <c r="Q95" s="276"/>
      <c r="R95" s="276"/>
      <c r="S95" s="276"/>
      <c r="T95" s="276"/>
      <c r="U95" s="276"/>
      <c r="V95" s="161"/>
      <c r="W95" s="161"/>
      <c r="X95" s="161"/>
      <c r="Y95" s="161"/>
      <c r="Z95" s="161"/>
    </row>
    <row r="96" spans="1:26" ht="30" hidden="1" customHeight="1">
      <c r="A96" s="171" t="e">
        <f t="shared" si="6"/>
        <v>#REF!</v>
      </c>
      <c r="B96" s="172" t="s">
        <v>310</v>
      </c>
      <c r="C96" s="181">
        <v>1</v>
      </c>
      <c r="D96" s="182">
        <v>16000</v>
      </c>
      <c r="E96" s="175">
        <v>16000</v>
      </c>
      <c r="F96" s="173" t="s">
        <v>52</v>
      </c>
      <c r="G96" s="173">
        <v>0</v>
      </c>
      <c r="H96" s="172" t="s">
        <v>220</v>
      </c>
      <c r="I96" s="173" t="s">
        <v>159</v>
      </c>
      <c r="J96" s="173" t="s">
        <v>20</v>
      </c>
      <c r="K96" s="180" t="s">
        <v>83</v>
      </c>
      <c r="L96" s="264" t="s">
        <v>135</v>
      </c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 spans="1:26" ht="30" hidden="1" customHeight="1">
      <c r="A97" s="171" t="e">
        <f t="shared" si="6"/>
        <v>#REF!</v>
      </c>
      <c r="B97" s="172" t="s">
        <v>311</v>
      </c>
      <c r="C97" s="181">
        <v>1</v>
      </c>
      <c r="D97" s="182">
        <v>21000</v>
      </c>
      <c r="E97" s="175">
        <v>21000</v>
      </c>
      <c r="F97" s="173" t="s">
        <v>52</v>
      </c>
      <c r="G97" s="173">
        <v>0</v>
      </c>
      <c r="H97" s="172" t="s">
        <v>220</v>
      </c>
      <c r="I97" s="173" t="s">
        <v>159</v>
      </c>
      <c r="J97" s="173" t="s">
        <v>20</v>
      </c>
      <c r="K97" s="180" t="s">
        <v>83</v>
      </c>
      <c r="L97" s="264" t="s">
        <v>135</v>
      </c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 spans="1:26" ht="30" hidden="1" customHeight="1">
      <c r="A98" s="171" t="e">
        <f t="shared" si="6"/>
        <v>#REF!</v>
      </c>
      <c r="B98" s="172" t="s">
        <v>312</v>
      </c>
      <c r="C98" s="181">
        <v>1</v>
      </c>
      <c r="D98" s="182">
        <v>22500</v>
      </c>
      <c r="E98" s="175">
        <v>22500</v>
      </c>
      <c r="F98" s="173" t="s">
        <v>52</v>
      </c>
      <c r="G98" s="173">
        <v>0</v>
      </c>
      <c r="H98" s="172" t="s">
        <v>220</v>
      </c>
      <c r="I98" s="173" t="s">
        <v>159</v>
      </c>
      <c r="J98" s="173" t="s">
        <v>20</v>
      </c>
      <c r="K98" s="180" t="s">
        <v>83</v>
      </c>
      <c r="L98" s="264" t="s">
        <v>135</v>
      </c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 spans="1:26" ht="30" hidden="1" customHeight="1">
      <c r="A99" s="171" t="e">
        <f t="shared" si="6"/>
        <v>#REF!</v>
      </c>
      <c r="B99" s="172" t="s">
        <v>313</v>
      </c>
      <c r="C99" s="181">
        <v>1</v>
      </c>
      <c r="D99" s="182">
        <v>45000</v>
      </c>
      <c r="E99" s="175">
        <v>45000</v>
      </c>
      <c r="F99" s="173" t="s">
        <v>52</v>
      </c>
      <c r="G99" s="173">
        <v>0</v>
      </c>
      <c r="H99" s="172" t="s">
        <v>220</v>
      </c>
      <c r="I99" s="173" t="s">
        <v>159</v>
      </c>
      <c r="J99" s="173" t="s">
        <v>20</v>
      </c>
      <c r="K99" s="180" t="s">
        <v>83</v>
      </c>
      <c r="L99" s="264" t="s">
        <v>135</v>
      </c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 spans="1:26" ht="30" hidden="1" customHeight="1">
      <c r="A100" s="171" t="e">
        <f t="shared" si="6"/>
        <v>#REF!</v>
      </c>
      <c r="B100" s="172" t="s">
        <v>314</v>
      </c>
      <c r="C100" s="181">
        <v>1</v>
      </c>
      <c r="D100" s="175">
        <v>88000</v>
      </c>
      <c r="E100" s="175">
        <v>88000</v>
      </c>
      <c r="F100" s="173" t="s">
        <v>52</v>
      </c>
      <c r="G100" s="173">
        <v>0</v>
      </c>
      <c r="H100" s="172" t="s">
        <v>220</v>
      </c>
      <c r="I100" s="173" t="s">
        <v>159</v>
      </c>
      <c r="J100" s="173" t="s">
        <v>20</v>
      </c>
      <c r="K100" s="180" t="s">
        <v>83</v>
      </c>
      <c r="L100" s="264" t="s">
        <v>135</v>
      </c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 spans="1:26" ht="30" hidden="1" customHeight="1">
      <c r="A101" s="171" t="e">
        <f t="shared" si="6"/>
        <v>#REF!</v>
      </c>
      <c r="B101" s="172" t="s">
        <v>315</v>
      </c>
      <c r="C101" s="181">
        <v>1</v>
      </c>
      <c r="D101" s="182">
        <v>88000</v>
      </c>
      <c r="E101" s="175">
        <v>88000</v>
      </c>
      <c r="F101" s="173" t="s">
        <v>52</v>
      </c>
      <c r="G101" s="173">
        <v>0</v>
      </c>
      <c r="H101" s="172" t="s">
        <v>316</v>
      </c>
      <c r="I101" s="173" t="s">
        <v>159</v>
      </c>
      <c r="J101" s="173" t="s">
        <v>20</v>
      </c>
      <c r="K101" s="180" t="s">
        <v>83</v>
      </c>
      <c r="L101" s="264" t="s">
        <v>135</v>
      </c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 spans="1:26" ht="30" hidden="1" customHeight="1">
      <c r="A102" s="171" t="e">
        <f t="shared" si="6"/>
        <v>#REF!</v>
      </c>
      <c r="B102" s="172" t="s">
        <v>317</v>
      </c>
      <c r="C102" s="181">
        <v>1</v>
      </c>
      <c r="D102" s="182">
        <v>125000</v>
      </c>
      <c r="E102" s="175">
        <v>125000</v>
      </c>
      <c r="F102" s="173" t="s">
        <v>52</v>
      </c>
      <c r="G102" s="173">
        <v>0</v>
      </c>
      <c r="H102" s="172" t="s">
        <v>220</v>
      </c>
      <c r="I102" s="173" t="s">
        <v>159</v>
      </c>
      <c r="J102" s="173" t="s">
        <v>20</v>
      </c>
      <c r="K102" s="180" t="s">
        <v>83</v>
      </c>
      <c r="L102" s="264" t="s">
        <v>135</v>
      </c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 spans="1:26" ht="30" hidden="1" customHeight="1">
      <c r="A103" s="171" t="e">
        <f t="shared" si="6"/>
        <v>#REF!</v>
      </c>
      <c r="B103" s="172" t="s">
        <v>318</v>
      </c>
      <c r="C103" s="181">
        <v>16</v>
      </c>
      <c r="D103" s="182">
        <v>3000</v>
      </c>
      <c r="E103" s="175">
        <f t="shared" ref="E103:E110" si="7">C103*D103</f>
        <v>48000</v>
      </c>
      <c r="F103" s="173" t="s">
        <v>319</v>
      </c>
      <c r="G103" s="173">
        <v>2</v>
      </c>
      <c r="H103" s="172" t="s">
        <v>320</v>
      </c>
      <c r="I103" s="173" t="s">
        <v>115</v>
      </c>
      <c r="J103" s="173" t="s">
        <v>20</v>
      </c>
      <c r="K103" s="180" t="s">
        <v>83</v>
      </c>
      <c r="L103" s="264" t="s">
        <v>135</v>
      </c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 spans="1:26" ht="30" hidden="1" customHeight="1">
      <c r="A104" s="171" t="e">
        <f t="shared" si="6"/>
        <v>#REF!</v>
      </c>
      <c r="B104" s="172" t="s">
        <v>321</v>
      </c>
      <c r="C104" s="181">
        <v>17</v>
      </c>
      <c r="D104" s="182">
        <v>3000</v>
      </c>
      <c r="E104" s="175">
        <f t="shared" si="7"/>
        <v>51000</v>
      </c>
      <c r="F104" s="173" t="s">
        <v>319</v>
      </c>
      <c r="G104" s="173">
        <v>0</v>
      </c>
      <c r="H104" s="172" t="s">
        <v>320</v>
      </c>
      <c r="I104" s="173" t="s">
        <v>115</v>
      </c>
      <c r="J104" s="173" t="s">
        <v>20</v>
      </c>
      <c r="K104" s="180" t="s">
        <v>83</v>
      </c>
      <c r="L104" s="264" t="s">
        <v>135</v>
      </c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 spans="1:26" ht="30" hidden="1" customHeight="1">
      <c r="A105" s="171" t="e">
        <f t="shared" si="6"/>
        <v>#REF!</v>
      </c>
      <c r="B105" s="172" t="s">
        <v>322</v>
      </c>
      <c r="C105" s="181">
        <v>32</v>
      </c>
      <c r="D105" s="182">
        <v>6000</v>
      </c>
      <c r="E105" s="175">
        <f t="shared" si="7"/>
        <v>192000</v>
      </c>
      <c r="F105" s="173" t="s">
        <v>319</v>
      </c>
      <c r="G105" s="173">
        <v>0</v>
      </c>
      <c r="H105" s="172" t="s">
        <v>320</v>
      </c>
      <c r="I105" s="173" t="s">
        <v>115</v>
      </c>
      <c r="J105" s="173" t="s">
        <v>20</v>
      </c>
      <c r="K105" s="180" t="s">
        <v>83</v>
      </c>
      <c r="L105" s="264" t="s">
        <v>135</v>
      </c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 spans="1:26" ht="30" hidden="1" customHeight="1">
      <c r="A106" s="171" t="e">
        <f t="shared" si="6"/>
        <v>#REF!</v>
      </c>
      <c r="B106" s="172" t="s">
        <v>323</v>
      </c>
      <c r="C106" s="181">
        <v>92</v>
      </c>
      <c r="D106" s="182">
        <v>3000</v>
      </c>
      <c r="E106" s="175">
        <f t="shared" si="7"/>
        <v>276000</v>
      </c>
      <c r="F106" s="173" t="s">
        <v>319</v>
      </c>
      <c r="G106" s="173">
        <v>0</v>
      </c>
      <c r="H106" s="172" t="s">
        <v>320</v>
      </c>
      <c r="I106" s="173" t="s">
        <v>115</v>
      </c>
      <c r="J106" s="173" t="s">
        <v>20</v>
      </c>
      <c r="K106" s="180" t="s">
        <v>83</v>
      </c>
      <c r="L106" s="264" t="s">
        <v>135</v>
      </c>
      <c r="M106" s="161"/>
      <c r="N106" s="567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 spans="1:26" ht="30" hidden="1" customHeight="1">
      <c r="A107" s="171" t="e">
        <f t="shared" si="6"/>
        <v>#REF!</v>
      </c>
      <c r="B107" s="172" t="s">
        <v>324</v>
      </c>
      <c r="C107" s="181">
        <v>27</v>
      </c>
      <c r="D107" s="182">
        <v>15000</v>
      </c>
      <c r="E107" s="175">
        <f t="shared" si="7"/>
        <v>405000</v>
      </c>
      <c r="F107" s="173" t="s">
        <v>319</v>
      </c>
      <c r="G107" s="173">
        <v>18</v>
      </c>
      <c r="H107" s="172" t="s">
        <v>320</v>
      </c>
      <c r="I107" s="173" t="s">
        <v>115</v>
      </c>
      <c r="J107" s="173" t="s">
        <v>20</v>
      </c>
      <c r="K107" s="180" t="s">
        <v>83</v>
      </c>
      <c r="L107" s="264" t="s">
        <v>135</v>
      </c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 spans="1:26" ht="28.5" customHeight="1">
      <c r="A108" s="238" t="e">
        <f t="shared" si="6"/>
        <v>#REF!</v>
      </c>
      <c r="B108" s="318" t="s">
        <v>325</v>
      </c>
      <c r="C108" s="870">
        <v>1</v>
      </c>
      <c r="D108" s="234">
        <v>1500000</v>
      </c>
      <c r="E108" s="871">
        <f t="shared" si="7"/>
        <v>1500000</v>
      </c>
      <c r="F108" s="870" t="s">
        <v>36</v>
      </c>
      <c r="G108" s="205">
        <v>0</v>
      </c>
      <c r="H108" s="172" t="s">
        <v>114</v>
      </c>
      <c r="I108" s="173" t="s">
        <v>115</v>
      </c>
      <c r="J108" s="320" t="s">
        <v>20</v>
      </c>
      <c r="K108" s="273" t="s">
        <v>83</v>
      </c>
      <c r="L108" s="800" t="s">
        <v>81</v>
      </c>
      <c r="M108" s="873">
        <v>1081920</v>
      </c>
      <c r="N108" s="466" t="s">
        <v>326</v>
      </c>
      <c r="O108" s="556" t="s">
        <v>327</v>
      </c>
      <c r="P108" s="488">
        <v>1080800</v>
      </c>
      <c r="Q108" s="466" t="s">
        <v>328</v>
      </c>
      <c r="R108" s="794">
        <v>46093</v>
      </c>
      <c r="S108" s="966" t="s">
        <v>329</v>
      </c>
      <c r="T108" s="833">
        <v>32424</v>
      </c>
      <c r="U108" s="794">
        <v>46100</v>
      </c>
      <c r="V108" s="161"/>
      <c r="W108" s="161"/>
      <c r="X108" s="161"/>
      <c r="Y108" s="161"/>
      <c r="Z108" s="161"/>
    </row>
    <row r="109" spans="1:26" ht="43.5" hidden="1" customHeight="1">
      <c r="A109" s="211" t="e">
        <f t="shared" si="6"/>
        <v>#REF!</v>
      </c>
      <c r="B109" s="180" t="s">
        <v>330</v>
      </c>
      <c r="C109" s="259">
        <v>1</v>
      </c>
      <c r="D109" s="879">
        <v>600000</v>
      </c>
      <c r="E109" s="489">
        <f t="shared" si="7"/>
        <v>600000</v>
      </c>
      <c r="F109" s="259" t="s">
        <v>40</v>
      </c>
      <c r="G109" s="207"/>
      <c r="H109" s="172" t="s">
        <v>244</v>
      </c>
      <c r="I109" s="204" t="s">
        <v>142</v>
      </c>
      <c r="J109" s="215" t="s">
        <v>20</v>
      </c>
      <c r="K109" s="211" t="s">
        <v>83</v>
      </c>
      <c r="L109" s="264" t="s">
        <v>331</v>
      </c>
      <c r="M109" s="325">
        <v>596250</v>
      </c>
      <c r="N109" s="801" t="s">
        <v>332</v>
      </c>
      <c r="O109" s="556" t="s">
        <v>327</v>
      </c>
      <c r="P109" s="466">
        <v>0</v>
      </c>
      <c r="Q109" s="276" t="s">
        <v>119</v>
      </c>
      <c r="R109" s="276" t="s">
        <v>119</v>
      </c>
      <c r="S109" s="276" t="s">
        <v>119</v>
      </c>
      <c r="T109" s="466"/>
      <c r="U109" s="276"/>
      <c r="V109" s="161"/>
      <c r="W109" s="161"/>
      <c r="X109" s="161"/>
      <c r="Y109" s="161"/>
      <c r="Z109" s="161"/>
    </row>
    <row r="110" spans="1:26" ht="30" hidden="1" customHeight="1">
      <c r="A110" s="244" t="e">
        <f t="shared" si="6"/>
        <v>#REF!</v>
      </c>
      <c r="B110" s="209" t="s">
        <v>333</v>
      </c>
      <c r="C110" s="254">
        <v>2</v>
      </c>
      <c r="D110" s="322">
        <v>1250000</v>
      </c>
      <c r="E110" s="872">
        <f t="shared" si="7"/>
        <v>2500000</v>
      </c>
      <c r="F110" s="323" t="s">
        <v>334</v>
      </c>
      <c r="G110" s="173">
        <v>3</v>
      </c>
      <c r="H110" s="172" t="s">
        <v>244</v>
      </c>
      <c r="I110" s="173" t="s">
        <v>142</v>
      </c>
      <c r="J110" s="323" t="s">
        <v>20</v>
      </c>
      <c r="K110" s="555" t="s">
        <v>83</v>
      </c>
      <c r="L110" s="642" t="s">
        <v>146</v>
      </c>
      <c r="M110" s="161"/>
      <c r="N110" s="161"/>
      <c r="O110" s="161"/>
      <c r="P110" s="466"/>
      <c r="Q110" s="276"/>
      <c r="R110" s="276"/>
      <c r="S110" s="276"/>
      <c r="T110" s="276"/>
      <c r="U110" s="276"/>
      <c r="V110" s="161"/>
      <c r="W110" s="161"/>
      <c r="X110" s="161"/>
      <c r="Y110" s="161"/>
      <c r="Z110" s="161"/>
    </row>
    <row r="111" spans="1:26" ht="30" hidden="1" customHeight="1">
      <c r="A111" s="171" t="e">
        <f t="shared" si="6"/>
        <v>#REF!</v>
      </c>
      <c r="B111" s="172" t="s">
        <v>335</v>
      </c>
      <c r="C111" s="181">
        <v>10</v>
      </c>
      <c r="D111" s="182">
        <v>125000</v>
      </c>
      <c r="E111" s="175">
        <v>1250000</v>
      </c>
      <c r="F111" s="173" t="s">
        <v>41</v>
      </c>
      <c r="G111" s="173">
        <v>0</v>
      </c>
      <c r="H111" s="172" t="s">
        <v>220</v>
      </c>
      <c r="I111" s="173" t="s">
        <v>115</v>
      </c>
      <c r="J111" s="173" t="s">
        <v>20</v>
      </c>
      <c r="K111" s="180" t="s">
        <v>83</v>
      </c>
      <c r="L111" s="264" t="s">
        <v>135</v>
      </c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 spans="1:26" ht="30" customHeight="1">
      <c r="A112" s="171" t="e">
        <f t="shared" si="6"/>
        <v>#REF!</v>
      </c>
      <c r="B112" s="172" t="s">
        <v>336</v>
      </c>
      <c r="C112" s="181">
        <v>1</v>
      </c>
      <c r="D112" s="592">
        <v>500000</v>
      </c>
      <c r="E112" s="554">
        <v>500000</v>
      </c>
      <c r="F112" s="173" t="s">
        <v>42</v>
      </c>
      <c r="G112" s="173">
        <v>0</v>
      </c>
      <c r="H112" s="172" t="s">
        <v>141</v>
      </c>
      <c r="I112" s="173" t="s">
        <v>142</v>
      </c>
      <c r="J112" s="173" t="s">
        <v>20</v>
      </c>
      <c r="K112" s="211" t="s">
        <v>83</v>
      </c>
      <c r="L112" s="547" t="s">
        <v>81</v>
      </c>
      <c r="M112" s="553">
        <v>400000</v>
      </c>
      <c r="N112" s="276" t="s">
        <v>337</v>
      </c>
      <c r="O112" s="556" t="s">
        <v>138</v>
      </c>
      <c r="P112" s="488">
        <v>398000</v>
      </c>
      <c r="Q112" s="276" t="s">
        <v>338</v>
      </c>
      <c r="R112" s="794">
        <v>46079</v>
      </c>
      <c r="S112" s="276" t="s">
        <v>339</v>
      </c>
      <c r="T112" s="833"/>
      <c r="U112" s="276"/>
      <c r="V112" s="161"/>
      <c r="W112" s="161"/>
      <c r="X112" s="161"/>
      <c r="Y112" s="161"/>
      <c r="Z112" s="161"/>
    </row>
    <row r="113" spans="1:26" ht="30" customHeight="1">
      <c r="A113" s="171" t="e">
        <f t="shared" si="6"/>
        <v>#REF!</v>
      </c>
      <c r="B113" s="172" t="s">
        <v>340</v>
      </c>
      <c r="C113" s="181">
        <v>2</v>
      </c>
      <c r="D113" s="592">
        <v>800000</v>
      </c>
      <c r="E113" s="554">
        <v>1600000</v>
      </c>
      <c r="F113" s="173" t="s">
        <v>42</v>
      </c>
      <c r="G113" s="173">
        <v>0</v>
      </c>
      <c r="H113" s="172" t="s">
        <v>141</v>
      </c>
      <c r="I113" s="173" t="s">
        <v>142</v>
      </c>
      <c r="J113" s="173" t="s">
        <v>20</v>
      </c>
      <c r="K113" s="211" t="s">
        <v>83</v>
      </c>
      <c r="L113" s="547" t="s">
        <v>81</v>
      </c>
      <c r="M113" s="553">
        <v>242787</v>
      </c>
      <c r="N113" s="276" t="s">
        <v>341</v>
      </c>
      <c r="O113" s="556" t="s">
        <v>138</v>
      </c>
      <c r="P113" s="488">
        <v>239144</v>
      </c>
      <c r="Q113" s="276" t="s">
        <v>342</v>
      </c>
      <c r="R113" s="794">
        <v>46053</v>
      </c>
      <c r="S113" s="276" t="s">
        <v>154</v>
      </c>
      <c r="T113" s="833"/>
      <c r="U113" s="276"/>
      <c r="V113" s="161"/>
      <c r="W113" s="161"/>
      <c r="X113" s="161"/>
      <c r="Y113" s="161"/>
      <c r="Z113" s="161"/>
    </row>
    <row r="114" spans="1:26" ht="0.75" hidden="1" customHeight="1">
      <c r="A114" s="171" t="e">
        <f t="shared" si="6"/>
        <v>#REF!</v>
      </c>
      <c r="B114" s="196" t="s">
        <v>343</v>
      </c>
      <c r="C114" s="176">
        <v>1</v>
      </c>
      <c r="D114" s="175">
        <v>3900000</v>
      </c>
      <c r="E114" s="175">
        <f>C114*D114</f>
        <v>3900000</v>
      </c>
      <c r="F114" s="188" t="s">
        <v>240</v>
      </c>
      <c r="G114" s="188">
        <v>0</v>
      </c>
      <c r="H114" s="172" t="s">
        <v>241</v>
      </c>
      <c r="I114" s="173" t="s">
        <v>159</v>
      </c>
      <c r="J114" s="173" t="s">
        <v>20</v>
      </c>
      <c r="K114" s="180" t="s">
        <v>83</v>
      </c>
      <c r="L114" s="264" t="s">
        <v>135</v>
      </c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 spans="1:26" ht="29.25" hidden="1" customHeight="1">
      <c r="A115" s="171" t="e">
        <f t="shared" si="6"/>
        <v>#REF!</v>
      </c>
      <c r="B115" s="172" t="s">
        <v>344</v>
      </c>
      <c r="C115" s="173">
        <v>1</v>
      </c>
      <c r="D115" s="174">
        <v>500000</v>
      </c>
      <c r="E115" s="554">
        <f>C115*D115</f>
        <v>500000</v>
      </c>
      <c r="F115" s="173" t="s">
        <v>44</v>
      </c>
      <c r="G115" s="173">
        <v>0</v>
      </c>
      <c r="H115" s="294" t="s">
        <v>244</v>
      </c>
      <c r="I115" s="178" t="s">
        <v>115</v>
      </c>
      <c r="J115" s="179" t="s">
        <v>20</v>
      </c>
      <c r="K115" s="211" t="s">
        <v>83</v>
      </c>
      <c r="L115" s="547" t="s">
        <v>233</v>
      </c>
      <c r="M115" s="712">
        <v>0</v>
      </c>
      <c r="N115" s="276" t="s">
        <v>345</v>
      </c>
      <c r="O115" s="556" t="s">
        <v>138</v>
      </c>
      <c r="P115" s="466">
        <v>0</v>
      </c>
      <c r="Q115" s="276" t="s">
        <v>119</v>
      </c>
      <c r="R115" s="276" t="s">
        <v>119</v>
      </c>
      <c r="S115" s="276" t="s">
        <v>119</v>
      </c>
      <c r="T115" s="276"/>
      <c r="U115" s="276"/>
      <c r="V115" s="161"/>
      <c r="W115" s="161"/>
      <c r="X115" s="161"/>
      <c r="Y115" s="161"/>
      <c r="Z115" s="161"/>
    </row>
    <row r="116" spans="1:26" ht="30" hidden="1" customHeight="1">
      <c r="A116" s="171" t="e">
        <f t="shared" si="6"/>
        <v>#REF!</v>
      </c>
      <c r="B116" s="172" t="s">
        <v>346</v>
      </c>
      <c r="C116" s="181">
        <v>1</v>
      </c>
      <c r="D116" s="182">
        <v>1500000</v>
      </c>
      <c r="E116" s="175">
        <v>1500000</v>
      </c>
      <c r="F116" s="173" t="s">
        <v>48</v>
      </c>
      <c r="G116" s="173">
        <v>0</v>
      </c>
      <c r="H116" s="172" t="s">
        <v>291</v>
      </c>
      <c r="I116" s="173" t="s">
        <v>142</v>
      </c>
      <c r="J116" s="173" t="s">
        <v>20</v>
      </c>
      <c r="K116" s="180" t="s">
        <v>83</v>
      </c>
      <c r="L116" s="264" t="s">
        <v>135</v>
      </c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 spans="1:26" ht="30" hidden="1" customHeight="1">
      <c r="A117" s="171" t="e">
        <f t="shared" si="6"/>
        <v>#REF!</v>
      </c>
      <c r="B117" s="172" t="s">
        <v>347</v>
      </c>
      <c r="C117" s="181">
        <v>1</v>
      </c>
      <c r="D117" s="182">
        <v>2000000</v>
      </c>
      <c r="E117" s="175">
        <v>2000000</v>
      </c>
      <c r="F117" s="173" t="s">
        <v>48</v>
      </c>
      <c r="G117" s="173">
        <v>0</v>
      </c>
      <c r="H117" s="172" t="s">
        <v>291</v>
      </c>
      <c r="I117" s="173" t="s">
        <v>142</v>
      </c>
      <c r="J117" s="173" t="s">
        <v>20</v>
      </c>
      <c r="K117" s="180" t="s">
        <v>83</v>
      </c>
      <c r="L117" s="264" t="s">
        <v>135</v>
      </c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 spans="1:26" ht="30" hidden="1" customHeight="1">
      <c r="A118" s="171" t="e">
        <f t="shared" si="6"/>
        <v>#REF!</v>
      </c>
      <c r="B118" s="172" t="s">
        <v>348</v>
      </c>
      <c r="C118" s="181">
        <v>1</v>
      </c>
      <c r="D118" s="182">
        <v>2500000</v>
      </c>
      <c r="E118" s="175">
        <v>2500000</v>
      </c>
      <c r="F118" s="173" t="s">
        <v>48</v>
      </c>
      <c r="G118" s="173">
        <v>0</v>
      </c>
      <c r="H118" s="172" t="s">
        <v>291</v>
      </c>
      <c r="I118" s="173" t="s">
        <v>142</v>
      </c>
      <c r="J118" s="173" t="s">
        <v>20</v>
      </c>
      <c r="K118" s="180" t="s">
        <v>83</v>
      </c>
      <c r="L118" s="264" t="s">
        <v>135</v>
      </c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 spans="1:26" ht="30" customHeight="1">
      <c r="A119" s="171" t="s">
        <v>349</v>
      </c>
      <c r="B119" s="172" t="s">
        <v>350</v>
      </c>
      <c r="C119" s="181">
        <v>1</v>
      </c>
      <c r="D119" s="182">
        <v>400000</v>
      </c>
      <c r="E119" s="796">
        <f>C119*D119</f>
        <v>400000</v>
      </c>
      <c r="F119" s="173" t="s">
        <v>89</v>
      </c>
      <c r="G119" s="173">
        <v>0</v>
      </c>
      <c r="H119" s="172" t="s">
        <v>301</v>
      </c>
      <c r="I119" s="173" t="s">
        <v>115</v>
      </c>
      <c r="J119" s="173" t="s">
        <v>20</v>
      </c>
      <c r="K119" s="211" t="s">
        <v>83</v>
      </c>
      <c r="L119" s="547" t="s">
        <v>81</v>
      </c>
      <c r="M119" s="553">
        <v>168800</v>
      </c>
      <c r="N119" s="792" t="s">
        <v>351</v>
      </c>
      <c r="O119" s="556" t="s">
        <v>138</v>
      </c>
      <c r="P119" s="488">
        <v>168800</v>
      </c>
      <c r="Q119" s="276" t="s">
        <v>352</v>
      </c>
      <c r="R119" s="794">
        <v>46080</v>
      </c>
      <c r="S119" s="276" t="s">
        <v>154</v>
      </c>
      <c r="T119" s="833"/>
      <c r="U119" s="276"/>
      <c r="V119" s="161"/>
      <c r="W119" s="161"/>
      <c r="X119" s="161"/>
      <c r="Y119" s="161"/>
      <c r="Z119" s="161"/>
    </row>
    <row r="120" spans="1:26" ht="30" hidden="1" customHeight="1">
      <c r="A120" s="171" t="e">
        <f t="shared" ref="A120:A134" si="8">A119+1</f>
        <v>#VALUE!</v>
      </c>
      <c r="B120" s="172" t="s">
        <v>353</v>
      </c>
      <c r="C120" s="181">
        <v>1</v>
      </c>
      <c r="D120" s="182">
        <v>630000</v>
      </c>
      <c r="E120" s="175">
        <v>630000</v>
      </c>
      <c r="F120" s="173" t="s">
        <v>52</v>
      </c>
      <c r="G120" s="173">
        <v>0</v>
      </c>
      <c r="H120" s="172" t="s">
        <v>220</v>
      </c>
      <c r="I120" s="173" t="s">
        <v>159</v>
      </c>
      <c r="J120" s="173" t="s">
        <v>20</v>
      </c>
      <c r="K120" s="180" t="s">
        <v>83</v>
      </c>
      <c r="L120" s="264" t="s">
        <v>135</v>
      </c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 spans="1:26" ht="30" hidden="1" customHeight="1">
      <c r="A121" s="171" t="e">
        <f t="shared" si="8"/>
        <v>#VALUE!</v>
      </c>
      <c r="B121" s="172" t="s">
        <v>354</v>
      </c>
      <c r="C121" s="181">
        <v>1</v>
      </c>
      <c r="D121" s="182">
        <v>657000</v>
      </c>
      <c r="E121" s="175">
        <v>657000</v>
      </c>
      <c r="F121" s="173" t="s">
        <v>52</v>
      </c>
      <c r="G121" s="173">
        <v>0</v>
      </c>
      <c r="H121" s="172" t="s">
        <v>220</v>
      </c>
      <c r="I121" s="173" t="s">
        <v>159</v>
      </c>
      <c r="J121" s="173" t="s">
        <v>20</v>
      </c>
      <c r="K121" s="180" t="s">
        <v>83</v>
      </c>
      <c r="L121" s="264" t="s">
        <v>135</v>
      </c>
      <c r="M121" s="161"/>
      <c r="N121" s="567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 spans="1:26" ht="30" hidden="1" customHeight="1">
      <c r="A122" s="171" t="e">
        <f t="shared" si="8"/>
        <v>#VALUE!</v>
      </c>
      <c r="B122" s="172" t="s">
        <v>355</v>
      </c>
      <c r="C122" s="181">
        <v>1</v>
      </c>
      <c r="D122" s="182">
        <v>682500</v>
      </c>
      <c r="E122" s="175">
        <v>682500</v>
      </c>
      <c r="F122" s="173" t="s">
        <v>52</v>
      </c>
      <c r="G122" s="173">
        <v>0</v>
      </c>
      <c r="H122" s="172" t="s">
        <v>220</v>
      </c>
      <c r="I122" s="173" t="s">
        <v>159</v>
      </c>
      <c r="J122" s="173" t="s">
        <v>20</v>
      </c>
      <c r="K122" s="180" t="s">
        <v>83</v>
      </c>
      <c r="L122" s="264" t="s">
        <v>135</v>
      </c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 spans="1:26" ht="30" hidden="1" customHeight="1">
      <c r="A123" s="171" t="e">
        <f t="shared" si="8"/>
        <v>#VALUE!</v>
      </c>
      <c r="B123" s="172" t="s">
        <v>356</v>
      </c>
      <c r="C123" s="181">
        <v>1</v>
      </c>
      <c r="D123" s="182">
        <v>709000</v>
      </c>
      <c r="E123" s="175">
        <v>709000</v>
      </c>
      <c r="F123" s="173" t="s">
        <v>52</v>
      </c>
      <c r="G123" s="173">
        <v>0</v>
      </c>
      <c r="H123" s="172" t="s">
        <v>220</v>
      </c>
      <c r="I123" s="173" t="s">
        <v>159</v>
      </c>
      <c r="J123" s="173" t="s">
        <v>20</v>
      </c>
      <c r="K123" s="180" t="s">
        <v>83</v>
      </c>
      <c r="L123" s="264" t="s">
        <v>135</v>
      </c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 spans="1:26" ht="24" hidden="1" customHeight="1">
      <c r="A124" s="171" t="e">
        <f t="shared" si="8"/>
        <v>#VALUE!</v>
      </c>
      <c r="B124" s="172" t="s">
        <v>357</v>
      </c>
      <c r="C124" s="181">
        <v>1</v>
      </c>
      <c r="D124" s="182">
        <v>1000000</v>
      </c>
      <c r="E124" s="175">
        <v>1000000</v>
      </c>
      <c r="F124" s="173" t="s">
        <v>52</v>
      </c>
      <c r="G124" s="173">
        <v>0</v>
      </c>
      <c r="H124" s="172" t="s">
        <v>220</v>
      </c>
      <c r="I124" s="173" t="s">
        <v>159</v>
      </c>
      <c r="J124" s="173" t="s">
        <v>20</v>
      </c>
      <c r="K124" s="180" t="s">
        <v>83</v>
      </c>
      <c r="L124" s="264" t="s">
        <v>135</v>
      </c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 spans="1:26" ht="57" customHeight="1">
      <c r="A125" s="171" t="e">
        <f t="shared" si="8"/>
        <v>#VALUE!</v>
      </c>
      <c r="B125" s="209" t="s">
        <v>358</v>
      </c>
      <c r="C125" s="186">
        <v>1</v>
      </c>
      <c r="D125" s="187">
        <v>1138000</v>
      </c>
      <c r="E125" s="802">
        <v>1138000</v>
      </c>
      <c r="F125" s="186" t="s">
        <v>52</v>
      </c>
      <c r="G125" s="186">
        <v>0</v>
      </c>
      <c r="H125" s="747" t="s">
        <v>220</v>
      </c>
      <c r="I125" s="743" t="s">
        <v>159</v>
      </c>
      <c r="J125" s="204" t="s">
        <v>20</v>
      </c>
      <c r="K125" s="211" t="s">
        <v>83</v>
      </c>
      <c r="L125" s="547" t="s">
        <v>81</v>
      </c>
      <c r="M125" s="488">
        <v>864480</v>
      </c>
      <c r="N125" s="793" t="s">
        <v>359</v>
      </c>
      <c r="O125" s="556" t="s">
        <v>161</v>
      </c>
      <c r="P125" s="488">
        <v>864480</v>
      </c>
      <c r="Q125" s="276" t="s">
        <v>360</v>
      </c>
      <c r="R125" s="794">
        <v>45991</v>
      </c>
      <c r="S125" s="795" t="s">
        <v>361</v>
      </c>
      <c r="T125" s="833">
        <v>25934</v>
      </c>
      <c r="U125" s="276" t="s">
        <v>362</v>
      </c>
      <c r="V125" s="161"/>
      <c r="W125" s="161"/>
      <c r="X125" s="161"/>
      <c r="Y125" s="161"/>
      <c r="Z125" s="161"/>
    </row>
    <row r="126" spans="1:26" ht="30" hidden="1" customHeight="1">
      <c r="A126" s="171" t="e">
        <f t="shared" si="8"/>
        <v>#VALUE!</v>
      </c>
      <c r="B126" s="172" t="s">
        <v>363</v>
      </c>
      <c r="C126" s="181">
        <v>1</v>
      </c>
      <c r="D126" s="182">
        <v>5000000</v>
      </c>
      <c r="E126" s="175">
        <v>5000000</v>
      </c>
      <c r="F126" s="173" t="s">
        <v>52</v>
      </c>
      <c r="G126" s="173">
        <v>0</v>
      </c>
      <c r="H126" s="183" t="s">
        <v>220</v>
      </c>
      <c r="I126" s="178" t="s">
        <v>159</v>
      </c>
      <c r="J126" s="179" t="s">
        <v>20</v>
      </c>
      <c r="K126" s="180" t="s">
        <v>83</v>
      </c>
      <c r="L126" s="264" t="s">
        <v>135</v>
      </c>
      <c r="M126" s="161"/>
      <c r="N126" s="161"/>
      <c r="O126" s="276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 spans="1:26" ht="30" hidden="1" customHeight="1">
      <c r="A127" s="171" t="e">
        <f t="shared" si="8"/>
        <v>#VALUE!</v>
      </c>
      <c r="B127" s="172" t="s">
        <v>364</v>
      </c>
      <c r="C127" s="181">
        <v>1</v>
      </c>
      <c r="D127" s="182">
        <v>5000000</v>
      </c>
      <c r="E127" s="175">
        <v>5000000</v>
      </c>
      <c r="F127" s="173" t="s">
        <v>52</v>
      </c>
      <c r="G127" s="173">
        <v>0</v>
      </c>
      <c r="H127" s="183" t="s">
        <v>220</v>
      </c>
      <c r="I127" s="178" t="s">
        <v>159</v>
      </c>
      <c r="J127" s="179" t="s">
        <v>20</v>
      </c>
      <c r="K127" s="180" t="s">
        <v>83</v>
      </c>
      <c r="L127" s="264" t="s">
        <v>135</v>
      </c>
      <c r="M127" s="161"/>
      <c r="N127" s="161"/>
      <c r="O127" s="276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 spans="1:26" ht="30" hidden="1" customHeight="1">
      <c r="A128" s="171" t="e">
        <f t="shared" si="8"/>
        <v>#VALUE!</v>
      </c>
      <c r="B128" s="172" t="s">
        <v>365</v>
      </c>
      <c r="C128" s="181">
        <v>147</v>
      </c>
      <c r="D128" s="182">
        <v>4000</v>
      </c>
      <c r="E128" s="175">
        <f t="shared" ref="E128:E134" si="9">C128*D128</f>
        <v>588000</v>
      </c>
      <c r="F128" s="173" t="s">
        <v>319</v>
      </c>
      <c r="G128" s="173">
        <v>8</v>
      </c>
      <c r="H128" s="183" t="s">
        <v>320</v>
      </c>
      <c r="I128" s="178" t="s">
        <v>115</v>
      </c>
      <c r="J128" s="179" t="s">
        <v>20</v>
      </c>
      <c r="K128" s="180" t="s">
        <v>83</v>
      </c>
      <c r="L128" s="264" t="s">
        <v>135</v>
      </c>
      <c r="M128" s="161"/>
      <c r="N128" s="161"/>
      <c r="O128" s="276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 spans="1:26" ht="30" hidden="1" customHeight="1">
      <c r="A129" s="171" t="e">
        <f t="shared" si="8"/>
        <v>#VALUE!</v>
      </c>
      <c r="B129" s="172" t="s">
        <v>366</v>
      </c>
      <c r="C129" s="181">
        <v>17</v>
      </c>
      <c r="D129" s="182">
        <v>70000</v>
      </c>
      <c r="E129" s="175">
        <f t="shared" si="9"/>
        <v>1190000</v>
      </c>
      <c r="F129" s="173" t="s">
        <v>319</v>
      </c>
      <c r="G129" s="173">
        <v>8</v>
      </c>
      <c r="H129" s="183" t="s">
        <v>320</v>
      </c>
      <c r="I129" s="178" t="s">
        <v>115</v>
      </c>
      <c r="J129" s="179" t="s">
        <v>20</v>
      </c>
      <c r="K129" s="180" t="s">
        <v>83</v>
      </c>
      <c r="L129" s="264" t="s">
        <v>135</v>
      </c>
      <c r="M129" s="161"/>
      <c r="N129" s="161"/>
      <c r="O129" s="276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 spans="1:26" ht="30" hidden="1" customHeight="1">
      <c r="A130" s="171" t="e">
        <f t="shared" si="8"/>
        <v>#VALUE!</v>
      </c>
      <c r="B130" s="172" t="s">
        <v>367</v>
      </c>
      <c r="C130" s="181">
        <v>259</v>
      </c>
      <c r="D130" s="182">
        <v>5000</v>
      </c>
      <c r="E130" s="175">
        <f t="shared" si="9"/>
        <v>1295000</v>
      </c>
      <c r="F130" s="173" t="s">
        <v>319</v>
      </c>
      <c r="G130" s="173">
        <v>167</v>
      </c>
      <c r="H130" s="183" t="s">
        <v>320</v>
      </c>
      <c r="I130" s="178" t="s">
        <v>115</v>
      </c>
      <c r="J130" s="179" t="s">
        <v>20</v>
      </c>
      <c r="K130" s="180" t="s">
        <v>83</v>
      </c>
      <c r="L130" s="264" t="s">
        <v>135</v>
      </c>
      <c r="M130" s="161"/>
      <c r="N130" s="161"/>
      <c r="O130" s="276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 spans="1:26" ht="30" hidden="1" customHeight="1">
      <c r="A131" s="171" t="e">
        <f t="shared" si="8"/>
        <v>#VALUE!</v>
      </c>
      <c r="B131" s="172" t="s">
        <v>368</v>
      </c>
      <c r="C131" s="181">
        <v>20</v>
      </c>
      <c r="D131" s="182">
        <v>150000</v>
      </c>
      <c r="E131" s="175">
        <f t="shared" si="9"/>
        <v>3000000</v>
      </c>
      <c r="F131" s="173" t="s">
        <v>319</v>
      </c>
      <c r="G131" s="173">
        <v>9</v>
      </c>
      <c r="H131" s="183" t="s">
        <v>320</v>
      </c>
      <c r="I131" s="178" t="s">
        <v>115</v>
      </c>
      <c r="J131" s="179" t="s">
        <v>20</v>
      </c>
      <c r="K131" s="180" t="s">
        <v>83</v>
      </c>
      <c r="L131" s="264" t="s">
        <v>135</v>
      </c>
      <c r="M131" s="161"/>
      <c r="N131" s="161"/>
      <c r="O131" s="276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 spans="1:26" ht="30" hidden="1" customHeight="1">
      <c r="A132" s="171" t="e">
        <f t="shared" si="8"/>
        <v>#VALUE!</v>
      </c>
      <c r="B132" s="172" t="s">
        <v>369</v>
      </c>
      <c r="C132" s="181">
        <v>27</v>
      </c>
      <c r="D132" s="182">
        <v>200000</v>
      </c>
      <c r="E132" s="175">
        <f t="shared" si="9"/>
        <v>5400000</v>
      </c>
      <c r="F132" s="173" t="s">
        <v>319</v>
      </c>
      <c r="G132" s="173">
        <v>5</v>
      </c>
      <c r="H132" s="183" t="s">
        <v>320</v>
      </c>
      <c r="I132" s="178" t="s">
        <v>115</v>
      </c>
      <c r="J132" s="179" t="s">
        <v>20</v>
      </c>
      <c r="K132" s="180" t="s">
        <v>83</v>
      </c>
      <c r="L132" s="264" t="s">
        <v>135</v>
      </c>
      <c r="M132" s="161"/>
      <c r="N132" s="161"/>
      <c r="O132" s="276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 spans="1:26" ht="30" hidden="1" customHeight="1">
      <c r="A133" s="171" t="e">
        <f t="shared" si="8"/>
        <v>#VALUE!</v>
      </c>
      <c r="B133" s="172" t="s">
        <v>370</v>
      </c>
      <c r="C133" s="181">
        <v>23</v>
      </c>
      <c r="D133" s="182">
        <v>250000</v>
      </c>
      <c r="E133" s="175">
        <f t="shared" si="9"/>
        <v>5750000</v>
      </c>
      <c r="F133" s="173" t="s">
        <v>319</v>
      </c>
      <c r="G133" s="173">
        <v>3</v>
      </c>
      <c r="H133" s="183" t="s">
        <v>320</v>
      </c>
      <c r="I133" s="178" t="s">
        <v>115</v>
      </c>
      <c r="J133" s="179" t="s">
        <v>20</v>
      </c>
      <c r="K133" s="180" t="s">
        <v>83</v>
      </c>
      <c r="L133" s="264" t="s">
        <v>135</v>
      </c>
      <c r="M133" s="161"/>
      <c r="N133" s="161"/>
      <c r="O133" s="276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 spans="1:26" ht="30" hidden="1" customHeight="1">
      <c r="A134" s="171" t="e">
        <f t="shared" si="8"/>
        <v>#VALUE!</v>
      </c>
      <c r="B134" s="172" t="s">
        <v>371</v>
      </c>
      <c r="C134" s="181">
        <v>97</v>
      </c>
      <c r="D134" s="182">
        <v>70000</v>
      </c>
      <c r="E134" s="175">
        <f t="shared" si="9"/>
        <v>6790000</v>
      </c>
      <c r="F134" s="173" t="s">
        <v>319</v>
      </c>
      <c r="G134" s="173">
        <v>15</v>
      </c>
      <c r="H134" s="183" t="s">
        <v>320</v>
      </c>
      <c r="I134" s="178" t="s">
        <v>115</v>
      </c>
      <c r="J134" s="179" t="s">
        <v>20</v>
      </c>
      <c r="K134" s="180" t="s">
        <v>83</v>
      </c>
      <c r="L134" s="264" t="s">
        <v>135</v>
      </c>
      <c r="M134" s="161"/>
      <c r="N134" s="161"/>
      <c r="O134" s="276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 spans="1:26" ht="24.95" hidden="1" customHeight="1">
      <c r="A135" s="211">
        <v>1</v>
      </c>
      <c r="B135" s="212" t="s">
        <v>372</v>
      </c>
      <c r="C135" s="213">
        <v>1</v>
      </c>
      <c r="D135" s="214">
        <v>15000</v>
      </c>
      <c r="E135" s="214">
        <v>15000</v>
      </c>
      <c r="F135" s="215" t="s">
        <v>52</v>
      </c>
      <c r="G135" s="216">
        <v>0</v>
      </c>
      <c r="H135" s="217" t="s">
        <v>220</v>
      </c>
      <c r="I135" s="178" t="s">
        <v>159</v>
      </c>
      <c r="J135" s="179" t="s">
        <v>27</v>
      </c>
      <c r="K135" s="180" t="s">
        <v>83</v>
      </c>
      <c r="L135" s="264" t="s">
        <v>135</v>
      </c>
      <c r="M135" s="161"/>
      <c r="N135" s="161"/>
      <c r="O135" s="276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 spans="1:26" ht="24.95" hidden="1" customHeight="1">
      <c r="A136" s="171">
        <f t="shared" ref="A136:A152" si="10">A135+1</f>
        <v>2</v>
      </c>
      <c r="B136" s="218" t="s">
        <v>373</v>
      </c>
      <c r="C136" s="219">
        <v>2</v>
      </c>
      <c r="D136" s="220">
        <v>25000</v>
      </c>
      <c r="E136" s="221">
        <v>50000</v>
      </c>
      <c r="F136" s="173" t="s">
        <v>48</v>
      </c>
      <c r="G136" s="222">
        <v>0</v>
      </c>
      <c r="H136" s="223" t="s">
        <v>374</v>
      </c>
      <c r="I136" s="190" t="s">
        <v>115</v>
      </c>
      <c r="J136" s="179" t="s">
        <v>27</v>
      </c>
      <c r="K136" s="180" t="s">
        <v>83</v>
      </c>
      <c r="L136" s="264" t="s">
        <v>135</v>
      </c>
      <c r="M136" s="161"/>
      <c r="N136" s="161"/>
      <c r="O136" s="276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 spans="1:26" ht="24.95" hidden="1" customHeight="1">
      <c r="A137" s="171">
        <f t="shared" si="10"/>
        <v>3</v>
      </c>
      <c r="B137" s="226" t="s">
        <v>375</v>
      </c>
      <c r="C137" s="227">
        <v>1</v>
      </c>
      <c r="D137" s="208">
        <v>100000</v>
      </c>
      <c r="E137" s="208">
        <v>100000</v>
      </c>
      <c r="F137" s="227" t="s">
        <v>39</v>
      </c>
      <c r="G137" s="227">
        <v>0</v>
      </c>
      <c r="H137" s="228" t="s">
        <v>376</v>
      </c>
      <c r="I137" s="190" t="s">
        <v>159</v>
      </c>
      <c r="J137" s="179" t="s">
        <v>27</v>
      </c>
      <c r="K137" s="180" t="s">
        <v>83</v>
      </c>
      <c r="L137" s="264" t="s">
        <v>135</v>
      </c>
      <c r="M137" s="161"/>
      <c r="N137" s="161"/>
      <c r="O137" s="333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 spans="1:26" ht="33" customHeight="1">
      <c r="A138" s="171">
        <f t="shared" si="10"/>
        <v>4</v>
      </c>
      <c r="B138" s="218" t="s">
        <v>377</v>
      </c>
      <c r="C138" s="227">
        <v>2</v>
      </c>
      <c r="D138" s="208">
        <v>50000</v>
      </c>
      <c r="E138" s="803">
        <v>100000</v>
      </c>
      <c r="F138" s="227" t="s">
        <v>39</v>
      </c>
      <c r="G138" s="227">
        <v>0</v>
      </c>
      <c r="H138" s="296" t="s">
        <v>378</v>
      </c>
      <c r="I138" s="190" t="s">
        <v>159</v>
      </c>
      <c r="J138" s="179" t="s">
        <v>27</v>
      </c>
      <c r="K138" s="211" t="s">
        <v>83</v>
      </c>
      <c r="L138" s="547" t="s">
        <v>81</v>
      </c>
      <c r="M138" s="488">
        <v>89000</v>
      </c>
      <c r="N138" s="276" t="s">
        <v>379</v>
      </c>
      <c r="O138" s="906" t="s">
        <v>380</v>
      </c>
      <c r="P138" s="466">
        <v>89000</v>
      </c>
      <c r="Q138" s="276" t="s">
        <v>381</v>
      </c>
      <c r="R138" s="794">
        <v>46093</v>
      </c>
      <c r="S138" s="276" t="s">
        <v>154</v>
      </c>
      <c r="T138" s="833"/>
      <c r="U138" s="276"/>
      <c r="V138" s="161"/>
      <c r="W138" s="161"/>
      <c r="X138" s="161"/>
      <c r="Y138" s="161"/>
      <c r="Z138" s="161"/>
    </row>
    <row r="139" spans="1:26" ht="24.95" hidden="1" customHeight="1">
      <c r="A139" s="171">
        <f t="shared" si="10"/>
        <v>5</v>
      </c>
      <c r="B139" s="196" t="s">
        <v>366</v>
      </c>
      <c r="C139" s="224">
        <v>2</v>
      </c>
      <c r="D139" s="206">
        <v>70000</v>
      </c>
      <c r="E139" s="208">
        <f>C139*D139</f>
        <v>140000</v>
      </c>
      <c r="F139" s="205" t="s">
        <v>319</v>
      </c>
      <c r="G139" s="205">
        <v>2</v>
      </c>
      <c r="H139" s="229" t="s">
        <v>320</v>
      </c>
      <c r="I139" s="190" t="s">
        <v>115</v>
      </c>
      <c r="J139" s="179" t="s">
        <v>27</v>
      </c>
      <c r="K139" s="180" t="s">
        <v>83</v>
      </c>
      <c r="L139" s="264" t="s">
        <v>135</v>
      </c>
      <c r="M139" s="161"/>
      <c r="N139" s="161"/>
      <c r="O139" s="276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 spans="1:26" ht="24.95" hidden="1" customHeight="1">
      <c r="A140" s="171">
        <f t="shared" si="10"/>
        <v>6</v>
      </c>
      <c r="B140" s="226" t="s">
        <v>382</v>
      </c>
      <c r="C140" s="230">
        <v>1</v>
      </c>
      <c r="D140" s="231">
        <v>150000</v>
      </c>
      <c r="E140" s="225">
        <v>150000</v>
      </c>
      <c r="F140" s="230" t="s">
        <v>39</v>
      </c>
      <c r="G140" s="230">
        <v>0</v>
      </c>
      <c r="H140" s="232" t="s">
        <v>376</v>
      </c>
      <c r="I140" s="190" t="s">
        <v>159</v>
      </c>
      <c r="J140" s="179" t="s">
        <v>27</v>
      </c>
      <c r="K140" s="180" t="s">
        <v>83</v>
      </c>
      <c r="L140" s="264" t="s">
        <v>135</v>
      </c>
      <c r="M140" s="161"/>
      <c r="N140" s="161"/>
      <c r="O140" s="276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 spans="1:26" ht="24.95" hidden="1" customHeight="1">
      <c r="A141" s="171">
        <f t="shared" si="10"/>
        <v>7</v>
      </c>
      <c r="B141" s="226" t="s">
        <v>383</v>
      </c>
      <c r="C141" s="233">
        <v>1</v>
      </c>
      <c r="D141" s="210">
        <v>150000</v>
      </c>
      <c r="E141" s="234">
        <v>150000</v>
      </c>
      <c r="F141" s="186" t="s">
        <v>52</v>
      </c>
      <c r="G141" s="235">
        <v>0</v>
      </c>
      <c r="H141" s="236" t="s">
        <v>220</v>
      </c>
      <c r="I141" s="178" t="s">
        <v>159</v>
      </c>
      <c r="J141" s="179" t="s">
        <v>27</v>
      </c>
      <c r="K141" s="180" t="s">
        <v>83</v>
      </c>
      <c r="L141" s="264" t="s">
        <v>135</v>
      </c>
      <c r="M141" s="161"/>
      <c r="N141" s="161"/>
      <c r="O141" s="276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 spans="1:26" ht="24.95" hidden="1" customHeight="1">
      <c r="A142" s="171">
        <f t="shared" si="10"/>
        <v>8</v>
      </c>
      <c r="B142" s="196" t="s">
        <v>324</v>
      </c>
      <c r="C142" s="233">
        <v>10</v>
      </c>
      <c r="D142" s="210">
        <v>15000</v>
      </c>
      <c r="E142" s="175">
        <f>C142*D142</f>
        <v>150000</v>
      </c>
      <c r="F142" s="186" t="s">
        <v>319</v>
      </c>
      <c r="G142" s="186">
        <v>6</v>
      </c>
      <c r="H142" s="195" t="s">
        <v>320</v>
      </c>
      <c r="I142" s="190" t="s">
        <v>115</v>
      </c>
      <c r="J142" s="179" t="s">
        <v>27</v>
      </c>
      <c r="K142" s="180" t="s">
        <v>83</v>
      </c>
      <c r="L142" s="264" t="s">
        <v>135</v>
      </c>
      <c r="M142" s="161"/>
      <c r="N142" s="161"/>
      <c r="O142" s="276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 spans="1:26" ht="24.95" hidden="1" customHeight="1">
      <c r="A143" s="171">
        <f t="shared" si="10"/>
        <v>9</v>
      </c>
      <c r="B143" s="209" t="s">
        <v>375</v>
      </c>
      <c r="C143" s="233">
        <v>2</v>
      </c>
      <c r="D143" s="210">
        <v>125000</v>
      </c>
      <c r="E143" s="231">
        <f>C143*D143</f>
        <v>250000</v>
      </c>
      <c r="F143" s="186" t="s">
        <v>44</v>
      </c>
      <c r="G143" s="186">
        <v>0</v>
      </c>
      <c r="H143" s="236" t="s">
        <v>384</v>
      </c>
      <c r="I143" s="190" t="s">
        <v>115</v>
      </c>
      <c r="J143" s="179" t="s">
        <v>27</v>
      </c>
      <c r="K143" s="180" t="s">
        <v>83</v>
      </c>
      <c r="L143" s="264" t="s">
        <v>233</v>
      </c>
      <c r="M143" s="161">
        <v>0</v>
      </c>
      <c r="N143" s="161"/>
      <c r="O143" s="556" t="s">
        <v>385</v>
      </c>
      <c r="P143" s="466"/>
      <c r="Q143" s="276"/>
      <c r="R143" s="276"/>
      <c r="S143" s="276"/>
      <c r="T143" s="276"/>
      <c r="U143" s="276"/>
      <c r="V143" s="161"/>
      <c r="W143" s="161"/>
      <c r="X143" s="161"/>
      <c r="Y143" s="161"/>
      <c r="Z143" s="161"/>
    </row>
    <row r="144" spans="1:26" ht="24.95" hidden="1" customHeight="1">
      <c r="A144" s="171">
        <f t="shared" si="10"/>
        <v>10</v>
      </c>
      <c r="B144" s="218" t="s">
        <v>386</v>
      </c>
      <c r="C144" s="233">
        <v>1</v>
      </c>
      <c r="D144" s="210">
        <v>250000</v>
      </c>
      <c r="E144" s="210">
        <v>250000</v>
      </c>
      <c r="F144" s="186" t="s">
        <v>52</v>
      </c>
      <c r="G144" s="235">
        <v>0</v>
      </c>
      <c r="H144" s="236" t="s">
        <v>220</v>
      </c>
      <c r="I144" s="178" t="s">
        <v>159</v>
      </c>
      <c r="J144" s="179" t="s">
        <v>27</v>
      </c>
      <c r="K144" s="180" t="s">
        <v>83</v>
      </c>
      <c r="L144" s="264" t="s">
        <v>135</v>
      </c>
      <c r="M144" s="161"/>
      <c r="N144" s="161"/>
      <c r="O144" s="276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 spans="1:26" ht="24.95" hidden="1" customHeight="1">
      <c r="A145" s="171">
        <f t="shared" si="10"/>
        <v>11</v>
      </c>
      <c r="B145" s="237" t="s">
        <v>387</v>
      </c>
      <c r="C145" s="230">
        <v>1</v>
      </c>
      <c r="D145" s="231">
        <v>350000</v>
      </c>
      <c r="E145" s="231">
        <f>C145*D145</f>
        <v>350000</v>
      </c>
      <c r="F145" s="188" t="s">
        <v>39</v>
      </c>
      <c r="G145" s="188">
        <v>0</v>
      </c>
      <c r="H145" s="232" t="s">
        <v>376</v>
      </c>
      <c r="I145" s="190" t="s">
        <v>159</v>
      </c>
      <c r="J145" s="179" t="s">
        <v>27</v>
      </c>
      <c r="K145" s="180" t="s">
        <v>83</v>
      </c>
      <c r="L145" s="264" t="s">
        <v>135</v>
      </c>
      <c r="M145" s="161"/>
      <c r="N145" s="161"/>
      <c r="O145" s="333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 spans="1:26" ht="24.95" customHeight="1">
      <c r="A146" s="238">
        <f t="shared" si="10"/>
        <v>12</v>
      </c>
      <c r="B146" s="239" t="s">
        <v>388</v>
      </c>
      <c r="C146" s="240">
        <v>1</v>
      </c>
      <c r="D146" s="234">
        <v>350000</v>
      </c>
      <c r="E146" s="804">
        <f>C146*D146</f>
        <v>350000</v>
      </c>
      <c r="F146" s="241" t="s">
        <v>44</v>
      </c>
      <c r="G146" s="241">
        <v>0</v>
      </c>
      <c r="H146" s="857" t="s">
        <v>384</v>
      </c>
      <c r="I146" s="746" t="s">
        <v>115</v>
      </c>
      <c r="J146" s="179" t="s">
        <v>27</v>
      </c>
      <c r="K146" s="211" t="s">
        <v>83</v>
      </c>
      <c r="L146" s="547" t="s">
        <v>81</v>
      </c>
      <c r="M146" s="488">
        <v>305000</v>
      </c>
      <c r="N146" s="276" t="s">
        <v>389</v>
      </c>
      <c r="O146" s="556" t="s">
        <v>253</v>
      </c>
      <c r="P146" s="466">
        <v>301950</v>
      </c>
      <c r="Q146" s="276" t="s">
        <v>390</v>
      </c>
      <c r="R146" s="794">
        <v>46058</v>
      </c>
      <c r="S146" s="276" t="s">
        <v>154</v>
      </c>
      <c r="T146" s="833"/>
      <c r="U146" s="276"/>
      <c r="V146" s="161"/>
      <c r="W146" s="161"/>
      <c r="X146" s="161"/>
      <c r="Y146" s="161"/>
      <c r="Z146" s="161"/>
    </row>
    <row r="147" spans="1:26" ht="24.95" hidden="1" customHeight="1">
      <c r="A147" s="211">
        <f t="shared" si="10"/>
        <v>13</v>
      </c>
      <c r="B147" s="180" t="s">
        <v>369</v>
      </c>
      <c r="C147" s="213">
        <v>4</v>
      </c>
      <c r="D147" s="214">
        <v>200000</v>
      </c>
      <c r="E147" s="242">
        <f>C147*D147</f>
        <v>800000</v>
      </c>
      <c r="F147" s="215" t="s">
        <v>319</v>
      </c>
      <c r="G147" s="215">
        <v>0</v>
      </c>
      <c r="H147" s="243" t="s">
        <v>320</v>
      </c>
      <c r="I147" s="190" t="s">
        <v>115</v>
      </c>
      <c r="J147" s="179" t="s">
        <v>27</v>
      </c>
      <c r="K147" s="180" t="s">
        <v>83</v>
      </c>
      <c r="L147" s="264" t="s">
        <v>135</v>
      </c>
      <c r="M147" s="161"/>
      <c r="N147" s="161"/>
      <c r="O147" s="334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 spans="1:26" ht="24.95" hidden="1" customHeight="1">
      <c r="A148" s="244">
        <f t="shared" si="10"/>
        <v>14</v>
      </c>
      <c r="B148" s="245" t="s">
        <v>371</v>
      </c>
      <c r="C148" s="246">
        <v>14</v>
      </c>
      <c r="D148" s="247">
        <v>70000</v>
      </c>
      <c r="E148" s="248">
        <f>C148*D148</f>
        <v>980000</v>
      </c>
      <c r="F148" s="241" t="s">
        <v>319</v>
      </c>
      <c r="G148" s="246">
        <v>2</v>
      </c>
      <c r="H148" s="249" t="s">
        <v>320</v>
      </c>
      <c r="I148" s="190" t="s">
        <v>115</v>
      </c>
      <c r="J148" s="179" t="s">
        <v>27</v>
      </c>
      <c r="K148" s="180" t="s">
        <v>83</v>
      </c>
      <c r="L148" s="264" t="s">
        <v>135</v>
      </c>
      <c r="M148" s="161"/>
      <c r="N148" s="161"/>
      <c r="O148" s="333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 spans="1:26" ht="24.95" hidden="1" customHeight="1">
      <c r="A149" s="171">
        <f t="shared" si="10"/>
        <v>15</v>
      </c>
      <c r="B149" s="226" t="s">
        <v>391</v>
      </c>
      <c r="C149" s="227">
        <v>1</v>
      </c>
      <c r="D149" s="206">
        <v>1000000</v>
      </c>
      <c r="E149" s="874">
        <v>1000000</v>
      </c>
      <c r="F149" s="173" t="s">
        <v>48</v>
      </c>
      <c r="G149" s="193">
        <v>0</v>
      </c>
      <c r="H149" s="297" t="s">
        <v>392</v>
      </c>
      <c r="I149" s="179" t="s">
        <v>159</v>
      </c>
      <c r="J149" s="179" t="s">
        <v>27</v>
      </c>
      <c r="K149" s="211" t="s">
        <v>83</v>
      </c>
      <c r="L149" s="547" t="s">
        <v>146</v>
      </c>
      <c r="M149" s="466"/>
      <c r="N149" s="276"/>
      <c r="O149" s="556"/>
      <c r="P149" s="466"/>
      <c r="Q149" s="276"/>
      <c r="R149" s="276"/>
      <c r="S149" s="276"/>
      <c r="T149" s="276"/>
      <c r="U149" s="276"/>
      <c r="V149" s="161"/>
      <c r="W149" s="161"/>
      <c r="X149" s="161"/>
      <c r="Y149" s="161"/>
      <c r="Z149" s="161"/>
    </row>
    <row r="150" spans="1:26" ht="24.95" hidden="1" customHeight="1">
      <c r="A150" s="171">
        <f t="shared" si="10"/>
        <v>16</v>
      </c>
      <c r="B150" s="196" t="s">
        <v>368</v>
      </c>
      <c r="C150" s="176">
        <v>3</v>
      </c>
      <c r="D150" s="174">
        <v>600000</v>
      </c>
      <c r="E150" s="250">
        <f>C150*D150</f>
        <v>1800000</v>
      </c>
      <c r="F150" s="173" t="s">
        <v>319</v>
      </c>
      <c r="G150" s="176">
        <v>2</v>
      </c>
      <c r="H150" s="183" t="s">
        <v>320</v>
      </c>
      <c r="I150" s="190" t="s">
        <v>115</v>
      </c>
      <c r="J150" s="179" t="s">
        <v>27</v>
      </c>
      <c r="K150" s="180" t="s">
        <v>83</v>
      </c>
      <c r="L150" s="264" t="s">
        <v>135</v>
      </c>
      <c r="M150" s="161"/>
      <c r="N150" s="161"/>
      <c r="O150" s="333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 spans="1:26" ht="24.95" hidden="1" customHeight="1">
      <c r="A151" s="171">
        <f t="shared" si="10"/>
        <v>17</v>
      </c>
      <c r="B151" s="875" t="s">
        <v>393</v>
      </c>
      <c r="C151" s="230">
        <v>1</v>
      </c>
      <c r="D151" s="175">
        <v>2500000</v>
      </c>
      <c r="E151" s="876">
        <f>C151*D151</f>
        <v>2500000</v>
      </c>
      <c r="F151" s="877" t="s">
        <v>39</v>
      </c>
      <c r="G151" s="282">
        <v>0</v>
      </c>
      <c r="H151" s="298" t="s">
        <v>378</v>
      </c>
      <c r="I151" s="283" t="s">
        <v>159</v>
      </c>
      <c r="J151" s="284" t="s">
        <v>27</v>
      </c>
      <c r="K151" s="211" t="s">
        <v>83</v>
      </c>
      <c r="L151" s="547" t="s">
        <v>146</v>
      </c>
      <c r="M151" s="466"/>
      <c r="N151" s="276"/>
      <c r="O151" s="556"/>
      <c r="P151" s="466"/>
      <c r="Q151" s="276"/>
      <c r="R151" s="276"/>
      <c r="S151" s="276"/>
      <c r="T151" s="276"/>
      <c r="U151" s="276"/>
      <c r="V151" s="161"/>
      <c r="W151" s="161"/>
      <c r="X151" s="161"/>
      <c r="Y151" s="161"/>
      <c r="Z151" s="161"/>
    </row>
    <row r="152" spans="1:26" ht="24.95" hidden="1" customHeight="1">
      <c r="A152" s="171">
        <f t="shared" si="10"/>
        <v>18</v>
      </c>
      <c r="B152" s="251" t="s">
        <v>394</v>
      </c>
      <c r="C152" s="233">
        <v>1</v>
      </c>
      <c r="D152" s="250">
        <v>2000000</v>
      </c>
      <c r="E152" s="250">
        <v>2000000</v>
      </c>
      <c r="F152" s="233" t="s">
        <v>39</v>
      </c>
      <c r="G152" s="230">
        <v>0</v>
      </c>
      <c r="H152" s="232" t="s">
        <v>378</v>
      </c>
      <c r="I152" s="190" t="s">
        <v>159</v>
      </c>
      <c r="J152" s="179" t="s">
        <v>27</v>
      </c>
      <c r="K152" s="180" t="s">
        <v>83</v>
      </c>
      <c r="L152" s="264" t="s">
        <v>135</v>
      </c>
      <c r="M152" s="161"/>
      <c r="N152" s="161"/>
      <c r="O152" s="333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 spans="1:26" ht="24.95" customHeight="1">
      <c r="A153" s="252">
        <v>0</v>
      </c>
      <c r="B153" s="172" t="s">
        <v>395</v>
      </c>
      <c r="C153" s="252">
        <v>1</v>
      </c>
      <c r="D153" s="253">
        <v>200000</v>
      </c>
      <c r="E153" s="491">
        <v>200000</v>
      </c>
      <c r="F153" s="252" t="s">
        <v>52</v>
      </c>
      <c r="G153" s="181">
        <v>0</v>
      </c>
      <c r="H153" s="202" t="s">
        <v>220</v>
      </c>
      <c r="I153" s="254" t="s">
        <v>159</v>
      </c>
      <c r="J153" s="255" t="s">
        <v>396</v>
      </c>
      <c r="K153" s="211" t="s">
        <v>83</v>
      </c>
      <c r="L153" s="547" t="s">
        <v>81</v>
      </c>
      <c r="M153" s="488">
        <v>198500</v>
      </c>
      <c r="N153" s="793" t="s">
        <v>397</v>
      </c>
      <c r="O153" s="556" t="s">
        <v>253</v>
      </c>
      <c r="P153" s="488">
        <v>198500</v>
      </c>
      <c r="Q153" s="276" t="s">
        <v>398</v>
      </c>
      <c r="R153" s="794">
        <v>46049</v>
      </c>
      <c r="S153" s="276">
        <v>711827</v>
      </c>
      <c r="T153" s="553">
        <v>10000</v>
      </c>
      <c r="U153" s="276"/>
      <c r="V153" s="161"/>
      <c r="W153" s="161"/>
      <c r="X153" s="161"/>
      <c r="Y153" s="161"/>
      <c r="Z153" s="161"/>
    </row>
    <row r="154" spans="1:26" s="960" customFormat="1" ht="35.25" hidden="1" customHeight="1">
      <c r="A154" s="953">
        <v>0</v>
      </c>
      <c r="B154" s="954" t="s">
        <v>399</v>
      </c>
      <c r="C154" s="953">
        <v>8</v>
      </c>
      <c r="D154" s="955">
        <v>65000</v>
      </c>
      <c r="E154" s="956">
        <v>520000</v>
      </c>
      <c r="F154" s="953" t="s">
        <v>47</v>
      </c>
      <c r="G154" s="207">
        <v>0</v>
      </c>
      <c r="H154" s="245" t="s">
        <v>400</v>
      </c>
      <c r="I154" s="257" t="s">
        <v>159</v>
      </c>
      <c r="J154" s="258" t="s">
        <v>396</v>
      </c>
      <c r="K154" s="957" t="s">
        <v>83</v>
      </c>
      <c r="L154" s="958" t="s">
        <v>401</v>
      </c>
      <c r="M154" s="961"/>
      <c r="N154" s="961"/>
      <c r="O154" s="961" t="s">
        <v>402</v>
      </c>
      <c r="P154" s="962"/>
      <c r="Q154" s="961"/>
      <c r="R154" s="961"/>
      <c r="S154" s="961"/>
      <c r="T154" s="961"/>
      <c r="U154" s="961"/>
      <c r="V154" s="959"/>
      <c r="W154" s="959"/>
      <c r="X154" s="959"/>
      <c r="Y154" s="959"/>
      <c r="Z154" s="959"/>
    </row>
    <row r="155" spans="1:26" ht="35.25" customHeight="1">
      <c r="A155" s="179">
        <v>0</v>
      </c>
      <c r="B155" s="229" t="s">
        <v>403</v>
      </c>
      <c r="C155" s="259">
        <v>67</v>
      </c>
      <c r="D155" s="260">
        <v>50000</v>
      </c>
      <c r="E155" s="805">
        <f>C155*D155</f>
        <v>3350000</v>
      </c>
      <c r="F155" s="211" t="s">
        <v>87</v>
      </c>
      <c r="G155" s="806">
        <v>17</v>
      </c>
      <c r="H155" s="299" t="s">
        <v>320</v>
      </c>
      <c r="I155" s="263" t="s">
        <v>159</v>
      </c>
      <c r="J155" s="258" t="s">
        <v>396</v>
      </c>
      <c r="K155" s="211" t="s">
        <v>83</v>
      </c>
      <c r="L155" s="547" t="s">
        <v>81</v>
      </c>
      <c r="M155" s="485">
        <v>3068600</v>
      </c>
      <c r="N155" s="807" t="s">
        <v>62</v>
      </c>
      <c r="O155" s="556" t="s">
        <v>327</v>
      </c>
      <c r="P155" s="466">
        <v>3053257</v>
      </c>
      <c r="Q155" s="276" t="s">
        <v>404</v>
      </c>
      <c r="R155" s="794">
        <v>46087</v>
      </c>
      <c r="S155" s="276" t="s">
        <v>339</v>
      </c>
      <c r="T155" s="833"/>
      <c r="U155" s="276"/>
      <c r="V155" s="161"/>
      <c r="W155" s="161"/>
      <c r="X155" s="161"/>
      <c r="Y155" s="161"/>
      <c r="Z155" s="161"/>
    </row>
    <row r="156" spans="1:26" ht="24.95" hidden="1" customHeight="1">
      <c r="A156" s="179">
        <v>1</v>
      </c>
      <c r="B156" s="229" t="s">
        <v>405</v>
      </c>
      <c r="C156" s="179">
        <v>1</v>
      </c>
      <c r="D156" s="260">
        <v>5800000</v>
      </c>
      <c r="E156" s="261">
        <f>C156*D156</f>
        <v>5800000</v>
      </c>
      <c r="F156" s="211" t="s">
        <v>406</v>
      </c>
      <c r="G156" s="207">
        <v>0</v>
      </c>
      <c r="H156" s="209" t="s">
        <v>407</v>
      </c>
      <c r="I156" s="181" t="s">
        <v>159</v>
      </c>
      <c r="J156" s="258" t="s">
        <v>396</v>
      </c>
      <c r="K156" s="211" t="s">
        <v>408</v>
      </c>
      <c r="L156" s="468" t="s">
        <v>401</v>
      </c>
      <c r="M156" s="485">
        <v>4565977</v>
      </c>
      <c r="N156" s="163" t="s">
        <v>409</v>
      </c>
      <c r="O156" s="276" t="s">
        <v>410</v>
      </c>
      <c r="P156" s="161"/>
      <c r="Q156" s="161"/>
      <c r="R156" s="161"/>
      <c r="S156" s="161" t="s">
        <v>132</v>
      </c>
      <c r="T156" s="161"/>
      <c r="U156" s="161"/>
      <c r="V156" s="161"/>
      <c r="W156" s="161"/>
      <c r="X156" s="161"/>
      <c r="Y156" s="161"/>
      <c r="Z156" s="161"/>
    </row>
    <row r="157" spans="1:26" ht="24.95" hidden="1" customHeight="1">
      <c r="A157" s="179">
        <v>2</v>
      </c>
      <c r="B157" s="229" t="s">
        <v>411</v>
      </c>
      <c r="C157" s="179">
        <v>1</v>
      </c>
      <c r="D157" s="260">
        <v>9908765</v>
      </c>
      <c r="E157" s="261">
        <f>C157*D157</f>
        <v>9908765</v>
      </c>
      <c r="F157" s="211" t="s">
        <v>412</v>
      </c>
      <c r="G157" s="207">
        <v>0</v>
      </c>
      <c r="H157" s="209" t="s">
        <v>407</v>
      </c>
      <c r="I157" s="181" t="s">
        <v>159</v>
      </c>
      <c r="J157" s="258" t="s">
        <v>396</v>
      </c>
      <c r="K157" s="211" t="s">
        <v>408</v>
      </c>
      <c r="L157" s="468" t="s">
        <v>401</v>
      </c>
      <c r="M157" s="485">
        <v>9908765</v>
      </c>
      <c r="N157" s="163" t="s">
        <v>409</v>
      </c>
      <c r="O157" s="276" t="s">
        <v>410</v>
      </c>
      <c r="P157" s="161"/>
      <c r="Q157" s="161"/>
      <c r="R157" s="161"/>
      <c r="S157" s="161" t="s">
        <v>413</v>
      </c>
      <c r="T157" s="161"/>
      <c r="U157" s="161"/>
      <c r="V157" s="161"/>
      <c r="W157" s="161"/>
      <c r="X157" s="161"/>
      <c r="Y157" s="161"/>
      <c r="Z157" s="161"/>
    </row>
    <row r="158" spans="1:26" s="279" customFormat="1" ht="30.75" hidden="1" customHeight="1">
      <c r="A158" s="290">
        <v>3</v>
      </c>
      <c r="B158" s="229" t="s">
        <v>414</v>
      </c>
      <c r="C158" s="211">
        <v>1</v>
      </c>
      <c r="D158" s="256">
        <v>2500000</v>
      </c>
      <c r="E158" s="256">
        <f>C158*D158</f>
        <v>2500000</v>
      </c>
      <c r="F158" s="211" t="s">
        <v>406</v>
      </c>
      <c r="G158" s="211">
        <v>0</v>
      </c>
      <c r="H158" s="180" t="s">
        <v>407</v>
      </c>
      <c r="I158" s="211" t="s">
        <v>159</v>
      </c>
      <c r="J158" s="211" t="s">
        <v>396</v>
      </c>
      <c r="K158" s="211" t="s">
        <v>408</v>
      </c>
      <c r="L158" s="483" t="s">
        <v>401</v>
      </c>
      <c r="M158" s="485">
        <v>2345000</v>
      </c>
      <c r="N158" s="163" t="s">
        <v>415</v>
      </c>
      <c r="O158" s="276" t="s">
        <v>416</v>
      </c>
      <c r="S158" s="347" t="s">
        <v>413</v>
      </c>
    </row>
    <row r="159" spans="1:26" ht="24.95" hidden="1" customHeight="1">
      <c r="A159" s="266">
        <v>4</v>
      </c>
      <c r="B159" s="267" t="s">
        <v>417</v>
      </c>
      <c r="C159" s="266">
        <v>1</v>
      </c>
      <c r="D159" s="268">
        <v>22000000</v>
      </c>
      <c r="E159" s="269"/>
      <c r="F159" s="270" t="s">
        <v>406</v>
      </c>
      <c r="G159" s="193">
        <v>0</v>
      </c>
      <c r="H159" s="271" t="s">
        <v>407</v>
      </c>
      <c r="I159" s="252" t="s">
        <v>159</v>
      </c>
      <c r="J159" s="272" t="s">
        <v>396</v>
      </c>
      <c r="K159" s="270" t="s">
        <v>408</v>
      </c>
      <c r="L159" s="484" t="s">
        <v>233</v>
      </c>
      <c r="M159" s="276"/>
      <c r="N159" s="276"/>
      <c r="O159" s="276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 spans="1:26" ht="24.95" hidden="1" customHeight="1">
      <c r="A160" s="274">
        <v>5</v>
      </c>
      <c r="B160" s="275" t="s">
        <v>418</v>
      </c>
      <c r="C160" s="276">
        <v>1</v>
      </c>
      <c r="D160" s="265">
        <v>7000000</v>
      </c>
      <c r="E160" s="265"/>
      <c r="F160" s="264" t="s">
        <v>412</v>
      </c>
      <c r="G160" s="276">
        <v>0</v>
      </c>
      <c r="H160" s="275" t="s">
        <v>407</v>
      </c>
      <c r="I160" s="274" t="s">
        <v>159</v>
      </c>
      <c r="J160" s="274" t="s">
        <v>396</v>
      </c>
      <c r="K160" s="264" t="s">
        <v>408</v>
      </c>
      <c r="L160" s="468" t="s">
        <v>233</v>
      </c>
      <c r="M160" s="276"/>
      <c r="N160" s="276"/>
      <c r="O160" s="276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 spans="1:26" ht="33" hidden="1" customHeight="1">
      <c r="A161" s="274">
        <v>5</v>
      </c>
      <c r="B161" s="275" t="s">
        <v>418</v>
      </c>
      <c r="C161" s="276">
        <v>1</v>
      </c>
      <c r="D161" s="265">
        <v>7000000</v>
      </c>
      <c r="E161" s="265"/>
      <c r="F161" s="264" t="s">
        <v>412</v>
      </c>
      <c r="G161" s="276">
        <v>0</v>
      </c>
      <c r="H161" s="275" t="s">
        <v>407</v>
      </c>
      <c r="I161" s="274" t="s">
        <v>159</v>
      </c>
      <c r="J161" s="274" t="s">
        <v>396</v>
      </c>
      <c r="K161" s="264" t="s">
        <v>408</v>
      </c>
      <c r="L161" s="468" t="s">
        <v>233</v>
      </c>
      <c r="M161" s="276"/>
      <c r="N161" s="276"/>
      <c r="O161" s="276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 spans="1:26" ht="33" hidden="1" customHeight="1">
      <c r="A162" s="274">
        <v>5</v>
      </c>
      <c r="B162" s="275" t="s">
        <v>418</v>
      </c>
      <c r="C162" s="211">
        <v>1</v>
      </c>
      <c r="D162" s="265">
        <v>7000000</v>
      </c>
      <c r="E162" s="265">
        <f>C162*D162</f>
        <v>7000000</v>
      </c>
      <c r="F162" s="264" t="s">
        <v>412</v>
      </c>
      <c r="G162" s="161">
        <v>0</v>
      </c>
      <c r="H162" s="275" t="s">
        <v>407</v>
      </c>
      <c r="I162" s="274" t="s">
        <v>159</v>
      </c>
      <c r="J162" s="274" t="s">
        <v>396</v>
      </c>
      <c r="K162" s="163" t="s">
        <v>408</v>
      </c>
      <c r="L162" s="468" t="s">
        <v>331</v>
      </c>
      <c r="M162" s="485">
        <v>6479737</v>
      </c>
      <c r="N162" s="326" t="s">
        <v>76</v>
      </c>
      <c r="O162" s="276" t="s">
        <v>410</v>
      </c>
      <c r="P162" s="161"/>
      <c r="Q162" s="161"/>
      <c r="R162" s="161"/>
      <c r="S162" s="161" t="s">
        <v>132</v>
      </c>
      <c r="T162" s="161"/>
      <c r="U162" s="161"/>
      <c r="V162" s="161"/>
      <c r="W162" s="161"/>
      <c r="X162" s="161"/>
      <c r="Y162" s="161"/>
      <c r="Z162" s="161"/>
    </row>
    <row r="163" spans="1:26" ht="33" hidden="1" customHeight="1">
      <c r="A163" s="274">
        <v>6</v>
      </c>
      <c r="B163" s="313" t="s">
        <v>419</v>
      </c>
      <c r="C163" s="314">
        <v>1</v>
      </c>
      <c r="D163" s="265">
        <v>300000</v>
      </c>
      <c r="E163" s="515">
        <f>C163*D163</f>
        <v>300000</v>
      </c>
      <c r="F163" s="241" t="s">
        <v>406</v>
      </c>
      <c r="G163" s="312">
        <v>0</v>
      </c>
      <c r="H163" s="275" t="s">
        <v>407</v>
      </c>
      <c r="I163" s="274" t="s">
        <v>159</v>
      </c>
      <c r="J163" s="274" t="s">
        <v>396</v>
      </c>
      <c r="K163" s="264" t="s">
        <v>408</v>
      </c>
      <c r="L163" s="468" t="s">
        <v>401</v>
      </c>
      <c r="M163" s="520">
        <v>164880</v>
      </c>
      <c r="N163" s="486" t="s">
        <v>420</v>
      </c>
      <c r="O163" s="333" t="s">
        <v>161</v>
      </c>
      <c r="P163" s="161"/>
      <c r="Q163" s="161"/>
      <c r="R163" s="161"/>
      <c r="S163" s="161" t="s">
        <v>132</v>
      </c>
      <c r="T163" s="161"/>
      <c r="U163" s="161"/>
      <c r="V163" s="161"/>
      <c r="W163" s="161"/>
      <c r="X163" s="161"/>
      <c r="Y163" s="161"/>
      <c r="Z163" s="161"/>
    </row>
    <row r="164" spans="1:26" ht="33" customHeight="1">
      <c r="A164" s="456">
        <v>1</v>
      </c>
      <c r="B164" s="479" t="s">
        <v>421</v>
      </c>
      <c r="C164" s="17">
        <v>20</v>
      </c>
      <c r="D164" s="214">
        <v>25000</v>
      </c>
      <c r="E164" s="808">
        <f>C164*D164</f>
        <v>500000</v>
      </c>
      <c r="F164" s="276" t="s">
        <v>88</v>
      </c>
      <c r="G164" s="278">
        <v>0</v>
      </c>
      <c r="H164" s="300" t="s">
        <v>422</v>
      </c>
      <c r="I164" s="274" t="s">
        <v>159</v>
      </c>
      <c r="J164" s="274" t="s">
        <v>396</v>
      </c>
      <c r="K164" s="264" t="s">
        <v>83</v>
      </c>
      <c r="L164" s="547" t="s">
        <v>81</v>
      </c>
      <c r="M164" s="485">
        <v>269000</v>
      </c>
      <c r="N164" s="469" t="s">
        <v>423</v>
      </c>
      <c r="O164" s="905" t="s">
        <v>288</v>
      </c>
      <c r="P164" s="799">
        <v>269000</v>
      </c>
      <c r="Q164" s="276" t="s">
        <v>424</v>
      </c>
      <c r="R164" s="794">
        <v>45994</v>
      </c>
      <c r="S164" s="276" t="s">
        <v>154</v>
      </c>
      <c r="T164" s="833"/>
      <c r="U164" s="276"/>
      <c r="V164" s="161"/>
      <c r="W164" s="161"/>
      <c r="X164" s="161"/>
      <c r="Y164" s="161"/>
      <c r="Z164" s="161"/>
    </row>
    <row r="165" spans="1:26" ht="33" hidden="1" customHeight="1">
      <c r="A165" s="759">
        <v>2</v>
      </c>
      <c r="B165" s="277" t="s">
        <v>425</v>
      </c>
      <c r="C165" s="278">
        <v>9</v>
      </c>
      <c r="D165" s="455">
        <v>55550</v>
      </c>
      <c r="E165" s="554">
        <v>499950</v>
      </c>
      <c r="F165" s="276" t="s">
        <v>88</v>
      </c>
      <c r="G165" s="278">
        <v>0</v>
      </c>
      <c r="H165" s="300" t="s">
        <v>422</v>
      </c>
      <c r="I165" s="274" t="s">
        <v>159</v>
      </c>
      <c r="J165" s="274" t="s">
        <v>396</v>
      </c>
      <c r="K165" s="264" t="s">
        <v>83</v>
      </c>
      <c r="L165" s="547" t="s">
        <v>34</v>
      </c>
      <c r="M165" s="712">
        <v>0</v>
      </c>
      <c r="N165" s="276" t="s">
        <v>426</v>
      </c>
      <c r="O165" s="276" t="s">
        <v>138</v>
      </c>
      <c r="P165" s="492">
        <v>0</v>
      </c>
      <c r="Q165" s="333" t="s">
        <v>119</v>
      </c>
      <c r="R165" s="333" t="s">
        <v>119</v>
      </c>
      <c r="S165" s="333" t="s">
        <v>119</v>
      </c>
      <c r="T165" s="276"/>
      <c r="U165" s="276"/>
      <c r="V165" s="161"/>
      <c r="W165" s="161"/>
      <c r="X165" s="161"/>
      <c r="Y165" s="161"/>
      <c r="Z165" s="161"/>
    </row>
    <row r="166" spans="1:26" ht="26.25" customHeight="1">
      <c r="A166" s="809">
        <v>27</v>
      </c>
      <c r="B166" s="275" t="s">
        <v>427</v>
      </c>
      <c r="C166" s="274">
        <v>1</v>
      </c>
      <c r="D166" s="265">
        <v>24000</v>
      </c>
      <c r="E166" s="810">
        <f t="shared" ref="E166:E177" si="11">D166*C166</f>
        <v>24000</v>
      </c>
      <c r="F166" s="811" t="s">
        <v>52</v>
      </c>
      <c r="G166" s="274">
        <v>0</v>
      </c>
      <c r="H166" s="690" t="s">
        <v>114</v>
      </c>
      <c r="I166" s="274" t="s">
        <v>159</v>
      </c>
      <c r="J166" s="274" t="s">
        <v>396</v>
      </c>
      <c r="K166" s="264" t="s">
        <v>83</v>
      </c>
      <c r="L166" s="547" t="s">
        <v>81</v>
      </c>
      <c r="M166" s="488">
        <v>24500</v>
      </c>
      <c r="N166" s="793" t="s">
        <v>359</v>
      </c>
      <c r="O166" s="556" t="s">
        <v>117</v>
      </c>
      <c r="P166" s="466">
        <v>23760</v>
      </c>
      <c r="Q166" s="276" t="s">
        <v>428</v>
      </c>
      <c r="R166" s="794">
        <v>45873</v>
      </c>
      <c r="S166" s="276" t="s">
        <v>119</v>
      </c>
      <c r="T166" s="833"/>
      <c r="U166" s="276"/>
      <c r="V166" s="161"/>
      <c r="W166" s="161"/>
      <c r="X166" s="161"/>
      <c r="Y166" s="161"/>
      <c r="Z166" s="161"/>
    </row>
    <row r="167" spans="1:26" ht="26.25" customHeight="1">
      <c r="A167" s="856">
        <v>25</v>
      </c>
      <c r="B167" s="262" t="s">
        <v>429</v>
      </c>
      <c r="C167" s="288">
        <v>1</v>
      </c>
      <c r="D167" s="289">
        <v>24700</v>
      </c>
      <c r="E167" s="812">
        <f t="shared" si="11"/>
        <v>24700</v>
      </c>
      <c r="F167" s="288" t="s">
        <v>52</v>
      </c>
      <c r="G167" s="288">
        <v>1</v>
      </c>
      <c r="H167" s="299" t="s">
        <v>114</v>
      </c>
      <c r="I167" s="288" t="s">
        <v>159</v>
      </c>
      <c r="J167" s="274" t="s">
        <v>396</v>
      </c>
      <c r="K167" s="264" t="s">
        <v>83</v>
      </c>
      <c r="L167" s="547" t="s">
        <v>81</v>
      </c>
      <c r="M167" s="488">
        <v>24700</v>
      </c>
      <c r="N167" s="793" t="s">
        <v>359</v>
      </c>
      <c r="O167" s="556" t="s">
        <v>117</v>
      </c>
      <c r="P167" s="466">
        <v>23760</v>
      </c>
      <c r="Q167" s="276" t="s">
        <v>430</v>
      </c>
      <c r="R167" s="794">
        <v>45871</v>
      </c>
      <c r="S167" s="276" t="s">
        <v>119</v>
      </c>
      <c r="T167" s="833"/>
      <c r="U167" s="276"/>
      <c r="V167" s="161"/>
      <c r="W167" s="161"/>
      <c r="X167" s="161"/>
      <c r="Y167" s="161"/>
      <c r="Z167" s="161"/>
    </row>
    <row r="168" spans="1:26" ht="25.5" customHeight="1">
      <c r="A168" s="274">
        <v>4</v>
      </c>
      <c r="B168" s="275" t="s">
        <v>431</v>
      </c>
      <c r="C168" s="274">
        <v>1</v>
      </c>
      <c r="D168" s="361">
        <v>535000</v>
      </c>
      <c r="E168" s="554">
        <f t="shared" si="11"/>
        <v>535000</v>
      </c>
      <c r="F168" s="274" t="s">
        <v>40</v>
      </c>
      <c r="G168" s="274">
        <v>0</v>
      </c>
      <c r="H168" s="691" t="s">
        <v>422</v>
      </c>
      <c r="I168" s="274" t="s">
        <v>159</v>
      </c>
      <c r="J168" s="274" t="s">
        <v>396</v>
      </c>
      <c r="K168" s="264" t="s">
        <v>83</v>
      </c>
      <c r="L168" s="547" t="s">
        <v>81</v>
      </c>
      <c r="M168" s="488">
        <v>421500</v>
      </c>
      <c r="N168" s="276" t="s">
        <v>72</v>
      </c>
      <c r="O168" s="556" t="s">
        <v>327</v>
      </c>
      <c r="P168" s="799">
        <v>421500</v>
      </c>
      <c r="Q168" s="276" t="s">
        <v>432</v>
      </c>
      <c r="R168" s="794">
        <v>45995</v>
      </c>
      <c r="S168" s="795" t="s">
        <v>433</v>
      </c>
      <c r="T168" s="833">
        <v>84300</v>
      </c>
      <c r="U168" s="276" t="s">
        <v>434</v>
      </c>
      <c r="V168" s="161"/>
      <c r="W168" s="161"/>
      <c r="X168" s="161"/>
      <c r="Y168" s="161"/>
      <c r="Z168" s="161"/>
    </row>
    <row r="169" spans="1:26" ht="42" customHeight="1">
      <c r="A169" s="274">
        <v>4</v>
      </c>
      <c r="B169" s="275" t="s">
        <v>431</v>
      </c>
      <c r="C169" s="274">
        <v>1</v>
      </c>
      <c r="D169" s="265">
        <v>535000</v>
      </c>
      <c r="E169" s="813">
        <f t="shared" si="11"/>
        <v>535000</v>
      </c>
      <c r="F169" s="274" t="s">
        <v>39</v>
      </c>
      <c r="G169" s="274">
        <v>0</v>
      </c>
      <c r="H169" s="691" t="s">
        <v>422</v>
      </c>
      <c r="I169" s="274" t="s">
        <v>159</v>
      </c>
      <c r="J169" s="274" t="s">
        <v>396</v>
      </c>
      <c r="K169" s="264" t="s">
        <v>83</v>
      </c>
      <c r="L169" s="547" t="s">
        <v>81</v>
      </c>
      <c r="M169" s="488">
        <v>421500</v>
      </c>
      <c r="N169" s="276" t="s">
        <v>72</v>
      </c>
      <c r="O169" s="556" t="s">
        <v>327</v>
      </c>
      <c r="P169" s="799">
        <v>421500</v>
      </c>
      <c r="Q169" s="276" t="s">
        <v>432</v>
      </c>
      <c r="R169" s="794">
        <v>45995</v>
      </c>
      <c r="S169" s="795" t="s">
        <v>433</v>
      </c>
      <c r="T169" s="833">
        <v>84300</v>
      </c>
      <c r="U169" s="276" t="s">
        <v>434</v>
      </c>
      <c r="V169" s="161"/>
      <c r="W169" s="161"/>
      <c r="X169" s="161"/>
      <c r="Y169" s="161"/>
      <c r="Z169" s="161"/>
    </row>
    <row r="170" spans="1:26" ht="26.25" customHeight="1">
      <c r="A170" s="274">
        <v>4</v>
      </c>
      <c r="B170" s="275" t="s">
        <v>431</v>
      </c>
      <c r="C170" s="274">
        <v>1</v>
      </c>
      <c r="D170" s="265">
        <v>535000</v>
      </c>
      <c r="E170" s="813">
        <f t="shared" si="11"/>
        <v>535000</v>
      </c>
      <c r="F170" s="814" t="s">
        <v>44</v>
      </c>
      <c r="G170" s="274">
        <v>0</v>
      </c>
      <c r="H170" s="691" t="s">
        <v>422</v>
      </c>
      <c r="I170" s="274" t="s">
        <v>159</v>
      </c>
      <c r="J170" s="274" t="s">
        <v>396</v>
      </c>
      <c r="K170" s="264" t="s">
        <v>83</v>
      </c>
      <c r="L170" s="547" t="s">
        <v>81</v>
      </c>
      <c r="M170" s="488">
        <v>421500</v>
      </c>
      <c r="N170" s="276" t="s">
        <v>72</v>
      </c>
      <c r="O170" s="556" t="s">
        <v>327</v>
      </c>
      <c r="P170" s="799">
        <v>421500</v>
      </c>
      <c r="Q170" s="276" t="s">
        <v>432</v>
      </c>
      <c r="R170" s="794">
        <v>45995</v>
      </c>
      <c r="S170" s="795" t="s">
        <v>433</v>
      </c>
      <c r="T170" s="833">
        <v>84300</v>
      </c>
      <c r="U170" s="276" t="s">
        <v>434</v>
      </c>
      <c r="V170" s="161"/>
      <c r="W170" s="161"/>
      <c r="X170" s="161"/>
      <c r="Y170" s="161"/>
      <c r="Z170" s="161"/>
    </row>
    <row r="171" spans="1:26" ht="26.25" customHeight="1">
      <c r="A171" s="274">
        <v>4</v>
      </c>
      <c r="B171" s="275" t="s">
        <v>431</v>
      </c>
      <c r="C171" s="274">
        <v>1</v>
      </c>
      <c r="D171" s="265">
        <v>535000</v>
      </c>
      <c r="E171" s="815">
        <f t="shared" si="11"/>
        <v>535000</v>
      </c>
      <c r="F171" s="276" t="s">
        <v>88</v>
      </c>
      <c r="G171" s="578">
        <v>0</v>
      </c>
      <c r="H171" s="691" t="s">
        <v>422</v>
      </c>
      <c r="I171" s="274" t="s">
        <v>159</v>
      </c>
      <c r="J171" s="274" t="s">
        <v>396</v>
      </c>
      <c r="K171" s="264" t="s">
        <v>83</v>
      </c>
      <c r="L171" s="547" t="s">
        <v>81</v>
      </c>
      <c r="M171" s="488">
        <v>421500</v>
      </c>
      <c r="N171" s="276" t="s">
        <v>72</v>
      </c>
      <c r="O171" s="556" t="s">
        <v>327</v>
      </c>
      <c r="P171" s="799">
        <v>421500</v>
      </c>
      <c r="Q171" s="276" t="s">
        <v>432</v>
      </c>
      <c r="R171" s="794">
        <v>45995</v>
      </c>
      <c r="S171" s="795" t="s">
        <v>433</v>
      </c>
      <c r="T171" s="833">
        <v>84300</v>
      </c>
      <c r="U171" s="276" t="s">
        <v>434</v>
      </c>
      <c r="V171" s="161"/>
      <c r="W171" s="161"/>
      <c r="X171" s="161"/>
      <c r="Y171" s="161"/>
      <c r="Z171" s="161"/>
    </row>
    <row r="172" spans="1:26" ht="29.25" customHeight="1">
      <c r="A172" s="288">
        <v>49</v>
      </c>
      <c r="B172" s="262" t="s">
        <v>435</v>
      </c>
      <c r="C172" s="288">
        <v>1</v>
      </c>
      <c r="D172" s="289">
        <v>25000</v>
      </c>
      <c r="E172" s="816">
        <f t="shared" si="11"/>
        <v>25000</v>
      </c>
      <c r="F172" s="817" t="s">
        <v>52</v>
      </c>
      <c r="G172" s="288">
        <v>0</v>
      </c>
      <c r="H172" s="202" t="s">
        <v>220</v>
      </c>
      <c r="I172" s="288" t="s">
        <v>159</v>
      </c>
      <c r="J172" s="274" t="s">
        <v>396</v>
      </c>
      <c r="K172" s="264" t="s">
        <v>83</v>
      </c>
      <c r="L172" s="547" t="s">
        <v>81</v>
      </c>
      <c r="M172" s="488">
        <v>9850</v>
      </c>
      <c r="N172" s="276" t="s">
        <v>436</v>
      </c>
      <c r="O172" s="556" t="s">
        <v>117</v>
      </c>
      <c r="P172" s="466">
        <v>9850</v>
      </c>
      <c r="Q172" s="276" t="s">
        <v>437</v>
      </c>
      <c r="R172" s="794">
        <v>45875</v>
      </c>
      <c r="S172" s="276" t="s">
        <v>119</v>
      </c>
      <c r="T172" s="833"/>
      <c r="U172" s="276"/>
      <c r="V172" s="161"/>
      <c r="W172" s="161"/>
      <c r="X172" s="161"/>
      <c r="Y172" s="161"/>
      <c r="Z172" s="161"/>
    </row>
    <row r="173" spans="1:26" s="164" customFormat="1" ht="114">
      <c r="A173" s="510">
        <v>23</v>
      </c>
      <c r="B173" s="818" t="s">
        <v>438</v>
      </c>
      <c r="C173" s="510">
        <v>1</v>
      </c>
      <c r="D173" s="969">
        <v>25000</v>
      </c>
      <c r="E173" s="819">
        <f t="shared" si="11"/>
        <v>25000</v>
      </c>
      <c r="F173" s="510" t="s">
        <v>52</v>
      </c>
      <c r="G173" s="510">
        <v>1</v>
      </c>
      <c r="H173" s="692" t="s">
        <v>114</v>
      </c>
      <c r="I173" s="510" t="s">
        <v>159</v>
      </c>
      <c r="J173" s="814" t="s">
        <v>396</v>
      </c>
      <c r="K173" s="546" t="s">
        <v>83</v>
      </c>
      <c r="L173" s="546" t="s">
        <v>81</v>
      </c>
      <c r="M173" s="488">
        <v>24875</v>
      </c>
      <c r="N173" s="793" t="s">
        <v>359</v>
      </c>
      <c r="O173" s="556" t="s">
        <v>117</v>
      </c>
      <c r="P173" s="463">
        <v>24875</v>
      </c>
      <c r="Q173" s="276" t="s">
        <v>439</v>
      </c>
      <c r="R173" s="794">
        <v>45874</v>
      </c>
      <c r="S173" s="276" t="s">
        <v>119</v>
      </c>
      <c r="T173" s="923"/>
      <c r="U173" s="826"/>
    </row>
    <row r="174" spans="1:26" s="164" customFormat="1" ht="26.25" hidden="1" customHeight="1">
      <c r="A174" s="288">
        <v>2</v>
      </c>
      <c r="B174" s="262" t="s">
        <v>440</v>
      </c>
      <c r="C174" s="288">
        <v>1</v>
      </c>
      <c r="D174" s="289">
        <v>1000000</v>
      </c>
      <c r="E174" s="364">
        <f t="shared" si="11"/>
        <v>1000000</v>
      </c>
      <c r="F174" s="510" t="s">
        <v>48</v>
      </c>
      <c r="G174" s="288">
        <v>0</v>
      </c>
      <c r="H174" s="301" t="s">
        <v>441</v>
      </c>
      <c r="I174" s="288" t="s">
        <v>159</v>
      </c>
      <c r="J174" s="274" t="s">
        <v>396</v>
      </c>
      <c r="K174" s="264" t="s">
        <v>83</v>
      </c>
      <c r="L174" s="547" t="s">
        <v>146</v>
      </c>
      <c r="M174" s="488"/>
      <c r="N174" s="827"/>
      <c r="O174" s="556"/>
      <c r="P174" s="826"/>
      <c r="Q174" s="826"/>
      <c r="R174" s="794"/>
      <c r="S174" s="827"/>
      <c r="T174" s="826"/>
      <c r="U174" s="826"/>
    </row>
    <row r="175" spans="1:26" s="164" customFormat="1" ht="27.75" hidden="1" customHeight="1">
      <c r="A175" s="288">
        <v>1</v>
      </c>
      <c r="B175" s="262" t="s">
        <v>77</v>
      </c>
      <c r="C175" s="288">
        <v>10</v>
      </c>
      <c r="D175" s="289">
        <v>350000</v>
      </c>
      <c r="E175" s="820">
        <f t="shared" si="11"/>
        <v>3500000</v>
      </c>
      <c r="F175" s="510" t="s">
        <v>43</v>
      </c>
      <c r="G175" s="821">
        <v>0</v>
      </c>
      <c r="H175" s="299" t="s">
        <v>442</v>
      </c>
      <c r="I175" s="288" t="s">
        <v>159</v>
      </c>
      <c r="J175" s="288" t="s">
        <v>396</v>
      </c>
      <c r="K175" s="288" t="s">
        <v>83</v>
      </c>
      <c r="L175" s="547" t="s">
        <v>122</v>
      </c>
      <c r="M175" s="824">
        <v>2097000</v>
      </c>
      <c r="N175" s="825" t="s">
        <v>78</v>
      </c>
      <c r="O175" s="556" t="s">
        <v>327</v>
      </c>
      <c r="P175" s="826">
        <v>0</v>
      </c>
      <c r="Q175" s="807" t="s">
        <v>119</v>
      </c>
      <c r="R175" s="794" t="s">
        <v>119</v>
      </c>
      <c r="S175" s="276" t="s">
        <v>339</v>
      </c>
      <c r="T175" s="826"/>
      <c r="U175" s="826"/>
    </row>
    <row r="176" spans="1:26" s="164" customFormat="1" ht="29.25" hidden="1" customHeight="1">
      <c r="A176" s="288">
        <v>1</v>
      </c>
      <c r="B176" s="262" t="s">
        <v>77</v>
      </c>
      <c r="C176" s="288">
        <v>10</v>
      </c>
      <c r="D176" s="289">
        <v>350000</v>
      </c>
      <c r="E176" s="812">
        <f t="shared" si="11"/>
        <v>3500000</v>
      </c>
      <c r="F176" s="276" t="s">
        <v>88</v>
      </c>
      <c r="G176" s="821">
        <v>0</v>
      </c>
      <c r="H176" s="299" t="s">
        <v>442</v>
      </c>
      <c r="I176" s="288" t="s">
        <v>159</v>
      </c>
      <c r="J176" s="288" t="s">
        <v>396</v>
      </c>
      <c r="K176" s="288" t="s">
        <v>83</v>
      </c>
      <c r="L176" s="547" t="s">
        <v>122</v>
      </c>
      <c r="M176" s="824">
        <v>2097000</v>
      </c>
      <c r="N176" s="825" t="s">
        <v>78</v>
      </c>
      <c r="O176" s="556" t="s">
        <v>327</v>
      </c>
      <c r="P176" s="826">
        <v>0</v>
      </c>
      <c r="Q176" s="807" t="s">
        <v>119</v>
      </c>
      <c r="R176" s="963" t="s">
        <v>119</v>
      </c>
      <c r="S176" s="276" t="s">
        <v>339</v>
      </c>
      <c r="T176" s="826"/>
      <c r="U176" s="826"/>
    </row>
    <row r="177" spans="1:26" s="164" customFormat="1" ht="31.5" hidden="1" customHeight="1">
      <c r="A177" s="288">
        <v>1</v>
      </c>
      <c r="B177" s="262" t="s">
        <v>77</v>
      </c>
      <c r="C177" s="288">
        <v>5</v>
      </c>
      <c r="D177" s="289">
        <v>350000</v>
      </c>
      <c r="E177" s="822">
        <f t="shared" si="11"/>
        <v>1750000</v>
      </c>
      <c r="F177" s="817" t="s">
        <v>38</v>
      </c>
      <c r="G177" s="821">
        <v>0</v>
      </c>
      <c r="H177" s="299" t="s">
        <v>442</v>
      </c>
      <c r="I177" s="288" t="s">
        <v>159</v>
      </c>
      <c r="J177" s="288" t="s">
        <v>396</v>
      </c>
      <c r="K177" s="288" t="s">
        <v>83</v>
      </c>
      <c r="L177" s="547" t="s">
        <v>122</v>
      </c>
      <c r="M177" s="824">
        <v>1048500</v>
      </c>
      <c r="N177" s="825" t="s">
        <v>78</v>
      </c>
      <c r="O177" s="556" t="s">
        <v>327</v>
      </c>
      <c r="P177" s="826">
        <v>0</v>
      </c>
      <c r="Q177" s="807" t="s">
        <v>119</v>
      </c>
      <c r="R177" s="963" t="s">
        <v>119</v>
      </c>
      <c r="S177" s="276" t="s">
        <v>339</v>
      </c>
      <c r="T177" s="826"/>
      <c r="U177" s="826"/>
    </row>
    <row r="178" spans="1:26" s="164" customFormat="1" ht="43.5" customHeight="1">
      <c r="A178" s="9">
        <v>1</v>
      </c>
      <c r="B178" s="14" t="s">
        <v>443</v>
      </c>
      <c r="C178" s="11">
        <v>1</v>
      </c>
      <c r="D178" s="454">
        <v>140000</v>
      </c>
      <c r="E178" s="490">
        <f>C178*D178</f>
        <v>140000</v>
      </c>
      <c r="F178" s="31" t="s">
        <v>39</v>
      </c>
      <c r="G178" s="11">
        <v>0</v>
      </c>
      <c r="H178" s="693" t="s">
        <v>141</v>
      </c>
      <c r="I178" s="288" t="s">
        <v>444</v>
      </c>
      <c r="J178" s="288" t="s">
        <v>396</v>
      </c>
      <c r="K178" s="288" t="s">
        <v>83</v>
      </c>
      <c r="L178" s="800" t="s">
        <v>81</v>
      </c>
      <c r="M178" s="364">
        <v>78842</v>
      </c>
      <c r="N178" s="825" t="s">
        <v>445</v>
      </c>
      <c r="O178" s="556" t="s">
        <v>288</v>
      </c>
      <c r="P178" s="799">
        <v>78842</v>
      </c>
      <c r="Q178" s="825" t="s">
        <v>446</v>
      </c>
      <c r="R178" s="828">
        <v>46013</v>
      </c>
      <c r="S178" s="276" t="s">
        <v>119</v>
      </c>
      <c r="T178" s="935">
        <f t="shared" ref="T178:T186" si="12">P178*5/100</f>
        <v>3942.1</v>
      </c>
      <c r="U178" s="826"/>
    </row>
    <row r="179" spans="1:26" s="164" customFormat="1" ht="43.5" customHeight="1">
      <c r="A179" s="9">
        <v>2</v>
      </c>
      <c r="B179" s="14" t="s">
        <v>447</v>
      </c>
      <c r="C179" s="11">
        <v>1</v>
      </c>
      <c r="D179" s="454">
        <v>250000</v>
      </c>
      <c r="E179" s="490">
        <f>C179*D179</f>
        <v>250000</v>
      </c>
      <c r="F179" s="11" t="s">
        <v>39</v>
      </c>
      <c r="G179" s="11">
        <v>0</v>
      </c>
      <c r="H179" s="693" t="s">
        <v>141</v>
      </c>
      <c r="I179" s="288" t="s">
        <v>444</v>
      </c>
      <c r="J179" s="288" t="s">
        <v>396</v>
      </c>
      <c r="K179" s="288" t="s">
        <v>83</v>
      </c>
      <c r="L179" s="800" t="s">
        <v>81</v>
      </c>
      <c r="M179" s="812">
        <v>146706</v>
      </c>
      <c r="N179" s="825" t="s">
        <v>445</v>
      </c>
      <c r="O179" s="556" t="s">
        <v>288</v>
      </c>
      <c r="P179" s="799">
        <v>146706</v>
      </c>
      <c r="Q179" s="829" t="s">
        <v>448</v>
      </c>
      <c r="R179" s="828">
        <v>46013</v>
      </c>
      <c r="S179" s="276" t="s">
        <v>119</v>
      </c>
      <c r="T179" s="935">
        <f t="shared" si="12"/>
        <v>7335.3</v>
      </c>
      <c r="U179" s="826"/>
    </row>
    <row r="180" spans="1:26" s="164" customFormat="1" ht="43.5" customHeight="1">
      <c r="A180" s="9">
        <v>3</v>
      </c>
      <c r="B180" s="14" t="s">
        <v>449</v>
      </c>
      <c r="C180" s="11">
        <v>1</v>
      </c>
      <c r="D180" s="454">
        <v>300000</v>
      </c>
      <c r="E180" s="490">
        <v>300000</v>
      </c>
      <c r="F180" s="11" t="s">
        <v>39</v>
      </c>
      <c r="G180" s="11">
        <v>0</v>
      </c>
      <c r="H180" s="693" t="s">
        <v>141</v>
      </c>
      <c r="I180" s="288" t="s">
        <v>444</v>
      </c>
      <c r="J180" s="288" t="s">
        <v>396</v>
      </c>
      <c r="K180" s="288" t="s">
        <v>83</v>
      </c>
      <c r="L180" s="800" t="s">
        <v>81</v>
      </c>
      <c r="M180" s="812">
        <v>119760</v>
      </c>
      <c r="N180" s="825" t="s">
        <v>445</v>
      </c>
      <c r="O180" s="556" t="s">
        <v>288</v>
      </c>
      <c r="P180" s="799">
        <v>119760</v>
      </c>
      <c r="Q180" s="825" t="s">
        <v>450</v>
      </c>
      <c r="R180" s="828">
        <v>46013</v>
      </c>
      <c r="S180" s="276" t="s">
        <v>119</v>
      </c>
      <c r="T180" s="935">
        <f t="shared" si="12"/>
        <v>5988</v>
      </c>
      <c r="U180" s="826"/>
    </row>
    <row r="181" spans="1:26" s="164" customFormat="1" ht="43.5" customHeight="1">
      <c r="A181" s="9">
        <v>4</v>
      </c>
      <c r="B181" s="14" t="s">
        <v>451</v>
      </c>
      <c r="C181" s="11">
        <v>1</v>
      </c>
      <c r="D181" s="454">
        <v>310000</v>
      </c>
      <c r="E181" s="490">
        <f>C181*D181</f>
        <v>310000</v>
      </c>
      <c r="F181" s="11" t="s">
        <v>39</v>
      </c>
      <c r="G181" s="11">
        <v>0</v>
      </c>
      <c r="H181" s="693" t="s">
        <v>141</v>
      </c>
      <c r="I181" s="288" t="s">
        <v>444</v>
      </c>
      <c r="J181" s="288" t="s">
        <v>396</v>
      </c>
      <c r="K181" s="288" t="s">
        <v>83</v>
      </c>
      <c r="L181" s="800" t="s">
        <v>81</v>
      </c>
      <c r="M181" s="812">
        <v>117754</v>
      </c>
      <c r="N181" s="825" t="s">
        <v>445</v>
      </c>
      <c r="O181" s="556" t="s">
        <v>288</v>
      </c>
      <c r="P181" s="799">
        <v>117754</v>
      </c>
      <c r="Q181" s="825" t="s">
        <v>452</v>
      </c>
      <c r="R181" s="828">
        <v>46013</v>
      </c>
      <c r="S181" s="276" t="s">
        <v>119</v>
      </c>
      <c r="T181" s="935">
        <f t="shared" si="12"/>
        <v>5887.7</v>
      </c>
      <c r="U181" s="826"/>
    </row>
    <row r="182" spans="1:26" s="164" customFormat="1" ht="43.5" customHeight="1">
      <c r="A182" s="9">
        <v>5</v>
      </c>
      <c r="B182" s="14" t="s">
        <v>453</v>
      </c>
      <c r="C182" s="11">
        <v>1</v>
      </c>
      <c r="D182" s="454">
        <v>320000</v>
      </c>
      <c r="E182" s="490">
        <f>C182*D182</f>
        <v>320000</v>
      </c>
      <c r="F182" s="11" t="s">
        <v>39</v>
      </c>
      <c r="G182" s="11">
        <v>0</v>
      </c>
      <c r="H182" s="693" t="s">
        <v>141</v>
      </c>
      <c r="I182" s="288" t="s">
        <v>444</v>
      </c>
      <c r="J182" s="288" t="s">
        <v>396</v>
      </c>
      <c r="K182" s="288" t="s">
        <v>83</v>
      </c>
      <c r="L182" s="800" t="s">
        <v>81</v>
      </c>
      <c r="M182" s="364">
        <v>187600</v>
      </c>
      <c r="N182" s="825" t="s">
        <v>445</v>
      </c>
      <c r="O182" s="556" t="s">
        <v>288</v>
      </c>
      <c r="P182" s="799">
        <v>187600</v>
      </c>
      <c r="Q182" s="825" t="s">
        <v>454</v>
      </c>
      <c r="R182" s="828">
        <v>46030</v>
      </c>
      <c r="S182" s="276" t="s">
        <v>119</v>
      </c>
      <c r="T182" s="935">
        <f t="shared" si="12"/>
        <v>9380</v>
      </c>
      <c r="U182" s="826"/>
    </row>
    <row r="183" spans="1:26" s="164" customFormat="1" ht="43.5" customHeight="1">
      <c r="A183" s="9">
        <v>6</v>
      </c>
      <c r="B183" s="14" t="s">
        <v>455</v>
      </c>
      <c r="C183" s="11">
        <v>1</v>
      </c>
      <c r="D183" s="454">
        <v>360000</v>
      </c>
      <c r="E183" s="490">
        <v>360000</v>
      </c>
      <c r="F183" s="11" t="s">
        <v>39</v>
      </c>
      <c r="G183" s="11">
        <v>0</v>
      </c>
      <c r="H183" s="693" t="s">
        <v>141</v>
      </c>
      <c r="I183" s="288" t="s">
        <v>444</v>
      </c>
      <c r="J183" s="288" t="s">
        <v>396</v>
      </c>
      <c r="K183" s="288" t="s">
        <v>83</v>
      </c>
      <c r="L183" s="800" t="s">
        <v>81</v>
      </c>
      <c r="M183" s="364">
        <v>235528</v>
      </c>
      <c r="N183" s="825" t="s">
        <v>445</v>
      </c>
      <c r="O183" s="556" t="s">
        <v>288</v>
      </c>
      <c r="P183" s="799">
        <v>235528</v>
      </c>
      <c r="Q183" s="825" t="s">
        <v>456</v>
      </c>
      <c r="R183" s="828">
        <v>46013</v>
      </c>
      <c r="S183" s="276" t="s">
        <v>119</v>
      </c>
      <c r="T183" s="935">
        <f t="shared" si="12"/>
        <v>11776.4</v>
      </c>
      <c r="U183" s="826"/>
    </row>
    <row r="184" spans="1:26" s="164" customFormat="1" ht="43.5" customHeight="1">
      <c r="A184" s="9">
        <v>7</v>
      </c>
      <c r="B184" s="14" t="s">
        <v>457</v>
      </c>
      <c r="C184" s="11">
        <v>1</v>
      </c>
      <c r="D184" s="454">
        <v>1750000</v>
      </c>
      <c r="E184" s="490">
        <f t="shared" ref="E184:E191" si="13">C184*D184</f>
        <v>1750000</v>
      </c>
      <c r="F184" s="11" t="s">
        <v>39</v>
      </c>
      <c r="G184" s="11">
        <v>0</v>
      </c>
      <c r="H184" s="693" t="s">
        <v>141</v>
      </c>
      <c r="I184" s="288" t="s">
        <v>444</v>
      </c>
      <c r="J184" s="288" t="s">
        <v>396</v>
      </c>
      <c r="K184" s="288" t="s">
        <v>83</v>
      </c>
      <c r="L184" s="800" t="s">
        <v>81</v>
      </c>
      <c r="M184" s="364">
        <v>576000</v>
      </c>
      <c r="N184" s="825" t="s">
        <v>445</v>
      </c>
      <c r="O184" s="556" t="s">
        <v>288</v>
      </c>
      <c r="P184" s="799">
        <v>576000</v>
      </c>
      <c r="Q184" s="825" t="s">
        <v>458</v>
      </c>
      <c r="R184" s="828">
        <v>46030</v>
      </c>
      <c r="S184" s="825">
        <v>500483</v>
      </c>
      <c r="T184" s="935">
        <f>P184*3/100</f>
        <v>17280</v>
      </c>
      <c r="U184" s="826"/>
    </row>
    <row r="185" spans="1:26" s="164" customFormat="1" ht="43.5" customHeight="1">
      <c r="A185" s="9">
        <v>8</v>
      </c>
      <c r="B185" s="14" t="s">
        <v>459</v>
      </c>
      <c r="C185" s="11">
        <v>1</v>
      </c>
      <c r="D185" s="454">
        <v>1000000</v>
      </c>
      <c r="E185" s="490">
        <f t="shared" si="13"/>
        <v>1000000</v>
      </c>
      <c r="F185" s="11" t="s">
        <v>39</v>
      </c>
      <c r="G185" s="11">
        <v>0</v>
      </c>
      <c r="H185" s="14" t="s">
        <v>141</v>
      </c>
      <c r="I185" s="11" t="s">
        <v>444</v>
      </c>
      <c r="J185" s="11" t="s">
        <v>396</v>
      </c>
      <c r="K185" s="11" t="s">
        <v>83</v>
      </c>
      <c r="L185" s="800" t="s">
        <v>81</v>
      </c>
      <c r="M185" s="458">
        <v>499000</v>
      </c>
      <c r="N185" s="112" t="s">
        <v>445</v>
      </c>
      <c r="O185" s="556" t="s">
        <v>288</v>
      </c>
      <c r="P185" s="799">
        <v>499000</v>
      </c>
      <c r="Q185" s="825" t="s">
        <v>460</v>
      </c>
      <c r="R185" s="828">
        <v>46030</v>
      </c>
      <c r="S185" s="276" t="s">
        <v>154</v>
      </c>
      <c r="T185" s="935"/>
      <c r="U185" s="826"/>
    </row>
    <row r="186" spans="1:26" s="164" customFormat="1" ht="43.5" customHeight="1">
      <c r="A186" s="823">
        <v>9</v>
      </c>
      <c r="B186" s="14" t="s">
        <v>461</v>
      </c>
      <c r="C186" s="11">
        <v>1</v>
      </c>
      <c r="D186" s="454">
        <v>500000</v>
      </c>
      <c r="E186" s="490">
        <f t="shared" si="13"/>
        <v>500000</v>
      </c>
      <c r="F186" s="11" t="s">
        <v>39</v>
      </c>
      <c r="G186" s="11">
        <v>0</v>
      </c>
      <c r="H186" s="14" t="s">
        <v>141</v>
      </c>
      <c r="I186" s="11" t="s">
        <v>444</v>
      </c>
      <c r="J186" s="11" t="s">
        <v>396</v>
      </c>
      <c r="K186" s="11" t="s">
        <v>83</v>
      </c>
      <c r="L186" s="800" t="s">
        <v>81</v>
      </c>
      <c r="M186" s="523">
        <v>180000</v>
      </c>
      <c r="N186" s="112" t="s">
        <v>445</v>
      </c>
      <c r="O186" s="556" t="s">
        <v>288</v>
      </c>
      <c r="P186" s="799">
        <v>180000</v>
      </c>
      <c r="Q186" s="825" t="s">
        <v>462</v>
      </c>
      <c r="R186" s="828">
        <v>46013</v>
      </c>
      <c r="S186" s="276" t="s">
        <v>119</v>
      </c>
      <c r="T186" s="935">
        <f t="shared" si="12"/>
        <v>9000</v>
      </c>
      <c r="U186" s="826"/>
    </row>
    <row r="187" spans="1:26" customFormat="1" ht="33.75" customHeight="1">
      <c r="A187" s="456">
        <v>10</v>
      </c>
      <c r="B187" s="14" t="s">
        <v>463</v>
      </c>
      <c r="C187" s="11">
        <v>1</v>
      </c>
      <c r="D187" s="454">
        <v>1070000</v>
      </c>
      <c r="E187" s="490">
        <f t="shared" si="13"/>
        <v>1070000</v>
      </c>
      <c r="F187" s="11" t="s">
        <v>39</v>
      </c>
      <c r="G187" s="11">
        <v>0</v>
      </c>
      <c r="H187" s="14" t="s">
        <v>376</v>
      </c>
      <c r="I187" s="14" t="s">
        <v>444</v>
      </c>
      <c r="J187" s="11" t="s">
        <v>396</v>
      </c>
      <c r="K187" s="11" t="s">
        <v>83</v>
      </c>
      <c r="L187" s="800" t="s">
        <v>81</v>
      </c>
      <c r="M187" s="523">
        <v>879000</v>
      </c>
      <c r="N187" s="112" t="s">
        <v>464</v>
      </c>
      <c r="O187" s="556" t="s">
        <v>288</v>
      </c>
      <c r="P187" s="799">
        <v>848235</v>
      </c>
      <c r="Q187" s="525" t="s">
        <v>465</v>
      </c>
      <c r="R187" s="914">
        <v>46076</v>
      </c>
      <c r="S187" s="916" t="s">
        <v>466</v>
      </c>
      <c r="T187" s="936">
        <v>26370</v>
      </c>
      <c r="U187" s="525" t="s">
        <v>467</v>
      </c>
      <c r="V187" s="1"/>
      <c r="W187" s="1"/>
      <c r="X187" s="1"/>
      <c r="Y187" s="1"/>
      <c r="Z187" s="1"/>
    </row>
    <row r="188" spans="1:26" s="164" customFormat="1" ht="43.5" hidden="1" customHeight="1">
      <c r="A188" s="292">
        <v>1</v>
      </c>
      <c r="B188" s="14" t="s">
        <v>157</v>
      </c>
      <c r="C188" s="14">
        <v>3</v>
      </c>
      <c r="D188" s="14">
        <v>20000</v>
      </c>
      <c r="E188" s="14">
        <f t="shared" si="13"/>
        <v>60000</v>
      </c>
      <c r="F188" s="14" t="s">
        <v>38</v>
      </c>
      <c r="G188" s="14">
        <v>0</v>
      </c>
      <c r="H188" s="14" t="s">
        <v>158</v>
      </c>
      <c r="I188" s="14" t="s">
        <v>159</v>
      </c>
      <c r="J188" s="14" t="s">
        <v>396</v>
      </c>
      <c r="K188" s="14" t="s">
        <v>83</v>
      </c>
      <c r="L188" s="11" t="s">
        <v>135</v>
      </c>
      <c r="M188" s="14"/>
      <c r="N188" s="14"/>
      <c r="O188" s="276"/>
    </row>
    <row r="189" spans="1:26" s="279" customFormat="1" ht="14.25" hidden="1">
      <c r="A189" s="292">
        <v>4</v>
      </c>
      <c r="B189" s="14" t="s">
        <v>171</v>
      </c>
      <c r="C189" s="14">
        <v>3</v>
      </c>
      <c r="D189" s="14">
        <v>80000</v>
      </c>
      <c r="E189" s="14">
        <f t="shared" si="13"/>
        <v>240000</v>
      </c>
      <c r="F189" s="14" t="s">
        <v>38</v>
      </c>
      <c r="G189" s="14">
        <v>0</v>
      </c>
      <c r="H189" s="14" t="s">
        <v>158</v>
      </c>
      <c r="I189" s="14" t="s">
        <v>159</v>
      </c>
      <c r="J189" s="14" t="s">
        <v>396</v>
      </c>
      <c r="K189" s="14" t="s">
        <v>83</v>
      </c>
      <c r="L189" s="11" t="s">
        <v>135</v>
      </c>
      <c r="M189" s="14"/>
      <c r="N189" s="14"/>
      <c r="O189" s="276"/>
    </row>
    <row r="190" spans="1:26" s="279" customFormat="1" ht="14.25" hidden="1">
      <c r="A190" s="292">
        <v>5</v>
      </c>
      <c r="B190" s="14" t="s">
        <v>172</v>
      </c>
      <c r="C190" s="14">
        <v>4</v>
      </c>
      <c r="D190" s="14">
        <v>80000</v>
      </c>
      <c r="E190" s="14">
        <f t="shared" si="13"/>
        <v>320000</v>
      </c>
      <c r="F190" s="14" t="s">
        <v>38</v>
      </c>
      <c r="G190" s="14">
        <v>0</v>
      </c>
      <c r="H190" s="14" t="s">
        <v>173</v>
      </c>
      <c r="I190" s="14" t="s">
        <v>159</v>
      </c>
      <c r="J190" s="14" t="s">
        <v>396</v>
      </c>
      <c r="K190" s="14" t="s">
        <v>83</v>
      </c>
      <c r="L190" s="11" t="s">
        <v>135</v>
      </c>
      <c r="M190" s="14"/>
      <c r="N190" s="14"/>
      <c r="O190" s="276"/>
    </row>
    <row r="191" spans="1:26" ht="14.25" hidden="1">
      <c r="A191" s="292">
        <v>6</v>
      </c>
      <c r="B191" s="14" t="s">
        <v>174</v>
      </c>
      <c r="C191" s="14">
        <v>2</v>
      </c>
      <c r="D191" s="14">
        <v>240000</v>
      </c>
      <c r="E191" s="14">
        <f t="shared" si="13"/>
        <v>480000</v>
      </c>
      <c r="F191" s="14" t="s">
        <v>38</v>
      </c>
      <c r="G191" s="14">
        <v>0</v>
      </c>
      <c r="H191" s="14" t="s">
        <v>158</v>
      </c>
      <c r="I191" s="14" t="s">
        <v>159</v>
      </c>
      <c r="J191" s="14" t="s">
        <v>396</v>
      </c>
      <c r="K191" s="14" t="s">
        <v>83</v>
      </c>
      <c r="L191" s="11" t="s">
        <v>135</v>
      </c>
      <c r="M191" s="54"/>
      <c r="N191" s="54"/>
      <c r="O191" s="333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 spans="1:26" ht="39.75" customHeight="1">
      <c r="A192" s="211">
        <v>7</v>
      </c>
      <c r="B192" s="14" t="s">
        <v>468</v>
      </c>
      <c r="C192" s="11">
        <v>2</v>
      </c>
      <c r="D192" s="454">
        <v>230000</v>
      </c>
      <c r="E192" s="32">
        <v>460000</v>
      </c>
      <c r="F192" s="11" t="s">
        <v>38</v>
      </c>
      <c r="G192" s="11">
        <v>0</v>
      </c>
      <c r="H192" s="14" t="s">
        <v>158</v>
      </c>
      <c r="I192" s="11" t="s">
        <v>159</v>
      </c>
      <c r="J192" s="11" t="s">
        <v>396</v>
      </c>
      <c r="K192" s="11" t="s">
        <v>83</v>
      </c>
      <c r="L192" s="547" t="s">
        <v>81</v>
      </c>
      <c r="M192" s="73">
        <v>394000</v>
      </c>
      <c r="N192" s="112" t="s">
        <v>469</v>
      </c>
      <c r="O192" s="556" t="s">
        <v>253</v>
      </c>
      <c r="P192" s="799">
        <v>384150</v>
      </c>
      <c r="Q192" s="276" t="s">
        <v>470</v>
      </c>
      <c r="R192" s="794">
        <v>46058</v>
      </c>
      <c r="S192" s="952" t="s">
        <v>471</v>
      </c>
      <c r="T192" s="833">
        <v>19700</v>
      </c>
      <c r="U192" s="276" t="s">
        <v>472</v>
      </c>
      <c r="V192" s="161"/>
      <c r="W192" s="161"/>
      <c r="X192" s="161"/>
      <c r="Y192" s="161"/>
      <c r="Z192" s="161"/>
    </row>
    <row r="193" spans="1:26" ht="48.75" hidden="1" customHeight="1">
      <c r="A193" s="292">
        <v>8</v>
      </c>
      <c r="B193" s="14" t="s">
        <v>473</v>
      </c>
      <c r="C193" s="11">
        <v>1</v>
      </c>
      <c r="D193" s="14">
        <v>490000</v>
      </c>
      <c r="E193" s="14">
        <v>490000</v>
      </c>
      <c r="F193" s="14" t="s">
        <v>38</v>
      </c>
      <c r="G193" s="14">
        <v>0</v>
      </c>
      <c r="H193" s="14" t="s">
        <v>158</v>
      </c>
      <c r="I193" s="14" t="s">
        <v>159</v>
      </c>
      <c r="J193" s="14" t="s">
        <v>396</v>
      </c>
      <c r="K193" s="14" t="s">
        <v>83</v>
      </c>
      <c r="L193" s="11" t="s">
        <v>135</v>
      </c>
      <c r="M193" s="54"/>
      <c r="N193" s="54"/>
      <c r="O193" s="494"/>
      <c r="P193" s="909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 spans="1:26" ht="30.75" customHeight="1">
      <c r="A194" s="211">
        <v>9</v>
      </c>
      <c r="B194" s="14" t="s">
        <v>474</v>
      </c>
      <c r="C194" s="11">
        <v>1</v>
      </c>
      <c r="D194" s="454">
        <v>490000</v>
      </c>
      <c r="E194" s="32">
        <v>490000</v>
      </c>
      <c r="F194" s="11" t="s">
        <v>38</v>
      </c>
      <c r="G194" s="11">
        <v>0</v>
      </c>
      <c r="H194" s="14" t="s">
        <v>158</v>
      </c>
      <c r="I194" s="11" t="s">
        <v>159</v>
      </c>
      <c r="J194" s="11" t="s">
        <v>396</v>
      </c>
      <c r="K194" s="11" t="s">
        <v>83</v>
      </c>
      <c r="L194" s="547" t="s">
        <v>81</v>
      </c>
      <c r="M194" s="73">
        <v>484030</v>
      </c>
      <c r="N194" s="456" t="s">
        <v>475</v>
      </c>
      <c r="O194" s="556" t="s">
        <v>253</v>
      </c>
      <c r="P194" s="799">
        <v>471929</v>
      </c>
      <c r="Q194" s="276" t="s">
        <v>476</v>
      </c>
      <c r="R194" s="794">
        <v>46059</v>
      </c>
      <c r="S194" s="276">
        <v>245175</v>
      </c>
      <c r="T194" s="833">
        <v>24202</v>
      </c>
      <c r="U194" s="276" t="s">
        <v>477</v>
      </c>
      <c r="V194" s="161"/>
      <c r="W194" s="161"/>
      <c r="X194" s="161"/>
      <c r="Y194" s="161"/>
      <c r="Z194" s="161"/>
    </row>
    <row r="195" spans="1:26" ht="14.25" hidden="1">
      <c r="A195" s="292">
        <v>10</v>
      </c>
      <c r="B195" s="14" t="s">
        <v>478</v>
      </c>
      <c r="C195" s="14">
        <v>1</v>
      </c>
      <c r="D195" s="14">
        <v>20000</v>
      </c>
      <c r="E195" s="14">
        <v>20000</v>
      </c>
      <c r="F195" s="54" t="s">
        <v>38</v>
      </c>
      <c r="G195" s="14">
        <v>0</v>
      </c>
      <c r="H195" s="14" t="s">
        <v>158</v>
      </c>
      <c r="I195" s="14" t="s">
        <v>159</v>
      </c>
      <c r="J195" s="14" t="s">
        <v>396</v>
      </c>
      <c r="K195" s="14" t="s">
        <v>83</v>
      </c>
      <c r="L195" s="11" t="s">
        <v>135</v>
      </c>
      <c r="M195" s="54"/>
      <c r="N195" s="54"/>
      <c r="O195" s="494"/>
      <c r="P195" s="909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 spans="1:26" ht="32.25" customHeight="1">
      <c r="A196" s="211">
        <v>11</v>
      </c>
      <c r="B196" s="476" t="s">
        <v>479</v>
      </c>
      <c r="C196" s="11">
        <v>1</v>
      </c>
      <c r="D196" s="454">
        <v>120000</v>
      </c>
      <c r="E196" s="493">
        <v>120000</v>
      </c>
      <c r="F196" s="112" t="s">
        <v>38</v>
      </c>
      <c r="G196" s="18">
        <v>0</v>
      </c>
      <c r="H196" s="14" t="s">
        <v>158</v>
      </c>
      <c r="I196" s="11" t="s">
        <v>159</v>
      </c>
      <c r="J196" s="11" t="s">
        <v>396</v>
      </c>
      <c r="K196" s="11" t="s">
        <v>83</v>
      </c>
      <c r="L196" s="547" t="s">
        <v>81</v>
      </c>
      <c r="M196" s="325">
        <v>79920</v>
      </c>
      <c r="N196" s="112" t="s">
        <v>480</v>
      </c>
      <c r="O196" s="556" t="s">
        <v>253</v>
      </c>
      <c r="P196" s="799">
        <v>79920</v>
      </c>
      <c r="Q196" s="276" t="s">
        <v>481</v>
      </c>
      <c r="R196" s="794">
        <v>46013</v>
      </c>
      <c r="S196" s="276" t="s">
        <v>154</v>
      </c>
      <c r="T196" s="833"/>
      <c r="U196" s="276"/>
      <c r="V196" s="161"/>
      <c r="W196" s="161"/>
      <c r="X196" s="161"/>
      <c r="Y196" s="161"/>
      <c r="Z196" s="161"/>
    </row>
    <row r="197" spans="1:26" ht="33.75" customHeight="1">
      <c r="A197" s="276" t="s">
        <v>482</v>
      </c>
      <c r="B197" s="476" t="s">
        <v>483</v>
      </c>
      <c r="C197" s="11">
        <v>1</v>
      </c>
      <c r="D197" s="454">
        <v>500000</v>
      </c>
      <c r="E197" s="493">
        <f>C197*D197</f>
        <v>500000</v>
      </c>
      <c r="F197" s="112" t="s">
        <v>89</v>
      </c>
      <c r="G197" s="11">
        <v>0</v>
      </c>
      <c r="H197" s="14" t="s">
        <v>484</v>
      </c>
      <c r="I197" s="11" t="s">
        <v>159</v>
      </c>
      <c r="J197" s="11" t="s">
        <v>396</v>
      </c>
      <c r="K197" s="11" t="s">
        <v>83</v>
      </c>
      <c r="L197" s="547" t="s">
        <v>81</v>
      </c>
      <c r="M197" s="73">
        <v>189000</v>
      </c>
      <c r="N197" s="112" t="s">
        <v>287</v>
      </c>
      <c r="O197" s="905" t="s">
        <v>288</v>
      </c>
      <c r="P197" s="799">
        <v>189000</v>
      </c>
      <c r="Q197" s="276" t="s">
        <v>485</v>
      </c>
      <c r="R197" s="794">
        <v>45981</v>
      </c>
      <c r="S197" s="825" t="s">
        <v>154</v>
      </c>
      <c r="T197" s="833"/>
      <c r="U197" s="276"/>
      <c r="V197" s="161"/>
      <c r="W197" s="161"/>
      <c r="X197" s="161"/>
      <c r="Y197" s="161"/>
      <c r="Z197" s="161"/>
    </row>
    <row r="198" spans="1:26" s="306" customFormat="1" ht="23.25" customHeight="1">
      <c r="A198" s="811">
        <v>31</v>
      </c>
      <c r="B198" s="14" t="s">
        <v>486</v>
      </c>
      <c r="C198" s="11">
        <v>1</v>
      </c>
      <c r="D198" s="454">
        <v>111000</v>
      </c>
      <c r="E198" s="32">
        <f t="shared" ref="E198:E215" si="14">D198*C198</f>
        <v>111000</v>
      </c>
      <c r="F198" s="31" t="s">
        <v>52</v>
      </c>
      <c r="G198" s="11">
        <v>0</v>
      </c>
      <c r="H198" s="14" t="s">
        <v>114</v>
      </c>
      <c r="I198" s="11" t="s">
        <v>159</v>
      </c>
      <c r="J198" s="11" t="s">
        <v>396</v>
      </c>
      <c r="K198" s="11" t="s">
        <v>83</v>
      </c>
      <c r="L198" s="547" t="s">
        <v>81</v>
      </c>
      <c r="M198" s="73">
        <v>94636</v>
      </c>
      <c r="N198" s="112" t="s">
        <v>359</v>
      </c>
      <c r="O198" s="556" t="s">
        <v>161</v>
      </c>
      <c r="P198" s="488">
        <v>94636</v>
      </c>
      <c r="Q198" s="276" t="s">
        <v>487</v>
      </c>
      <c r="R198" s="794">
        <v>45933</v>
      </c>
      <c r="S198" s="807" t="s">
        <v>154</v>
      </c>
      <c r="T198" s="935"/>
      <c r="U198" s="463"/>
    </row>
    <row r="199" spans="1:26" s="306" customFormat="1" ht="25.5" customHeight="1">
      <c r="A199" s="274">
        <v>51</v>
      </c>
      <c r="B199" s="14" t="s">
        <v>488</v>
      </c>
      <c r="C199" s="11">
        <v>1</v>
      </c>
      <c r="D199" s="454">
        <v>25000</v>
      </c>
      <c r="E199" s="32">
        <f t="shared" si="14"/>
        <v>25000</v>
      </c>
      <c r="F199" s="11" t="s">
        <v>52</v>
      </c>
      <c r="G199" s="11"/>
      <c r="H199" s="14"/>
      <c r="I199" s="14"/>
      <c r="J199" s="14" t="s">
        <v>396</v>
      </c>
      <c r="K199" s="11" t="s">
        <v>83</v>
      </c>
      <c r="L199" s="547" t="s">
        <v>81</v>
      </c>
      <c r="M199" s="488">
        <v>15000</v>
      </c>
      <c r="N199" s="112" t="s">
        <v>489</v>
      </c>
      <c r="O199" s="556" t="s">
        <v>117</v>
      </c>
      <c r="P199" s="488">
        <v>15000</v>
      </c>
      <c r="Q199" s="276" t="s">
        <v>490</v>
      </c>
      <c r="R199" s="794">
        <v>45911</v>
      </c>
      <c r="S199" s="276" t="s">
        <v>119</v>
      </c>
      <c r="T199" s="935"/>
      <c r="U199" s="463"/>
    </row>
    <row r="200" spans="1:26" ht="24.75" hidden="1" customHeight="1">
      <c r="A200" s="274">
        <v>1</v>
      </c>
      <c r="B200" s="14" t="s">
        <v>491</v>
      </c>
      <c r="C200" s="14">
        <v>5</v>
      </c>
      <c r="D200" s="454">
        <v>3500</v>
      </c>
      <c r="E200" s="454">
        <f t="shared" si="14"/>
        <v>17500</v>
      </c>
      <c r="F200" s="11" t="s">
        <v>90</v>
      </c>
      <c r="G200" s="14">
        <v>0</v>
      </c>
      <c r="H200" s="14" t="s">
        <v>441</v>
      </c>
      <c r="I200" s="14" t="s">
        <v>159</v>
      </c>
      <c r="J200" s="11" t="s">
        <v>396</v>
      </c>
      <c r="K200" s="11" t="s">
        <v>83</v>
      </c>
      <c r="L200" s="475" t="s">
        <v>146</v>
      </c>
      <c r="M200" s="73"/>
      <c r="N200" s="112"/>
      <c r="O200" s="556"/>
      <c r="P200" s="466"/>
      <c r="Q200" s="276"/>
      <c r="R200" s="276"/>
      <c r="S200" s="276"/>
      <c r="T200" s="276"/>
      <c r="U200" s="276"/>
      <c r="V200" s="161"/>
      <c r="W200" s="161"/>
      <c r="X200" s="161"/>
      <c r="Y200" s="161"/>
      <c r="Z200" s="161"/>
    </row>
    <row r="201" spans="1:26" ht="34.5" customHeight="1">
      <c r="A201" s="274">
        <v>2</v>
      </c>
      <c r="B201" s="10" t="s">
        <v>492</v>
      </c>
      <c r="C201" s="11">
        <v>2</v>
      </c>
      <c r="D201" s="455">
        <v>130000</v>
      </c>
      <c r="E201" s="554">
        <f t="shared" si="14"/>
        <v>260000</v>
      </c>
      <c r="F201" s="11" t="s">
        <v>90</v>
      </c>
      <c r="G201" s="11">
        <v>0</v>
      </c>
      <c r="H201" s="14" t="s">
        <v>441</v>
      </c>
      <c r="I201" s="14" t="s">
        <v>159</v>
      </c>
      <c r="J201" s="11" t="s">
        <v>396</v>
      </c>
      <c r="K201" s="11" t="s">
        <v>83</v>
      </c>
      <c r="L201" s="547" t="s">
        <v>81</v>
      </c>
      <c r="M201" s="553">
        <v>231766</v>
      </c>
      <c r="N201" s="112" t="s">
        <v>165</v>
      </c>
      <c r="O201" s="556" t="s">
        <v>138</v>
      </c>
      <c r="P201" s="466">
        <v>231766</v>
      </c>
      <c r="Q201" s="276" t="s">
        <v>493</v>
      </c>
      <c r="R201" s="794">
        <v>46101</v>
      </c>
      <c r="S201" s="276"/>
      <c r="T201" s="833"/>
      <c r="U201" s="276"/>
      <c r="V201" s="161"/>
      <c r="W201" s="161"/>
      <c r="X201" s="161"/>
      <c r="Y201" s="161"/>
      <c r="Z201" s="161"/>
    </row>
    <row r="202" spans="1:26" ht="30" customHeight="1">
      <c r="A202" s="274">
        <v>3</v>
      </c>
      <c r="B202" s="14" t="s">
        <v>494</v>
      </c>
      <c r="C202" s="11">
        <v>3</v>
      </c>
      <c r="D202" s="455">
        <v>196500</v>
      </c>
      <c r="E202" s="490">
        <f t="shared" si="14"/>
        <v>589500</v>
      </c>
      <c r="F202" s="11" t="s">
        <v>90</v>
      </c>
      <c r="G202" s="11">
        <v>0</v>
      </c>
      <c r="H202" s="14" t="s">
        <v>441</v>
      </c>
      <c r="I202" s="14" t="s">
        <v>159</v>
      </c>
      <c r="J202" s="11" t="s">
        <v>396</v>
      </c>
      <c r="K202" s="11" t="s">
        <v>83</v>
      </c>
      <c r="L202" s="547" t="s">
        <v>81</v>
      </c>
      <c r="M202" s="553">
        <v>474414</v>
      </c>
      <c r="N202" s="112" t="s">
        <v>165</v>
      </c>
      <c r="O202" s="556" t="s">
        <v>138</v>
      </c>
      <c r="P202" s="466">
        <v>474414</v>
      </c>
      <c r="Q202" s="276" t="s">
        <v>495</v>
      </c>
      <c r="R202" s="794">
        <v>46101</v>
      </c>
      <c r="S202" s="276"/>
      <c r="T202" s="833"/>
      <c r="U202" s="276"/>
      <c r="V202" s="161"/>
      <c r="W202" s="161"/>
      <c r="X202" s="161"/>
      <c r="Y202" s="161"/>
      <c r="Z202" s="161"/>
    </row>
    <row r="203" spans="1:26" ht="34.5" customHeight="1">
      <c r="A203" s="274">
        <v>4</v>
      </c>
      <c r="B203" s="14" t="s">
        <v>496</v>
      </c>
      <c r="C203" s="11">
        <v>3</v>
      </c>
      <c r="D203" s="455">
        <v>100000</v>
      </c>
      <c r="E203" s="490">
        <f t="shared" si="14"/>
        <v>300000</v>
      </c>
      <c r="F203" s="11" t="s">
        <v>90</v>
      </c>
      <c r="G203" s="11">
        <v>0</v>
      </c>
      <c r="H203" s="14" t="s">
        <v>441</v>
      </c>
      <c r="I203" s="14" t="s">
        <v>159</v>
      </c>
      <c r="J203" s="11" t="s">
        <v>396</v>
      </c>
      <c r="K203" s="11" t="s">
        <v>83</v>
      </c>
      <c r="L203" s="547" t="s">
        <v>81</v>
      </c>
      <c r="M203" s="553">
        <v>296403</v>
      </c>
      <c r="N203" s="112" t="s">
        <v>165</v>
      </c>
      <c r="O203" s="556" t="s">
        <v>138</v>
      </c>
      <c r="P203" s="488">
        <v>296403</v>
      </c>
      <c r="Q203" s="276" t="s">
        <v>497</v>
      </c>
      <c r="R203" s="794">
        <v>46101</v>
      </c>
      <c r="S203" s="276"/>
      <c r="T203" s="833"/>
      <c r="U203" s="276"/>
      <c r="V203" s="161"/>
      <c r="W203" s="161"/>
      <c r="X203" s="161"/>
      <c r="Y203" s="161"/>
      <c r="Z203" s="161"/>
    </row>
    <row r="204" spans="1:26" ht="30" customHeight="1">
      <c r="A204" s="274">
        <v>5</v>
      </c>
      <c r="B204" s="14" t="s">
        <v>498</v>
      </c>
      <c r="C204" s="11">
        <v>3</v>
      </c>
      <c r="D204" s="455">
        <v>9000</v>
      </c>
      <c r="E204" s="490">
        <f t="shared" si="14"/>
        <v>27000</v>
      </c>
      <c r="F204" s="11" t="s">
        <v>90</v>
      </c>
      <c r="G204" s="11">
        <v>0</v>
      </c>
      <c r="H204" s="14" t="s">
        <v>441</v>
      </c>
      <c r="I204" s="14" t="s">
        <v>159</v>
      </c>
      <c r="J204" s="11" t="s">
        <v>396</v>
      </c>
      <c r="K204" s="11" t="s">
        <v>83</v>
      </c>
      <c r="L204" s="547" t="s">
        <v>81</v>
      </c>
      <c r="M204" s="553">
        <v>26214</v>
      </c>
      <c r="N204" s="112" t="s">
        <v>499</v>
      </c>
      <c r="O204" s="556" t="s">
        <v>138</v>
      </c>
      <c r="P204" s="488">
        <v>26214</v>
      </c>
      <c r="Q204" s="276" t="s">
        <v>500</v>
      </c>
      <c r="R204" s="794">
        <v>46093</v>
      </c>
      <c r="S204" s="795" t="s">
        <v>501</v>
      </c>
      <c r="T204" s="833">
        <v>1311</v>
      </c>
      <c r="U204" s="276" t="s">
        <v>467</v>
      </c>
      <c r="V204" s="161"/>
      <c r="W204" s="161"/>
      <c r="X204" s="161"/>
      <c r="Y204" s="161"/>
      <c r="Z204" s="161"/>
    </row>
    <row r="205" spans="1:26" ht="42.75" customHeight="1">
      <c r="A205" s="274">
        <v>6</v>
      </c>
      <c r="B205" s="10" t="s">
        <v>502</v>
      </c>
      <c r="C205" s="11">
        <v>2</v>
      </c>
      <c r="D205" s="455">
        <v>175000</v>
      </c>
      <c r="E205" s="490">
        <f t="shared" si="14"/>
        <v>350000</v>
      </c>
      <c r="F205" s="11" t="s">
        <v>90</v>
      </c>
      <c r="G205" s="11">
        <v>0</v>
      </c>
      <c r="H205" s="14" t="s">
        <v>441</v>
      </c>
      <c r="I205" s="14" t="s">
        <v>159</v>
      </c>
      <c r="J205" s="11" t="s">
        <v>396</v>
      </c>
      <c r="K205" s="11" t="s">
        <v>83</v>
      </c>
      <c r="L205" s="547" t="s">
        <v>81</v>
      </c>
      <c r="M205" s="553">
        <v>274912</v>
      </c>
      <c r="N205" s="112" t="s">
        <v>165</v>
      </c>
      <c r="O205" s="556" t="s">
        <v>138</v>
      </c>
      <c r="P205" s="488">
        <v>274912</v>
      </c>
      <c r="Q205" s="276" t="s">
        <v>503</v>
      </c>
      <c r="R205" s="794">
        <v>46101</v>
      </c>
      <c r="S205" s="276"/>
      <c r="T205" s="833"/>
      <c r="U205" s="276"/>
      <c r="V205" s="161"/>
      <c r="W205" s="161"/>
      <c r="X205" s="161"/>
      <c r="Y205" s="161"/>
      <c r="Z205" s="161"/>
    </row>
    <row r="206" spans="1:26" ht="32.25" customHeight="1">
      <c r="A206" s="274">
        <v>7</v>
      </c>
      <c r="B206" s="10" t="s">
        <v>504</v>
      </c>
      <c r="C206" s="11">
        <v>5</v>
      </c>
      <c r="D206" s="455">
        <v>17500</v>
      </c>
      <c r="E206" s="490">
        <f t="shared" si="14"/>
        <v>87500</v>
      </c>
      <c r="F206" s="11" t="s">
        <v>90</v>
      </c>
      <c r="G206" s="11">
        <v>0</v>
      </c>
      <c r="H206" s="14" t="s">
        <v>441</v>
      </c>
      <c r="I206" s="14" t="s">
        <v>159</v>
      </c>
      <c r="J206" s="11" t="s">
        <v>396</v>
      </c>
      <c r="K206" s="11" t="s">
        <v>83</v>
      </c>
      <c r="L206" s="547" t="s">
        <v>81</v>
      </c>
      <c r="M206" s="553">
        <v>84010</v>
      </c>
      <c r="N206" s="112" t="s">
        <v>499</v>
      </c>
      <c r="O206" s="556" t="s">
        <v>138</v>
      </c>
      <c r="P206" s="466">
        <v>84010</v>
      </c>
      <c r="Q206" s="792" t="s">
        <v>505</v>
      </c>
      <c r="R206" s="794">
        <v>46077</v>
      </c>
      <c r="S206" s="276" t="s">
        <v>339</v>
      </c>
      <c r="T206" s="833"/>
      <c r="U206" s="276"/>
      <c r="V206" s="161"/>
      <c r="W206" s="161"/>
      <c r="X206" s="161"/>
      <c r="Y206" s="161"/>
      <c r="Z206" s="161"/>
    </row>
    <row r="207" spans="1:26" ht="32.25" customHeight="1">
      <c r="A207" s="274">
        <v>8</v>
      </c>
      <c r="B207" s="10" t="s">
        <v>506</v>
      </c>
      <c r="C207" s="11">
        <v>4</v>
      </c>
      <c r="D207" s="455">
        <v>10000</v>
      </c>
      <c r="E207" s="490">
        <f t="shared" si="14"/>
        <v>40000</v>
      </c>
      <c r="F207" s="11" t="s">
        <v>90</v>
      </c>
      <c r="G207" s="11">
        <v>0</v>
      </c>
      <c r="H207" s="14" t="s">
        <v>441</v>
      </c>
      <c r="I207" s="14" t="s">
        <v>159</v>
      </c>
      <c r="J207" s="11" t="s">
        <v>396</v>
      </c>
      <c r="K207" s="11" t="s">
        <v>83</v>
      </c>
      <c r="L207" s="547" t="s">
        <v>81</v>
      </c>
      <c r="M207" s="553">
        <v>37328</v>
      </c>
      <c r="N207" s="112" t="s">
        <v>499</v>
      </c>
      <c r="O207" s="556" t="s">
        <v>138</v>
      </c>
      <c r="P207" s="488">
        <v>37328</v>
      </c>
      <c r="Q207" s="276" t="s">
        <v>500</v>
      </c>
      <c r="R207" s="794">
        <v>46093</v>
      </c>
      <c r="S207" s="795" t="s">
        <v>507</v>
      </c>
      <c r="T207" s="833">
        <v>1866</v>
      </c>
      <c r="U207" s="276" t="s">
        <v>467</v>
      </c>
      <c r="V207" s="161"/>
      <c r="W207" s="161"/>
      <c r="X207" s="161"/>
      <c r="Y207" s="161"/>
      <c r="Z207" s="161"/>
    </row>
    <row r="208" spans="1:26" ht="32.25" customHeight="1">
      <c r="A208" s="274">
        <v>9</v>
      </c>
      <c r="B208" s="14" t="s">
        <v>508</v>
      </c>
      <c r="C208" s="11">
        <v>1</v>
      </c>
      <c r="D208" s="454">
        <v>350000</v>
      </c>
      <c r="E208" s="32">
        <f t="shared" si="14"/>
        <v>350000</v>
      </c>
      <c r="F208" s="11" t="s">
        <v>90</v>
      </c>
      <c r="G208" s="11">
        <v>0</v>
      </c>
      <c r="H208" s="14" t="s">
        <v>441</v>
      </c>
      <c r="I208" s="14" t="s">
        <v>159</v>
      </c>
      <c r="J208" s="11" t="s">
        <v>396</v>
      </c>
      <c r="K208" s="11" t="s">
        <v>83</v>
      </c>
      <c r="L208" s="547" t="s">
        <v>81</v>
      </c>
      <c r="M208" s="488">
        <v>339470</v>
      </c>
      <c r="N208" s="112" t="s">
        <v>499</v>
      </c>
      <c r="O208" s="556" t="s">
        <v>138</v>
      </c>
      <c r="P208" s="488">
        <v>339470</v>
      </c>
      <c r="Q208" s="276" t="s">
        <v>509</v>
      </c>
      <c r="R208" s="794">
        <v>46095</v>
      </c>
      <c r="S208" s="276"/>
      <c r="T208" s="833"/>
      <c r="U208" s="276"/>
      <c r="V208" s="161"/>
      <c r="W208" s="161"/>
      <c r="X208" s="161"/>
      <c r="Y208" s="161"/>
      <c r="Z208" s="161"/>
    </row>
    <row r="209" spans="1:26" ht="24.75" customHeight="1">
      <c r="A209" s="274">
        <v>10</v>
      </c>
      <c r="B209" s="14" t="s">
        <v>510</v>
      </c>
      <c r="C209" s="11">
        <v>10</v>
      </c>
      <c r="D209" s="454">
        <v>100</v>
      </c>
      <c r="E209" s="32">
        <f t="shared" si="14"/>
        <v>1000</v>
      </c>
      <c r="F209" s="11" t="s">
        <v>90</v>
      </c>
      <c r="G209" s="11">
        <v>0</v>
      </c>
      <c r="H209" s="14" t="s">
        <v>441</v>
      </c>
      <c r="I209" s="14" t="s">
        <v>159</v>
      </c>
      <c r="J209" s="14" t="s">
        <v>396</v>
      </c>
      <c r="K209" s="11" t="s">
        <v>83</v>
      </c>
      <c r="L209" s="547" t="s">
        <v>81</v>
      </c>
      <c r="M209" s="488">
        <v>1000</v>
      </c>
      <c r="N209" s="112" t="s">
        <v>511</v>
      </c>
      <c r="O209" s="556" t="s">
        <v>117</v>
      </c>
      <c r="P209" s="466">
        <v>990</v>
      </c>
      <c r="Q209" s="276" t="s">
        <v>512</v>
      </c>
      <c r="R209" s="794">
        <v>45876</v>
      </c>
      <c r="S209" s="276" t="s">
        <v>119</v>
      </c>
      <c r="T209" s="833"/>
      <c r="U209" s="276"/>
      <c r="V209" s="161"/>
      <c r="W209" s="161"/>
      <c r="X209" s="161"/>
      <c r="Y209" s="161"/>
      <c r="Z209" s="161"/>
    </row>
    <row r="210" spans="1:26" ht="24" hidden="1" customHeight="1">
      <c r="A210" s="274">
        <v>11</v>
      </c>
      <c r="B210" s="14" t="s">
        <v>513</v>
      </c>
      <c r="C210" s="11">
        <v>5</v>
      </c>
      <c r="D210" s="454">
        <v>4445</v>
      </c>
      <c r="E210" s="32">
        <f t="shared" si="14"/>
        <v>22225</v>
      </c>
      <c r="F210" s="11" t="s">
        <v>90</v>
      </c>
      <c r="G210" s="11">
        <v>0</v>
      </c>
      <c r="H210" s="14" t="s">
        <v>441</v>
      </c>
      <c r="I210" s="14" t="s">
        <v>159</v>
      </c>
      <c r="J210" s="11" t="s">
        <v>396</v>
      </c>
      <c r="K210" s="11" t="s">
        <v>83</v>
      </c>
      <c r="L210" s="547" t="s">
        <v>514</v>
      </c>
      <c r="M210" s="488">
        <v>22224</v>
      </c>
      <c r="N210" s="112" t="s">
        <v>515</v>
      </c>
      <c r="O210" s="556" t="s">
        <v>117</v>
      </c>
      <c r="P210" s="466">
        <v>0</v>
      </c>
      <c r="Q210" s="276" t="s">
        <v>119</v>
      </c>
      <c r="R210" s="276" t="s">
        <v>119</v>
      </c>
      <c r="S210" s="276" t="s">
        <v>119</v>
      </c>
      <c r="T210" s="276"/>
      <c r="U210" s="276"/>
      <c r="V210" s="161"/>
      <c r="W210" s="161"/>
      <c r="X210" s="161"/>
      <c r="Y210" s="161"/>
      <c r="Z210" s="161"/>
    </row>
    <row r="211" spans="1:26" ht="33.75" hidden="1" customHeight="1">
      <c r="A211" s="274">
        <v>12</v>
      </c>
      <c r="B211" s="10" t="s">
        <v>516</v>
      </c>
      <c r="C211" s="11">
        <v>5</v>
      </c>
      <c r="D211" s="455">
        <v>45000</v>
      </c>
      <c r="E211" s="490">
        <f t="shared" si="14"/>
        <v>225000</v>
      </c>
      <c r="F211" s="11" t="s">
        <v>90</v>
      </c>
      <c r="G211" s="11">
        <v>0</v>
      </c>
      <c r="H211" s="14" t="s">
        <v>441</v>
      </c>
      <c r="I211" s="14" t="s">
        <v>159</v>
      </c>
      <c r="J211" s="11" t="s">
        <v>396</v>
      </c>
      <c r="K211" s="11" t="s">
        <v>83</v>
      </c>
      <c r="L211" s="547" t="s">
        <v>514</v>
      </c>
      <c r="M211" s="553">
        <v>190000</v>
      </c>
      <c r="N211" s="112" t="s">
        <v>517</v>
      </c>
      <c r="O211" s="556" t="s">
        <v>138</v>
      </c>
      <c r="P211" s="466">
        <v>0</v>
      </c>
      <c r="Q211" s="276" t="s">
        <v>119</v>
      </c>
      <c r="R211" s="276" t="s">
        <v>119</v>
      </c>
      <c r="S211" s="951" t="s">
        <v>132</v>
      </c>
      <c r="T211" s="276"/>
      <c r="U211" s="276"/>
      <c r="V211" s="161"/>
      <c r="W211" s="161"/>
      <c r="X211" s="161"/>
      <c r="Y211" s="161"/>
      <c r="Z211" s="161"/>
    </row>
    <row r="212" spans="1:26" ht="38.25" customHeight="1">
      <c r="A212" s="274">
        <v>13</v>
      </c>
      <c r="B212" s="10" t="s">
        <v>518</v>
      </c>
      <c r="C212" s="11">
        <v>5</v>
      </c>
      <c r="D212" s="455">
        <v>3500</v>
      </c>
      <c r="E212" s="490">
        <f t="shared" si="14"/>
        <v>17500</v>
      </c>
      <c r="F212" s="11" t="s">
        <v>90</v>
      </c>
      <c r="G212" s="11">
        <v>0</v>
      </c>
      <c r="H212" s="14" t="s">
        <v>441</v>
      </c>
      <c r="I212" s="14" t="s">
        <v>159</v>
      </c>
      <c r="J212" s="11" t="s">
        <v>396</v>
      </c>
      <c r="K212" s="11" t="s">
        <v>83</v>
      </c>
      <c r="L212" s="547" t="s">
        <v>81</v>
      </c>
      <c r="M212" s="553">
        <v>17230</v>
      </c>
      <c r="N212" s="112" t="s">
        <v>499</v>
      </c>
      <c r="O212" s="556" t="s">
        <v>138</v>
      </c>
      <c r="P212" s="466">
        <v>17230</v>
      </c>
      <c r="Q212" s="276" t="s">
        <v>519</v>
      </c>
      <c r="R212" s="794">
        <v>46077</v>
      </c>
      <c r="S212" s="795" t="s">
        <v>520</v>
      </c>
      <c r="T212" s="833">
        <v>862</v>
      </c>
      <c r="U212" s="276" t="s">
        <v>467</v>
      </c>
      <c r="V212" s="161"/>
      <c r="W212" s="161"/>
      <c r="X212" s="161"/>
      <c r="Y212" s="161"/>
      <c r="Z212" s="161"/>
    </row>
    <row r="213" spans="1:26" ht="25.5" customHeight="1">
      <c r="A213" s="274">
        <v>14</v>
      </c>
      <c r="B213" s="14" t="s">
        <v>521</v>
      </c>
      <c r="C213" s="11">
        <v>3</v>
      </c>
      <c r="D213" s="455">
        <v>8500</v>
      </c>
      <c r="E213" s="490">
        <f t="shared" si="14"/>
        <v>25500</v>
      </c>
      <c r="F213" s="11" t="s">
        <v>90</v>
      </c>
      <c r="G213" s="11">
        <v>0</v>
      </c>
      <c r="H213" s="14" t="s">
        <v>441</v>
      </c>
      <c r="I213" s="14" t="s">
        <v>159</v>
      </c>
      <c r="J213" s="11" t="s">
        <v>396</v>
      </c>
      <c r="K213" s="11" t="s">
        <v>83</v>
      </c>
      <c r="L213" s="547" t="s">
        <v>81</v>
      </c>
      <c r="M213" s="553">
        <v>23973</v>
      </c>
      <c r="N213" s="112" t="s">
        <v>499</v>
      </c>
      <c r="O213" s="556" t="s">
        <v>138</v>
      </c>
      <c r="P213" s="488">
        <v>23973</v>
      </c>
      <c r="Q213" s="276" t="s">
        <v>522</v>
      </c>
      <c r="R213" s="794">
        <v>46093</v>
      </c>
      <c r="S213" s="795" t="s">
        <v>523</v>
      </c>
      <c r="T213" s="833">
        <v>1199</v>
      </c>
      <c r="U213" s="276" t="s">
        <v>467</v>
      </c>
      <c r="V213" s="161"/>
      <c r="W213" s="161"/>
      <c r="X213" s="161"/>
      <c r="Y213" s="161"/>
      <c r="Z213" s="161"/>
    </row>
    <row r="214" spans="1:26" ht="33.75" customHeight="1">
      <c r="A214" s="274">
        <v>15</v>
      </c>
      <c r="B214" s="14" t="s">
        <v>524</v>
      </c>
      <c r="C214" s="11">
        <v>2</v>
      </c>
      <c r="D214" s="455">
        <v>155000</v>
      </c>
      <c r="E214" s="490">
        <f t="shared" si="14"/>
        <v>310000</v>
      </c>
      <c r="F214" s="11" t="s">
        <v>90</v>
      </c>
      <c r="G214" s="11">
        <v>0</v>
      </c>
      <c r="H214" s="14" t="s">
        <v>441</v>
      </c>
      <c r="I214" s="14" t="s">
        <v>159</v>
      </c>
      <c r="J214" s="11" t="s">
        <v>396</v>
      </c>
      <c r="K214" s="11" t="s">
        <v>83</v>
      </c>
      <c r="L214" s="547" t="s">
        <v>81</v>
      </c>
      <c r="M214" s="553">
        <v>266992</v>
      </c>
      <c r="N214" s="112" t="s">
        <v>165</v>
      </c>
      <c r="O214" s="556" t="s">
        <v>138</v>
      </c>
      <c r="P214" s="488">
        <v>266992</v>
      </c>
      <c r="Q214" s="276" t="s">
        <v>525</v>
      </c>
      <c r="R214" s="794">
        <v>46101</v>
      </c>
      <c r="S214" s="276"/>
      <c r="T214" s="833"/>
      <c r="U214" s="276"/>
      <c r="V214" s="161"/>
      <c r="W214" s="161"/>
      <c r="X214" s="161"/>
      <c r="Y214" s="161"/>
      <c r="Z214" s="161"/>
    </row>
    <row r="215" spans="1:26" ht="25.5" customHeight="1">
      <c r="A215" s="274">
        <v>16</v>
      </c>
      <c r="B215" s="14" t="s">
        <v>526</v>
      </c>
      <c r="C215" s="11">
        <v>3</v>
      </c>
      <c r="D215" s="455">
        <v>30000</v>
      </c>
      <c r="E215" s="490">
        <f t="shared" si="14"/>
        <v>90000</v>
      </c>
      <c r="F215" s="11" t="s">
        <v>90</v>
      </c>
      <c r="G215" s="11">
        <v>0</v>
      </c>
      <c r="H215" s="14" t="s">
        <v>441</v>
      </c>
      <c r="I215" s="14" t="s">
        <v>159</v>
      </c>
      <c r="J215" s="11" t="s">
        <v>396</v>
      </c>
      <c r="K215" s="11" t="s">
        <v>83</v>
      </c>
      <c r="L215" s="547" t="s">
        <v>81</v>
      </c>
      <c r="M215" s="553">
        <v>76500</v>
      </c>
      <c r="N215" s="112" t="s">
        <v>517</v>
      </c>
      <c r="O215" s="556" t="s">
        <v>138</v>
      </c>
      <c r="P215" s="799">
        <v>76500</v>
      </c>
      <c r="Q215" s="276" t="s">
        <v>527</v>
      </c>
      <c r="R215" s="794">
        <v>46084</v>
      </c>
      <c r="S215" s="795" t="s">
        <v>528</v>
      </c>
      <c r="T215" s="553">
        <v>3825</v>
      </c>
      <c r="U215" s="276" t="s">
        <v>529</v>
      </c>
      <c r="V215" s="161"/>
      <c r="W215" s="161"/>
      <c r="X215" s="161"/>
      <c r="Y215" s="161"/>
      <c r="Z215" s="161"/>
    </row>
    <row r="216" spans="1:26" s="976" customFormat="1" ht="29.25" customHeight="1">
      <c r="A216" s="276">
        <v>53</v>
      </c>
      <c r="B216" s="14" t="s">
        <v>530</v>
      </c>
      <c r="C216" s="11">
        <v>2</v>
      </c>
      <c r="D216" s="454">
        <v>3500</v>
      </c>
      <c r="E216" s="32">
        <v>7000</v>
      </c>
      <c r="F216" s="11" t="s">
        <v>42</v>
      </c>
      <c r="G216" s="11"/>
      <c r="H216" s="14"/>
      <c r="I216" s="14"/>
      <c r="J216" s="11" t="s">
        <v>531</v>
      </c>
      <c r="K216" s="11" t="s">
        <v>83</v>
      </c>
      <c r="L216" s="547" t="s">
        <v>81</v>
      </c>
      <c r="M216" s="488">
        <v>7000</v>
      </c>
      <c r="N216" s="112" t="s">
        <v>532</v>
      </c>
      <c r="O216" s="556" t="s">
        <v>117</v>
      </c>
      <c r="P216" s="466">
        <v>7000</v>
      </c>
      <c r="Q216" s="276" t="s">
        <v>533</v>
      </c>
      <c r="R216" s="794">
        <v>45901</v>
      </c>
      <c r="S216" s="276" t="s">
        <v>119</v>
      </c>
      <c r="T216" s="833"/>
      <c r="U216" s="276"/>
      <c r="V216" s="975"/>
      <c r="W216" s="975"/>
      <c r="X216" s="975"/>
      <c r="Y216" s="975"/>
      <c r="Z216" s="975"/>
    </row>
    <row r="217" spans="1:26" s="976" customFormat="1" ht="24" customHeight="1">
      <c r="A217" s="276">
        <v>55</v>
      </c>
      <c r="B217" s="14" t="s">
        <v>534</v>
      </c>
      <c r="C217" s="11">
        <v>1</v>
      </c>
      <c r="D217" s="454">
        <v>15000</v>
      </c>
      <c r="E217" s="32">
        <v>15000</v>
      </c>
      <c r="F217" s="39" t="s">
        <v>42</v>
      </c>
      <c r="G217" s="11"/>
      <c r="H217" s="14"/>
      <c r="I217" s="14"/>
      <c r="J217" s="11" t="s">
        <v>531</v>
      </c>
      <c r="K217" s="11" t="s">
        <v>83</v>
      </c>
      <c r="L217" s="547" t="s">
        <v>81</v>
      </c>
      <c r="M217" s="488">
        <v>15000</v>
      </c>
      <c r="N217" s="112" t="s">
        <v>535</v>
      </c>
      <c r="O217" s="556" t="s">
        <v>117</v>
      </c>
      <c r="P217" s="466">
        <v>15000</v>
      </c>
      <c r="Q217" s="276" t="s">
        <v>536</v>
      </c>
      <c r="R217" s="794">
        <v>45894</v>
      </c>
      <c r="S217" s="276" t="s">
        <v>119</v>
      </c>
      <c r="T217" s="833"/>
      <c r="U217" s="276"/>
      <c r="V217" s="975"/>
      <c r="W217" s="975"/>
      <c r="X217" s="975"/>
      <c r="Y217" s="975"/>
      <c r="Z217" s="975"/>
    </row>
    <row r="218" spans="1:26" s="164" customFormat="1" ht="32.25" customHeight="1">
      <c r="A218" s="288">
        <v>19</v>
      </c>
      <c r="B218" s="14" t="s">
        <v>537</v>
      </c>
      <c r="C218" s="11">
        <v>1</v>
      </c>
      <c r="D218" s="454">
        <v>1200000</v>
      </c>
      <c r="E218" s="493">
        <f>D218*C218</f>
        <v>1200000</v>
      </c>
      <c r="F218" s="112" t="s">
        <v>52</v>
      </c>
      <c r="G218" s="18">
        <v>0</v>
      </c>
      <c r="H218" s="14" t="s">
        <v>114</v>
      </c>
      <c r="I218" s="14" t="s">
        <v>159</v>
      </c>
      <c r="J218" s="11" t="s">
        <v>531</v>
      </c>
      <c r="K218" s="11" t="s">
        <v>83</v>
      </c>
      <c r="L218" s="475" t="s">
        <v>81</v>
      </c>
      <c r="M218" s="488">
        <v>1189220</v>
      </c>
      <c r="N218" s="807" t="s">
        <v>66</v>
      </c>
      <c r="O218" s="556" t="s">
        <v>327</v>
      </c>
      <c r="P218" s="488">
        <v>1184220</v>
      </c>
      <c r="Q218" s="276" t="s">
        <v>538</v>
      </c>
      <c r="R218" s="828">
        <v>46106</v>
      </c>
      <c r="S218" s="917" t="s">
        <v>539</v>
      </c>
      <c r="T218" s="553">
        <v>59211</v>
      </c>
      <c r="U218" s="807" t="s">
        <v>467</v>
      </c>
    </row>
    <row r="219" spans="1:26" s="164" customFormat="1" ht="36" customHeight="1">
      <c r="A219" s="288">
        <v>17</v>
      </c>
      <c r="B219" s="14" t="s">
        <v>68</v>
      </c>
      <c r="C219" s="11">
        <v>1</v>
      </c>
      <c r="D219" s="454">
        <v>1250000</v>
      </c>
      <c r="E219" s="493">
        <f>D219*C219</f>
        <v>1250000</v>
      </c>
      <c r="F219" s="112" t="s">
        <v>52</v>
      </c>
      <c r="G219" s="18">
        <v>0</v>
      </c>
      <c r="H219" s="14" t="s">
        <v>114</v>
      </c>
      <c r="I219" s="14" t="s">
        <v>159</v>
      </c>
      <c r="J219" s="11" t="s">
        <v>531</v>
      </c>
      <c r="K219" s="11" t="s">
        <v>83</v>
      </c>
      <c r="L219" s="475" t="s">
        <v>81</v>
      </c>
      <c r="M219" s="488">
        <v>1235789</v>
      </c>
      <c r="N219" s="807" t="s">
        <v>66</v>
      </c>
      <c r="O219" s="556" t="s">
        <v>327</v>
      </c>
      <c r="P219" s="488">
        <v>1230700</v>
      </c>
      <c r="Q219" s="276" t="s">
        <v>540</v>
      </c>
      <c r="R219" s="828">
        <v>46106</v>
      </c>
      <c r="S219" s="918" t="s">
        <v>541</v>
      </c>
      <c r="T219" s="553">
        <v>61635</v>
      </c>
      <c r="U219" s="807" t="s">
        <v>467</v>
      </c>
    </row>
    <row r="220" spans="1:26" ht="41.25" hidden="1" customHeight="1">
      <c r="A220" s="274">
        <v>7</v>
      </c>
      <c r="B220" s="313" t="s">
        <v>542</v>
      </c>
      <c r="C220" s="211">
        <v>26</v>
      </c>
      <c r="D220" s="464">
        <f>E220/26</f>
        <v>21153.846153846152</v>
      </c>
      <c r="E220" s="487">
        <v>550000</v>
      </c>
      <c r="F220" s="511" t="s">
        <v>412</v>
      </c>
      <c r="G220" s="476"/>
      <c r="H220" s="14"/>
      <c r="I220" s="14"/>
      <c r="J220" s="11" t="s">
        <v>531</v>
      </c>
      <c r="K220" s="11" t="s">
        <v>408</v>
      </c>
      <c r="L220" s="14" t="s">
        <v>401</v>
      </c>
      <c r="M220" s="521">
        <v>235950</v>
      </c>
      <c r="N220" s="54" t="s">
        <v>543</v>
      </c>
      <c r="O220" s="333" t="s">
        <v>288</v>
      </c>
      <c r="P220" s="303"/>
      <c r="Q220" s="161"/>
      <c r="R220" s="161"/>
      <c r="S220" s="161" t="s">
        <v>132</v>
      </c>
      <c r="T220" s="161"/>
      <c r="U220" s="161"/>
      <c r="V220" s="161"/>
      <c r="W220" s="161"/>
      <c r="X220" s="161"/>
      <c r="Y220" s="161"/>
      <c r="Z220" s="161"/>
    </row>
    <row r="221" spans="1:26" ht="28.5" hidden="1" customHeight="1">
      <c r="A221" s="276">
        <v>1</v>
      </c>
      <c r="B221" s="480" t="s">
        <v>544</v>
      </c>
      <c r="C221" s="469">
        <v>1000</v>
      </c>
      <c r="D221" s="470">
        <v>170</v>
      </c>
      <c r="E221" s="474">
        <f>C221*D221</f>
        <v>170000</v>
      </c>
      <c r="F221" s="469" t="s">
        <v>42</v>
      </c>
      <c r="G221" s="161"/>
      <c r="H221" s="302"/>
      <c r="I221" s="159"/>
      <c r="J221" s="475" t="s">
        <v>531</v>
      </c>
      <c r="K221" s="481" t="s">
        <v>545</v>
      </c>
      <c r="L221" s="477" t="s">
        <v>81</v>
      </c>
      <c r="M221" s="466">
        <v>81000</v>
      </c>
      <c r="N221" s="925" t="s">
        <v>546</v>
      </c>
      <c r="O221" s="522" t="s">
        <v>288</v>
      </c>
      <c r="P221" s="466">
        <v>81000</v>
      </c>
      <c r="Q221" s="466" t="s">
        <v>547</v>
      </c>
      <c r="R221" s="466">
        <v>45980</v>
      </c>
      <c r="S221" s="276" t="s">
        <v>548</v>
      </c>
      <c r="T221" s="161"/>
      <c r="U221" s="161"/>
      <c r="V221" s="161"/>
      <c r="W221" s="161"/>
      <c r="X221" s="161"/>
      <c r="Y221" s="161"/>
      <c r="Z221" s="161"/>
    </row>
    <row r="222" spans="1:26" customFormat="1" ht="25.5" customHeight="1">
      <c r="A222" s="9">
        <f>A221+1</f>
        <v>2</v>
      </c>
      <c r="B222" s="27" t="s">
        <v>549</v>
      </c>
      <c r="C222" s="11">
        <v>1</v>
      </c>
      <c r="D222" s="830">
        <v>135000</v>
      </c>
      <c r="E222" s="464">
        <f>C222*D222</f>
        <v>135000</v>
      </c>
      <c r="F222" s="475" t="s">
        <v>49</v>
      </c>
      <c r="G222" s="112">
        <v>0</v>
      </c>
      <c r="H222" s="698" t="s">
        <v>220</v>
      </c>
      <c r="I222" s="699"/>
      <c r="J222" s="831" t="s">
        <v>531</v>
      </c>
      <c r="K222" s="469" t="s">
        <v>83</v>
      </c>
      <c r="L222" s="547" t="s">
        <v>81</v>
      </c>
      <c r="M222" s="488">
        <v>145000</v>
      </c>
      <c r="N222" s="525" t="s">
        <v>550</v>
      </c>
      <c r="O222" s="907" t="s">
        <v>380</v>
      </c>
      <c r="P222" s="488">
        <v>145000</v>
      </c>
      <c r="Q222" s="525" t="s">
        <v>551</v>
      </c>
      <c r="R222" s="914">
        <v>46105</v>
      </c>
      <c r="S222" s="525" t="s">
        <v>154</v>
      </c>
      <c r="T222" s="936"/>
      <c r="U222" s="525"/>
      <c r="V222" s="1"/>
      <c r="W222" s="1"/>
      <c r="X222" s="1"/>
      <c r="Y222" s="1"/>
      <c r="Z222" s="1"/>
    </row>
    <row r="223" spans="1:26" customFormat="1" ht="25.5" customHeight="1">
      <c r="A223" s="823">
        <v>3</v>
      </c>
      <c r="B223" s="53" t="s">
        <v>552</v>
      </c>
      <c r="C223" s="39">
        <v>1</v>
      </c>
      <c r="D223" s="504">
        <v>225000</v>
      </c>
      <c r="E223" s="59">
        <f>C223*D223</f>
        <v>225000</v>
      </c>
      <c r="F223" s="39" t="s">
        <v>49</v>
      </c>
      <c r="G223" s="31">
        <v>0</v>
      </c>
      <c r="H223" s="700" t="s">
        <v>220</v>
      </c>
      <c r="I223" s="701"/>
      <c r="J223" s="506" t="s">
        <v>531</v>
      </c>
      <c r="K223" s="522" t="s">
        <v>83</v>
      </c>
      <c r="L223" s="264" t="s">
        <v>81</v>
      </c>
      <c r="M223" s="488">
        <v>94400</v>
      </c>
      <c r="N223" s="832" t="s">
        <v>553</v>
      </c>
      <c r="O223" s="861" t="s">
        <v>131</v>
      </c>
      <c r="P223" s="162">
        <v>94900</v>
      </c>
      <c r="Q223" s="161" t="s">
        <v>554</v>
      </c>
      <c r="R223" s="913">
        <v>46101</v>
      </c>
      <c r="S223" s="161" t="s">
        <v>339</v>
      </c>
      <c r="T223" s="936"/>
      <c r="U223" s="525"/>
      <c r="V223" s="1"/>
      <c r="W223" s="1"/>
      <c r="X223" s="1"/>
      <c r="Y223" s="1"/>
      <c r="Z223" s="1"/>
    </row>
    <row r="224" spans="1:26" ht="27.75" hidden="1" customHeight="1">
      <c r="A224" s="276" t="s">
        <v>555</v>
      </c>
      <c r="B224" s="14" t="s">
        <v>556</v>
      </c>
      <c r="C224" s="276">
        <v>1</v>
      </c>
      <c r="D224" s="593">
        <v>300000</v>
      </c>
      <c r="E224" s="523">
        <f>C224*D224</f>
        <v>300000</v>
      </c>
      <c r="F224" s="276" t="s">
        <v>89</v>
      </c>
      <c r="G224" s="161"/>
      <c r="H224" s="302"/>
      <c r="I224" s="159"/>
      <c r="J224" s="112" t="s">
        <v>531</v>
      </c>
      <c r="K224" s="469" t="s">
        <v>83</v>
      </c>
      <c r="L224" s="547" t="s">
        <v>122</v>
      </c>
      <c r="M224" s="553">
        <v>289900</v>
      </c>
      <c r="N224" s="276" t="s">
        <v>557</v>
      </c>
      <c r="O224" s="556" t="s">
        <v>138</v>
      </c>
      <c r="P224" s="466">
        <v>0</v>
      </c>
      <c r="Q224" s="276" t="s">
        <v>119</v>
      </c>
      <c r="R224" s="276" t="s">
        <v>119</v>
      </c>
      <c r="S224" s="276" t="s">
        <v>132</v>
      </c>
      <c r="T224" s="276"/>
      <c r="U224" s="276"/>
      <c r="V224" s="161"/>
      <c r="W224" s="161"/>
      <c r="X224" s="161"/>
      <c r="Y224" s="161"/>
      <c r="Z224" s="161"/>
    </row>
    <row r="225" spans="1:26" s="886" customFormat="1" ht="14.25" hidden="1">
      <c r="A225" s="548">
        <v>2</v>
      </c>
      <c r="B225" s="279" t="s">
        <v>558</v>
      </c>
      <c r="C225" s="548">
        <v>1</v>
      </c>
      <c r="D225" s="878">
        <v>400000</v>
      </c>
      <c r="E225" s="470">
        <f>D225*C225</f>
        <v>400000</v>
      </c>
      <c r="F225" s="548" t="s">
        <v>44</v>
      </c>
      <c r="G225" s="276">
        <v>0</v>
      </c>
      <c r="H225" s="534"/>
      <c r="I225" s="327"/>
      <c r="J225" s="548" t="s">
        <v>531</v>
      </c>
      <c r="K225" s="548" t="s">
        <v>83</v>
      </c>
      <c r="L225" s="264" t="s">
        <v>559</v>
      </c>
      <c r="M225" s="469">
        <v>0</v>
      </c>
      <c r="N225" s="469"/>
      <c r="O225" s="905"/>
      <c r="P225" s="482"/>
      <c r="Q225" s="469"/>
      <c r="R225" s="469"/>
      <c r="S225" s="469"/>
      <c r="T225" s="469"/>
      <c r="U225" s="469"/>
      <c r="V225" s="548"/>
      <c r="W225" s="548"/>
      <c r="X225" s="548"/>
      <c r="Y225" s="548"/>
      <c r="Z225" s="548"/>
    </row>
    <row r="226" spans="1:26" s="976" customFormat="1" ht="30" customHeight="1">
      <c r="A226" s="112" t="s">
        <v>560</v>
      </c>
      <c r="B226" s="499" t="s">
        <v>561</v>
      </c>
      <c r="C226" s="112">
        <v>3</v>
      </c>
      <c r="D226" s="879">
        <v>5000</v>
      </c>
      <c r="E226" s="595">
        <f t="shared" ref="E226:E247" si="15">C226*D226</f>
        <v>15000</v>
      </c>
      <c r="F226" s="112" t="s">
        <v>42</v>
      </c>
      <c r="G226" s="161"/>
      <c r="H226" s="302"/>
      <c r="I226" s="159"/>
      <c r="J226" s="11" t="s">
        <v>531</v>
      </c>
      <c r="K226" s="11" t="s">
        <v>83</v>
      </c>
      <c r="L226" s="547" t="s">
        <v>81</v>
      </c>
      <c r="M226" s="569">
        <v>13608</v>
      </c>
      <c r="N226" s="276" t="s">
        <v>562</v>
      </c>
      <c r="O226" s="556" t="s">
        <v>117</v>
      </c>
      <c r="P226" s="466">
        <v>13267</v>
      </c>
      <c r="Q226" s="276" t="s">
        <v>563</v>
      </c>
      <c r="R226" s="794">
        <v>45960</v>
      </c>
      <c r="S226" s="276" t="s">
        <v>119</v>
      </c>
      <c r="T226" s="833"/>
      <c r="U226" s="276"/>
      <c r="V226" s="975"/>
      <c r="W226" s="975"/>
      <c r="X226" s="975"/>
      <c r="Y226" s="975"/>
      <c r="Z226" s="975"/>
    </row>
    <row r="227" spans="1:26" s="976" customFormat="1" ht="30" customHeight="1">
      <c r="A227" s="112" t="s">
        <v>564</v>
      </c>
      <c r="B227" s="499" t="s">
        <v>565</v>
      </c>
      <c r="C227" s="112">
        <v>3</v>
      </c>
      <c r="D227" s="879">
        <v>5000</v>
      </c>
      <c r="E227" s="595">
        <f t="shared" si="15"/>
        <v>15000</v>
      </c>
      <c r="F227" s="112" t="s">
        <v>42</v>
      </c>
      <c r="G227" s="161"/>
      <c r="H227" s="302"/>
      <c r="I227" s="159"/>
      <c r="J227" s="11" t="s">
        <v>531</v>
      </c>
      <c r="K227" s="11" t="s">
        <v>83</v>
      </c>
      <c r="L227" s="547" t="s">
        <v>81</v>
      </c>
      <c r="M227" s="569">
        <v>13608</v>
      </c>
      <c r="N227" s="276" t="s">
        <v>562</v>
      </c>
      <c r="O227" s="556" t="s">
        <v>117</v>
      </c>
      <c r="P227" s="466">
        <v>13267</v>
      </c>
      <c r="Q227" s="276" t="s">
        <v>566</v>
      </c>
      <c r="R227" s="794">
        <v>45960</v>
      </c>
      <c r="S227" s="276" t="s">
        <v>119</v>
      </c>
      <c r="T227" s="833"/>
      <c r="U227" s="276"/>
      <c r="V227" s="975"/>
      <c r="W227" s="975"/>
      <c r="X227" s="975"/>
      <c r="Y227" s="975"/>
      <c r="Z227" s="975"/>
    </row>
    <row r="228" spans="1:26" s="976" customFormat="1" ht="30" customHeight="1">
      <c r="A228" s="112" t="s">
        <v>567</v>
      </c>
      <c r="B228" s="499" t="s">
        <v>568</v>
      </c>
      <c r="C228" s="112">
        <v>3</v>
      </c>
      <c r="D228" s="879">
        <v>5000</v>
      </c>
      <c r="E228" s="595">
        <f t="shared" si="15"/>
        <v>15000</v>
      </c>
      <c r="F228" s="112" t="s">
        <v>42</v>
      </c>
      <c r="G228" s="161"/>
      <c r="H228" s="302"/>
      <c r="I228" s="159"/>
      <c r="J228" s="11" t="s">
        <v>531</v>
      </c>
      <c r="K228" s="11" t="s">
        <v>83</v>
      </c>
      <c r="L228" s="547" t="s">
        <v>81</v>
      </c>
      <c r="M228" s="569">
        <v>13608</v>
      </c>
      <c r="N228" s="276" t="s">
        <v>569</v>
      </c>
      <c r="O228" s="556" t="s">
        <v>117</v>
      </c>
      <c r="P228" s="466">
        <v>13267</v>
      </c>
      <c r="Q228" s="276" t="s">
        <v>570</v>
      </c>
      <c r="R228" s="794">
        <v>45988</v>
      </c>
      <c r="S228" s="276" t="s">
        <v>119</v>
      </c>
      <c r="T228" s="833"/>
      <c r="U228" s="276"/>
      <c r="V228" s="975"/>
      <c r="W228" s="975"/>
      <c r="X228" s="975"/>
      <c r="Y228" s="975"/>
      <c r="Z228" s="975"/>
    </row>
    <row r="229" spans="1:26" s="976" customFormat="1" ht="30" customHeight="1">
      <c r="A229" s="112" t="s">
        <v>571</v>
      </c>
      <c r="B229" s="499" t="s">
        <v>572</v>
      </c>
      <c r="C229" s="112">
        <v>3</v>
      </c>
      <c r="D229" s="879">
        <v>5000</v>
      </c>
      <c r="E229" s="595">
        <f t="shared" si="15"/>
        <v>15000</v>
      </c>
      <c r="F229" s="112" t="s">
        <v>42</v>
      </c>
      <c r="G229" s="161"/>
      <c r="H229" s="302"/>
      <c r="I229" s="159"/>
      <c r="J229" s="11" t="s">
        <v>531</v>
      </c>
      <c r="K229" s="11" t="s">
        <v>83</v>
      </c>
      <c r="L229" s="547" t="s">
        <v>81</v>
      </c>
      <c r="M229" s="569">
        <v>13608</v>
      </c>
      <c r="N229" s="276" t="s">
        <v>569</v>
      </c>
      <c r="O229" s="556" t="s">
        <v>117</v>
      </c>
      <c r="P229" s="466">
        <v>13267</v>
      </c>
      <c r="Q229" s="276" t="s">
        <v>573</v>
      </c>
      <c r="R229" s="794">
        <v>45960</v>
      </c>
      <c r="S229" s="276" t="s">
        <v>119</v>
      </c>
      <c r="T229" s="833"/>
      <c r="U229" s="276"/>
      <c r="V229" s="975"/>
      <c r="W229" s="975"/>
      <c r="X229" s="975"/>
      <c r="Y229" s="975"/>
      <c r="Z229" s="975"/>
    </row>
    <row r="230" spans="1:26" s="976" customFormat="1" ht="30" customHeight="1">
      <c r="A230" s="112" t="s">
        <v>574</v>
      </c>
      <c r="B230" s="499" t="s">
        <v>575</v>
      </c>
      <c r="C230" s="112">
        <v>3</v>
      </c>
      <c r="D230" s="879">
        <v>6000</v>
      </c>
      <c r="E230" s="595">
        <f t="shared" si="15"/>
        <v>18000</v>
      </c>
      <c r="F230" s="112" t="s">
        <v>42</v>
      </c>
      <c r="G230" s="161"/>
      <c r="H230" s="302"/>
      <c r="I230" s="159"/>
      <c r="J230" s="11" t="s">
        <v>531</v>
      </c>
      <c r="K230" s="11" t="s">
        <v>83</v>
      </c>
      <c r="L230" s="547" t="s">
        <v>81</v>
      </c>
      <c r="M230" s="569">
        <v>15930</v>
      </c>
      <c r="N230" s="456" t="s">
        <v>562</v>
      </c>
      <c r="O230" s="556" t="s">
        <v>117</v>
      </c>
      <c r="P230" s="595">
        <v>15372</v>
      </c>
      <c r="Q230" s="112" t="s">
        <v>576</v>
      </c>
      <c r="R230" s="835">
        <v>45960</v>
      </c>
      <c r="S230" s="276" t="s">
        <v>119</v>
      </c>
      <c r="T230" s="833"/>
      <c r="U230" s="276"/>
      <c r="V230" s="975"/>
      <c r="W230" s="975"/>
      <c r="X230" s="975"/>
      <c r="Y230" s="975"/>
      <c r="Z230" s="975"/>
    </row>
    <row r="231" spans="1:26" s="976" customFormat="1" ht="30" customHeight="1">
      <c r="A231" s="112" t="s">
        <v>577</v>
      </c>
      <c r="B231" s="499" t="s">
        <v>578</v>
      </c>
      <c r="C231" s="112">
        <v>3</v>
      </c>
      <c r="D231" s="879">
        <v>6000</v>
      </c>
      <c r="E231" s="595">
        <f t="shared" si="15"/>
        <v>18000</v>
      </c>
      <c r="F231" s="112" t="s">
        <v>42</v>
      </c>
      <c r="G231" s="161"/>
      <c r="H231" s="302"/>
      <c r="I231" s="159"/>
      <c r="J231" s="11" t="s">
        <v>531</v>
      </c>
      <c r="K231" s="11" t="s">
        <v>83</v>
      </c>
      <c r="L231" s="547" t="s">
        <v>81</v>
      </c>
      <c r="M231" s="569">
        <v>15930</v>
      </c>
      <c r="N231" s="456" t="s">
        <v>562</v>
      </c>
      <c r="O231" s="556" t="s">
        <v>117</v>
      </c>
      <c r="P231" s="932">
        <v>15531</v>
      </c>
      <c r="Q231" s="276" t="s">
        <v>579</v>
      </c>
      <c r="R231" s="794">
        <v>45987</v>
      </c>
      <c r="S231" s="912" t="s">
        <v>119</v>
      </c>
      <c r="T231" s="833"/>
      <c r="U231" s="276"/>
      <c r="V231" s="975"/>
      <c r="W231" s="975"/>
      <c r="X231" s="975"/>
      <c r="Y231" s="975"/>
      <c r="Z231" s="975"/>
    </row>
    <row r="232" spans="1:26" s="976" customFormat="1" ht="30" customHeight="1">
      <c r="A232" s="112" t="s">
        <v>580</v>
      </c>
      <c r="B232" s="499" t="s">
        <v>581</v>
      </c>
      <c r="C232" s="112">
        <v>3</v>
      </c>
      <c r="D232" s="879">
        <v>6000</v>
      </c>
      <c r="E232" s="595">
        <f t="shared" si="15"/>
        <v>18000</v>
      </c>
      <c r="F232" s="112" t="s">
        <v>42</v>
      </c>
      <c r="G232" s="161"/>
      <c r="H232" s="302"/>
      <c r="I232" s="159"/>
      <c r="J232" s="11" t="s">
        <v>531</v>
      </c>
      <c r="K232" s="11" t="s">
        <v>83</v>
      </c>
      <c r="L232" s="547" t="s">
        <v>81</v>
      </c>
      <c r="M232" s="569">
        <v>15930</v>
      </c>
      <c r="N232" s="456" t="s">
        <v>562</v>
      </c>
      <c r="O232" s="556" t="s">
        <v>117</v>
      </c>
      <c r="P232" s="595">
        <v>15372</v>
      </c>
      <c r="Q232" s="112" t="s">
        <v>582</v>
      </c>
      <c r="R232" s="835">
        <v>45960</v>
      </c>
      <c r="S232" s="276" t="s">
        <v>119</v>
      </c>
      <c r="T232" s="833"/>
      <c r="U232" s="276"/>
      <c r="V232" s="975"/>
      <c r="W232" s="975"/>
      <c r="X232" s="975"/>
      <c r="Y232" s="975"/>
      <c r="Z232" s="975"/>
    </row>
    <row r="233" spans="1:26" s="976" customFormat="1" ht="30" customHeight="1">
      <c r="A233" s="112" t="s">
        <v>583</v>
      </c>
      <c r="B233" s="499" t="s">
        <v>584</v>
      </c>
      <c r="C233" s="112">
        <v>3</v>
      </c>
      <c r="D233" s="879">
        <v>6000</v>
      </c>
      <c r="E233" s="595">
        <f t="shared" si="15"/>
        <v>18000</v>
      </c>
      <c r="F233" s="112" t="s">
        <v>42</v>
      </c>
      <c r="G233" s="161"/>
      <c r="H233" s="302"/>
      <c r="I233" s="159"/>
      <c r="J233" s="11" t="s">
        <v>531</v>
      </c>
      <c r="K233" s="11" t="s">
        <v>83</v>
      </c>
      <c r="L233" s="547" t="s">
        <v>81</v>
      </c>
      <c r="M233" s="569">
        <v>15930</v>
      </c>
      <c r="N233" s="456" t="s">
        <v>562</v>
      </c>
      <c r="O233" s="905" t="s">
        <v>117</v>
      </c>
      <c r="P233" s="595">
        <v>15850</v>
      </c>
      <c r="Q233" s="112" t="s">
        <v>585</v>
      </c>
      <c r="R233" s="835">
        <v>45987</v>
      </c>
      <c r="S233" s="276" t="s">
        <v>119</v>
      </c>
      <c r="T233" s="833"/>
      <c r="U233" s="276"/>
      <c r="V233" s="975"/>
      <c r="W233" s="975"/>
      <c r="X233" s="975"/>
      <c r="Y233" s="975"/>
      <c r="Z233" s="975"/>
    </row>
    <row r="234" spans="1:26" s="976" customFormat="1" ht="30" customHeight="1">
      <c r="A234" s="112" t="s">
        <v>586</v>
      </c>
      <c r="B234" s="499" t="s">
        <v>587</v>
      </c>
      <c r="C234" s="112">
        <v>3</v>
      </c>
      <c r="D234" s="879">
        <v>6000</v>
      </c>
      <c r="E234" s="595">
        <f t="shared" si="15"/>
        <v>18000</v>
      </c>
      <c r="F234" s="112" t="s">
        <v>42</v>
      </c>
      <c r="G234" s="161"/>
      <c r="H234" s="302"/>
      <c r="I234" s="159"/>
      <c r="J234" s="11" t="s">
        <v>531</v>
      </c>
      <c r="K234" s="11" t="s">
        <v>83</v>
      </c>
      <c r="L234" s="547" t="s">
        <v>81</v>
      </c>
      <c r="M234" s="569">
        <v>15930</v>
      </c>
      <c r="N234" s="276" t="s">
        <v>562</v>
      </c>
      <c r="O234" s="556" t="s">
        <v>117</v>
      </c>
      <c r="P234" s="466">
        <v>15531</v>
      </c>
      <c r="Q234" s="276" t="s">
        <v>588</v>
      </c>
      <c r="R234" s="794">
        <v>45960</v>
      </c>
      <c r="S234" s="276" t="s">
        <v>119</v>
      </c>
      <c r="T234" s="833"/>
      <c r="U234" s="276"/>
      <c r="V234" s="975"/>
      <c r="W234" s="975"/>
      <c r="X234" s="975"/>
      <c r="Y234" s="975"/>
      <c r="Z234" s="975"/>
    </row>
    <row r="235" spans="1:26" s="976" customFormat="1" ht="30" customHeight="1">
      <c r="A235" s="112" t="s">
        <v>589</v>
      </c>
      <c r="B235" s="499" t="s">
        <v>590</v>
      </c>
      <c r="C235" s="112">
        <v>3</v>
      </c>
      <c r="D235" s="879">
        <v>6000</v>
      </c>
      <c r="E235" s="595">
        <f t="shared" si="15"/>
        <v>18000</v>
      </c>
      <c r="F235" s="112" t="s">
        <v>42</v>
      </c>
      <c r="G235" s="161"/>
      <c r="H235" s="302"/>
      <c r="I235" s="159"/>
      <c r="J235" s="11" t="s">
        <v>531</v>
      </c>
      <c r="K235" s="11" t="s">
        <v>83</v>
      </c>
      <c r="L235" s="547" t="s">
        <v>81</v>
      </c>
      <c r="M235" s="569">
        <v>15048</v>
      </c>
      <c r="N235" s="276" t="s">
        <v>569</v>
      </c>
      <c r="O235" s="556" t="s">
        <v>117</v>
      </c>
      <c r="P235" s="466">
        <v>14671</v>
      </c>
      <c r="Q235" s="276" t="s">
        <v>591</v>
      </c>
      <c r="R235" s="794">
        <v>45988</v>
      </c>
      <c r="S235" s="276" t="s">
        <v>119</v>
      </c>
      <c r="T235" s="833"/>
      <c r="U235" s="276"/>
      <c r="V235" s="975"/>
      <c r="W235" s="975"/>
      <c r="X235" s="975"/>
      <c r="Y235" s="975"/>
      <c r="Z235" s="975"/>
    </row>
    <row r="236" spans="1:26" s="976" customFormat="1" ht="30" customHeight="1">
      <c r="A236" s="112" t="s">
        <v>592</v>
      </c>
      <c r="B236" s="499" t="s">
        <v>593</v>
      </c>
      <c r="C236" s="112">
        <v>3</v>
      </c>
      <c r="D236" s="879">
        <v>6000</v>
      </c>
      <c r="E236" s="595">
        <f t="shared" si="15"/>
        <v>18000</v>
      </c>
      <c r="F236" s="112" t="s">
        <v>42</v>
      </c>
      <c r="G236" s="161"/>
      <c r="H236" s="302"/>
      <c r="I236" s="159"/>
      <c r="J236" s="11" t="s">
        <v>531</v>
      </c>
      <c r="K236" s="11" t="s">
        <v>83</v>
      </c>
      <c r="L236" s="547" t="s">
        <v>81</v>
      </c>
      <c r="M236" s="569">
        <v>15930</v>
      </c>
      <c r="N236" s="276" t="s">
        <v>569</v>
      </c>
      <c r="O236" s="556" t="s">
        <v>117</v>
      </c>
      <c r="P236" s="466">
        <v>15531</v>
      </c>
      <c r="Q236" s="276" t="s">
        <v>594</v>
      </c>
      <c r="R236" s="794">
        <v>45960</v>
      </c>
      <c r="S236" s="276" t="s">
        <v>119</v>
      </c>
      <c r="T236" s="833"/>
      <c r="U236" s="276"/>
      <c r="V236" s="975"/>
      <c r="W236" s="975"/>
      <c r="X236" s="975"/>
      <c r="Y236" s="975"/>
      <c r="Z236" s="975"/>
    </row>
    <row r="237" spans="1:26" s="976" customFormat="1" ht="30" customHeight="1">
      <c r="A237" s="112" t="s">
        <v>595</v>
      </c>
      <c r="B237" s="499" t="s">
        <v>596</v>
      </c>
      <c r="C237" s="112">
        <v>3</v>
      </c>
      <c r="D237" s="879">
        <v>6000</v>
      </c>
      <c r="E237" s="595">
        <f t="shared" si="15"/>
        <v>18000</v>
      </c>
      <c r="F237" s="112" t="s">
        <v>42</v>
      </c>
      <c r="G237" s="161"/>
      <c r="H237" s="302"/>
      <c r="I237" s="159"/>
      <c r="J237" s="11" t="s">
        <v>531</v>
      </c>
      <c r="K237" s="11" t="s">
        <v>83</v>
      </c>
      <c r="L237" s="547" t="s">
        <v>81</v>
      </c>
      <c r="M237" s="569">
        <v>15048</v>
      </c>
      <c r="N237" s="276" t="s">
        <v>569</v>
      </c>
      <c r="O237" s="556" t="s">
        <v>117</v>
      </c>
      <c r="P237" s="466">
        <v>14671</v>
      </c>
      <c r="Q237" s="276" t="s">
        <v>597</v>
      </c>
      <c r="R237" s="794">
        <v>45988</v>
      </c>
      <c r="S237" s="276" t="s">
        <v>119</v>
      </c>
      <c r="T237" s="833"/>
      <c r="U237" s="276"/>
      <c r="V237" s="975"/>
      <c r="W237" s="975"/>
      <c r="X237" s="975"/>
      <c r="Y237" s="975"/>
      <c r="Z237" s="975"/>
    </row>
    <row r="238" spans="1:26" s="976" customFormat="1" ht="30" customHeight="1">
      <c r="A238" s="112" t="s">
        <v>598</v>
      </c>
      <c r="B238" s="499" t="s">
        <v>599</v>
      </c>
      <c r="C238" s="112">
        <v>3</v>
      </c>
      <c r="D238" s="879">
        <v>6000</v>
      </c>
      <c r="E238" s="595">
        <f t="shared" si="15"/>
        <v>18000</v>
      </c>
      <c r="F238" s="112" t="s">
        <v>42</v>
      </c>
      <c r="G238" s="161"/>
      <c r="H238" s="302"/>
      <c r="I238" s="159"/>
      <c r="J238" s="11" t="s">
        <v>531</v>
      </c>
      <c r="K238" s="11" t="s">
        <v>83</v>
      </c>
      <c r="L238" s="547" t="s">
        <v>81</v>
      </c>
      <c r="M238" s="569">
        <v>15048</v>
      </c>
      <c r="N238" s="276" t="s">
        <v>569</v>
      </c>
      <c r="O238" s="556" t="s">
        <v>117</v>
      </c>
      <c r="P238" s="466">
        <v>14671</v>
      </c>
      <c r="Q238" s="276" t="s">
        <v>600</v>
      </c>
      <c r="R238" s="794">
        <v>45988</v>
      </c>
      <c r="S238" s="276" t="s">
        <v>119</v>
      </c>
      <c r="T238" s="833"/>
      <c r="U238" s="276"/>
      <c r="V238" s="975"/>
      <c r="W238" s="975"/>
      <c r="X238" s="975"/>
      <c r="Y238" s="975"/>
      <c r="Z238" s="975"/>
    </row>
    <row r="239" spans="1:26" s="976" customFormat="1" ht="30" customHeight="1">
      <c r="A239" s="112" t="s">
        <v>601</v>
      </c>
      <c r="B239" s="499" t="s">
        <v>602</v>
      </c>
      <c r="C239" s="112">
        <v>3</v>
      </c>
      <c r="D239" s="879">
        <v>6000</v>
      </c>
      <c r="E239" s="595">
        <f t="shared" si="15"/>
        <v>18000</v>
      </c>
      <c r="F239" s="112" t="s">
        <v>42</v>
      </c>
      <c r="G239" s="161"/>
      <c r="H239" s="302"/>
      <c r="I239" s="159"/>
      <c r="J239" s="11" t="s">
        <v>531</v>
      </c>
      <c r="K239" s="11" t="s">
        <v>83</v>
      </c>
      <c r="L239" s="547" t="s">
        <v>81</v>
      </c>
      <c r="M239" s="569">
        <v>15048</v>
      </c>
      <c r="N239" s="456" t="s">
        <v>569</v>
      </c>
      <c r="O239" s="905" t="s">
        <v>117</v>
      </c>
      <c r="P239" s="595">
        <v>14822</v>
      </c>
      <c r="Q239" s="112" t="s">
        <v>603</v>
      </c>
      <c r="R239" s="835">
        <v>45988</v>
      </c>
      <c r="S239" s="276" t="s">
        <v>119</v>
      </c>
      <c r="T239" s="833"/>
      <c r="U239" s="276"/>
      <c r="V239" s="975"/>
      <c r="W239" s="975"/>
      <c r="X239" s="975"/>
      <c r="Y239" s="975"/>
      <c r="Z239" s="975"/>
    </row>
    <row r="240" spans="1:26" s="976" customFormat="1" ht="30" customHeight="1">
      <c r="A240" s="112" t="s">
        <v>604</v>
      </c>
      <c r="B240" s="499" t="s">
        <v>605</v>
      </c>
      <c r="C240" s="112">
        <v>3</v>
      </c>
      <c r="D240" s="879">
        <v>6000</v>
      </c>
      <c r="E240" s="595">
        <f t="shared" si="15"/>
        <v>18000</v>
      </c>
      <c r="F240" s="112" t="s">
        <v>42</v>
      </c>
      <c r="G240" s="161"/>
      <c r="H240" s="302"/>
      <c r="I240" s="159"/>
      <c r="J240" s="11" t="s">
        <v>531</v>
      </c>
      <c r="K240" s="11" t="s">
        <v>83</v>
      </c>
      <c r="L240" s="547" t="s">
        <v>81</v>
      </c>
      <c r="M240" s="569">
        <v>15930</v>
      </c>
      <c r="N240" s="276" t="s">
        <v>569</v>
      </c>
      <c r="O240" s="556" t="s">
        <v>117</v>
      </c>
      <c r="P240" s="466">
        <v>15691</v>
      </c>
      <c r="Q240" s="276" t="s">
        <v>606</v>
      </c>
      <c r="R240" s="794">
        <v>46003</v>
      </c>
      <c r="S240" s="276" t="s">
        <v>119</v>
      </c>
      <c r="T240" s="833"/>
      <c r="U240" s="276"/>
      <c r="V240" s="975"/>
      <c r="W240" s="975"/>
      <c r="X240" s="975"/>
      <c r="Y240" s="975"/>
      <c r="Z240" s="975"/>
    </row>
    <row r="241" spans="1:26" s="976" customFormat="1" ht="30" customHeight="1">
      <c r="A241" s="112" t="s">
        <v>607</v>
      </c>
      <c r="B241" s="499" t="s">
        <v>608</v>
      </c>
      <c r="C241" s="112">
        <v>3</v>
      </c>
      <c r="D241" s="879">
        <v>7000</v>
      </c>
      <c r="E241" s="595">
        <f t="shared" si="15"/>
        <v>21000</v>
      </c>
      <c r="F241" s="11" t="s">
        <v>42</v>
      </c>
      <c r="G241" s="161"/>
      <c r="H241" s="302"/>
      <c r="I241" s="159"/>
      <c r="J241" s="11" t="s">
        <v>531</v>
      </c>
      <c r="K241" s="11" t="s">
        <v>83</v>
      </c>
      <c r="L241" s="547" t="s">
        <v>81</v>
      </c>
      <c r="M241" s="569">
        <v>20412</v>
      </c>
      <c r="N241" s="276" t="s">
        <v>562</v>
      </c>
      <c r="O241" s="556" t="s">
        <v>117</v>
      </c>
      <c r="P241" s="466">
        <v>19901</v>
      </c>
      <c r="Q241" s="276" t="s">
        <v>609</v>
      </c>
      <c r="R241" s="794">
        <v>45960</v>
      </c>
      <c r="S241" s="276" t="s">
        <v>119</v>
      </c>
      <c r="T241" s="833"/>
      <c r="U241" s="276"/>
      <c r="V241" s="975"/>
      <c r="W241" s="975"/>
      <c r="X241" s="975"/>
      <c r="Y241" s="975"/>
      <c r="Z241" s="975"/>
    </row>
    <row r="242" spans="1:26" s="976" customFormat="1" ht="30" customHeight="1">
      <c r="A242" s="112" t="s">
        <v>610</v>
      </c>
      <c r="B242" s="499" t="s">
        <v>611</v>
      </c>
      <c r="C242" s="112">
        <v>3</v>
      </c>
      <c r="D242" s="879">
        <v>8000</v>
      </c>
      <c r="E242" s="595">
        <f t="shared" si="15"/>
        <v>24000</v>
      </c>
      <c r="F242" s="112" t="s">
        <v>42</v>
      </c>
      <c r="G242" s="161"/>
      <c r="H242" s="302"/>
      <c r="I242" s="159"/>
      <c r="J242" s="11" t="s">
        <v>531</v>
      </c>
      <c r="K242" s="11" t="s">
        <v>83</v>
      </c>
      <c r="L242" s="547" t="s">
        <v>81</v>
      </c>
      <c r="M242" s="569">
        <v>20178</v>
      </c>
      <c r="N242" s="276" t="s">
        <v>612</v>
      </c>
      <c r="O242" s="556" t="s">
        <v>117</v>
      </c>
      <c r="P242" s="466">
        <v>19774</v>
      </c>
      <c r="Q242" s="276" t="s">
        <v>613</v>
      </c>
      <c r="R242" s="794">
        <v>45987</v>
      </c>
      <c r="S242" s="276" t="s">
        <v>119</v>
      </c>
      <c r="T242" s="833"/>
      <c r="U242" s="276"/>
      <c r="V242" s="975"/>
      <c r="W242" s="975"/>
      <c r="X242" s="975"/>
      <c r="Y242" s="975"/>
      <c r="Z242" s="975"/>
    </row>
    <row r="243" spans="1:26" s="976" customFormat="1" ht="30" customHeight="1">
      <c r="A243" s="112" t="s">
        <v>614</v>
      </c>
      <c r="B243" s="499" t="s">
        <v>615</v>
      </c>
      <c r="C243" s="112">
        <v>3</v>
      </c>
      <c r="D243" s="879">
        <v>8000</v>
      </c>
      <c r="E243" s="595">
        <f t="shared" si="15"/>
        <v>24000</v>
      </c>
      <c r="F243" s="112" t="s">
        <v>42</v>
      </c>
      <c r="G243" s="161"/>
      <c r="H243" s="302"/>
      <c r="I243" s="159"/>
      <c r="J243" s="11" t="s">
        <v>531</v>
      </c>
      <c r="K243" s="11" t="s">
        <v>83</v>
      </c>
      <c r="L243" s="547" t="s">
        <v>81</v>
      </c>
      <c r="M243" s="569">
        <v>20178</v>
      </c>
      <c r="N243" s="456" t="s">
        <v>612</v>
      </c>
      <c r="O243" s="905" t="s">
        <v>117</v>
      </c>
      <c r="P243" s="595">
        <v>19875</v>
      </c>
      <c r="Q243" s="112" t="s">
        <v>616</v>
      </c>
      <c r="R243" s="835">
        <v>45987</v>
      </c>
      <c r="S243" s="276" t="s">
        <v>119</v>
      </c>
      <c r="T243" s="833"/>
      <c r="U243" s="276"/>
      <c r="V243" s="975"/>
      <c r="W243" s="975"/>
      <c r="X243" s="975"/>
      <c r="Y243" s="975"/>
      <c r="Z243" s="975"/>
    </row>
    <row r="244" spans="1:26" s="976" customFormat="1" ht="30" customHeight="1">
      <c r="A244" s="112" t="s">
        <v>617</v>
      </c>
      <c r="B244" s="499" t="s">
        <v>618</v>
      </c>
      <c r="C244" s="112">
        <v>3</v>
      </c>
      <c r="D244" s="879">
        <v>8000</v>
      </c>
      <c r="E244" s="595">
        <f t="shared" si="15"/>
        <v>24000</v>
      </c>
      <c r="F244" s="112" t="s">
        <v>42</v>
      </c>
      <c r="G244" s="161"/>
      <c r="H244" s="302"/>
      <c r="I244" s="159"/>
      <c r="J244" s="11" t="s">
        <v>531</v>
      </c>
      <c r="K244" s="11" t="s">
        <v>83</v>
      </c>
      <c r="L244" s="547" t="s">
        <v>81</v>
      </c>
      <c r="M244" s="569">
        <v>20412</v>
      </c>
      <c r="N244" s="456" t="s">
        <v>562</v>
      </c>
      <c r="O244" s="905" t="s">
        <v>117</v>
      </c>
      <c r="P244" s="595">
        <v>19697</v>
      </c>
      <c r="Q244" s="112" t="s">
        <v>619</v>
      </c>
      <c r="R244" s="835">
        <v>45960</v>
      </c>
      <c r="S244" s="276" t="s">
        <v>119</v>
      </c>
      <c r="T244" s="833"/>
      <c r="U244" s="276"/>
      <c r="V244" s="975"/>
      <c r="W244" s="975"/>
      <c r="X244" s="975"/>
      <c r="Y244" s="975"/>
      <c r="Z244" s="975"/>
    </row>
    <row r="245" spans="1:26" s="976" customFormat="1" ht="30" customHeight="1">
      <c r="A245" s="112" t="s">
        <v>620</v>
      </c>
      <c r="B245" s="499" t="s">
        <v>621</v>
      </c>
      <c r="C245" s="112">
        <v>3</v>
      </c>
      <c r="D245" s="879">
        <v>8000</v>
      </c>
      <c r="E245" s="595">
        <f t="shared" si="15"/>
        <v>24000</v>
      </c>
      <c r="F245" s="112" t="s">
        <v>42</v>
      </c>
      <c r="G245" s="161"/>
      <c r="H245" s="302"/>
      <c r="I245" s="159"/>
      <c r="J245" s="11" t="s">
        <v>531</v>
      </c>
      <c r="K245" s="11" t="s">
        <v>83</v>
      </c>
      <c r="L245" s="547" t="s">
        <v>81</v>
      </c>
      <c r="M245" s="569">
        <v>22680</v>
      </c>
      <c r="N245" s="456" t="s">
        <v>569</v>
      </c>
      <c r="O245" s="905" t="s">
        <v>117</v>
      </c>
      <c r="P245" s="595">
        <v>22339</v>
      </c>
      <c r="Q245" s="112" t="s">
        <v>622</v>
      </c>
      <c r="R245" s="835">
        <v>45988</v>
      </c>
      <c r="S245" s="276" t="s">
        <v>119</v>
      </c>
      <c r="T245" s="833"/>
      <c r="U245" s="276"/>
      <c r="V245" s="975"/>
      <c r="W245" s="975"/>
      <c r="X245" s="975"/>
      <c r="Y245" s="975"/>
      <c r="Z245" s="975"/>
    </row>
    <row r="246" spans="1:26" s="976" customFormat="1" ht="30" customHeight="1">
      <c r="A246" s="112" t="s">
        <v>623</v>
      </c>
      <c r="B246" s="499" t="s">
        <v>624</v>
      </c>
      <c r="C246" s="112">
        <v>2</v>
      </c>
      <c r="D246" s="879">
        <v>10000</v>
      </c>
      <c r="E246" s="595">
        <f t="shared" si="15"/>
        <v>20000</v>
      </c>
      <c r="F246" s="112" t="s">
        <v>42</v>
      </c>
      <c r="G246" s="161"/>
      <c r="H246" s="302"/>
      <c r="I246" s="159"/>
      <c r="J246" s="11" t="s">
        <v>531</v>
      </c>
      <c r="K246" s="11" t="s">
        <v>83</v>
      </c>
      <c r="L246" s="547" t="s">
        <v>81</v>
      </c>
      <c r="M246" s="569">
        <v>17936</v>
      </c>
      <c r="N246" s="276" t="s">
        <v>612</v>
      </c>
      <c r="O246" s="556" t="s">
        <v>117</v>
      </c>
      <c r="P246" s="799">
        <v>17487</v>
      </c>
      <c r="Q246" s="276" t="s">
        <v>625</v>
      </c>
      <c r="R246" s="794">
        <v>45987</v>
      </c>
      <c r="S246" s="276" t="s">
        <v>119</v>
      </c>
      <c r="T246" s="833"/>
      <c r="U246" s="276"/>
      <c r="V246" s="975"/>
      <c r="W246" s="975"/>
      <c r="X246" s="975"/>
      <c r="Y246" s="975"/>
      <c r="Z246" s="975"/>
    </row>
    <row r="247" spans="1:26" s="976" customFormat="1" ht="30" customHeight="1">
      <c r="A247" s="112" t="s">
        <v>626</v>
      </c>
      <c r="B247" s="499" t="s">
        <v>627</v>
      </c>
      <c r="C247" s="112">
        <v>2</v>
      </c>
      <c r="D247" s="879">
        <v>12000</v>
      </c>
      <c r="E247" s="595">
        <f t="shared" si="15"/>
        <v>24000</v>
      </c>
      <c r="F247" s="112" t="s">
        <v>42</v>
      </c>
      <c r="G247" s="161"/>
      <c r="H247" s="302"/>
      <c r="I247" s="159"/>
      <c r="J247" s="11" t="s">
        <v>531</v>
      </c>
      <c r="K247" s="11" t="s">
        <v>83</v>
      </c>
      <c r="L247" s="547" t="s">
        <v>81</v>
      </c>
      <c r="M247" s="569">
        <v>21004</v>
      </c>
      <c r="N247" s="276" t="s">
        <v>612</v>
      </c>
      <c r="O247" s="556" t="s">
        <v>117</v>
      </c>
      <c r="P247" s="799">
        <v>20268</v>
      </c>
      <c r="Q247" s="276" t="s">
        <v>628</v>
      </c>
      <c r="R247" s="794">
        <v>45987</v>
      </c>
      <c r="S247" s="276" t="s">
        <v>119</v>
      </c>
      <c r="T247" s="833"/>
      <c r="U247" s="276"/>
      <c r="V247" s="975"/>
      <c r="W247" s="975"/>
      <c r="X247" s="975"/>
      <c r="Y247" s="975"/>
      <c r="Z247" s="975"/>
    </row>
    <row r="248" spans="1:26" s="976" customFormat="1" ht="30" customHeight="1">
      <c r="A248" s="679" t="s">
        <v>629</v>
      </c>
      <c r="B248" s="834" t="s">
        <v>630</v>
      </c>
      <c r="C248" s="679">
        <v>2</v>
      </c>
      <c r="D248" s="970">
        <v>12000</v>
      </c>
      <c r="E248" s="645">
        <v>24000</v>
      </c>
      <c r="F248" s="679" t="s">
        <v>42</v>
      </c>
      <c r="G248" s="679" t="s">
        <v>20</v>
      </c>
      <c r="H248" s="679" t="s">
        <v>83</v>
      </c>
      <c r="I248" s="679" t="s">
        <v>631</v>
      </c>
      <c r="J248" s="11" t="s">
        <v>531</v>
      </c>
      <c r="K248" s="11" t="s">
        <v>83</v>
      </c>
      <c r="L248" s="547" t="s">
        <v>81</v>
      </c>
      <c r="M248" s="646">
        <v>22420</v>
      </c>
      <c r="N248" s="276" t="s">
        <v>562</v>
      </c>
      <c r="O248" s="556" t="s">
        <v>117</v>
      </c>
      <c r="P248" s="799">
        <v>21971</v>
      </c>
      <c r="Q248" s="276" t="s">
        <v>632</v>
      </c>
      <c r="R248" s="794">
        <v>46013</v>
      </c>
      <c r="S248" s="276" t="s">
        <v>119</v>
      </c>
      <c r="T248" s="833"/>
      <c r="U248" s="276"/>
      <c r="V248" s="975"/>
      <c r="W248" s="975"/>
      <c r="X248" s="975"/>
      <c r="Y248" s="975"/>
      <c r="Z248" s="975"/>
    </row>
    <row r="249" spans="1:26" s="976" customFormat="1" ht="30" customHeight="1">
      <c r="A249" s="679" t="s">
        <v>633</v>
      </c>
      <c r="B249" s="834" t="s">
        <v>634</v>
      </c>
      <c r="C249" s="679">
        <v>2</v>
      </c>
      <c r="D249" s="970">
        <v>12000</v>
      </c>
      <c r="E249" s="645">
        <v>24000</v>
      </c>
      <c r="F249" s="679" t="s">
        <v>42</v>
      </c>
      <c r="G249" s="679" t="s">
        <v>20</v>
      </c>
      <c r="H249" s="679" t="s">
        <v>83</v>
      </c>
      <c r="I249" s="679" t="s">
        <v>631</v>
      </c>
      <c r="J249" s="11" t="s">
        <v>531</v>
      </c>
      <c r="K249" s="11" t="s">
        <v>83</v>
      </c>
      <c r="L249" s="547" t="s">
        <v>81</v>
      </c>
      <c r="M249" s="646">
        <v>22420</v>
      </c>
      <c r="N249" s="276" t="s">
        <v>562</v>
      </c>
      <c r="O249" s="556" t="s">
        <v>117</v>
      </c>
      <c r="P249" s="799">
        <v>21971</v>
      </c>
      <c r="Q249" s="276" t="s">
        <v>635</v>
      </c>
      <c r="R249" s="794">
        <v>46013</v>
      </c>
      <c r="S249" s="276" t="s">
        <v>119</v>
      </c>
      <c r="T249" s="833"/>
      <c r="U249" s="276"/>
      <c r="V249" s="975"/>
      <c r="W249" s="975"/>
      <c r="X249" s="975"/>
      <c r="Y249" s="975"/>
      <c r="Z249" s="975"/>
    </row>
    <row r="250" spans="1:26" s="976" customFormat="1" ht="30" customHeight="1">
      <c r="A250" s="679" t="s">
        <v>636</v>
      </c>
      <c r="B250" s="834" t="s">
        <v>637</v>
      </c>
      <c r="C250" s="679">
        <v>2</v>
      </c>
      <c r="D250" s="970">
        <v>12000</v>
      </c>
      <c r="E250" s="645">
        <v>24000</v>
      </c>
      <c r="F250" s="679" t="s">
        <v>42</v>
      </c>
      <c r="G250" s="679" t="s">
        <v>20</v>
      </c>
      <c r="H250" s="679" t="s">
        <v>83</v>
      </c>
      <c r="I250" s="679" t="s">
        <v>631</v>
      </c>
      <c r="J250" s="11" t="s">
        <v>531</v>
      </c>
      <c r="K250" s="11" t="s">
        <v>83</v>
      </c>
      <c r="L250" s="547" t="s">
        <v>81</v>
      </c>
      <c r="M250" s="646">
        <v>22420</v>
      </c>
      <c r="N250" s="276" t="s">
        <v>562</v>
      </c>
      <c r="O250" s="556" t="s">
        <v>117</v>
      </c>
      <c r="P250" s="799">
        <v>21971</v>
      </c>
      <c r="Q250" s="276" t="s">
        <v>638</v>
      </c>
      <c r="R250" s="794">
        <v>46013</v>
      </c>
      <c r="S250" s="276" t="s">
        <v>119</v>
      </c>
      <c r="T250" s="833"/>
      <c r="U250" s="276"/>
      <c r="V250" s="975"/>
      <c r="W250" s="975"/>
      <c r="X250" s="975"/>
      <c r="Y250" s="975"/>
      <c r="Z250" s="975"/>
    </row>
    <row r="251" spans="1:26" s="976" customFormat="1" ht="30" customHeight="1">
      <c r="A251" s="679" t="s">
        <v>639</v>
      </c>
      <c r="B251" s="834" t="s">
        <v>640</v>
      </c>
      <c r="C251" s="679">
        <v>2</v>
      </c>
      <c r="D251" s="970">
        <v>12000</v>
      </c>
      <c r="E251" s="645">
        <v>24000</v>
      </c>
      <c r="F251" s="679" t="s">
        <v>42</v>
      </c>
      <c r="G251" s="679" t="s">
        <v>20</v>
      </c>
      <c r="H251" s="679" t="s">
        <v>83</v>
      </c>
      <c r="I251" s="679" t="s">
        <v>631</v>
      </c>
      <c r="J251" s="11" t="s">
        <v>531</v>
      </c>
      <c r="K251" s="11" t="s">
        <v>83</v>
      </c>
      <c r="L251" s="547" t="s">
        <v>81</v>
      </c>
      <c r="M251" s="646">
        <v>22420</v>
      </c>
      <c r="N251" s="276" t="s">
        <v>562</v>
      </c>
      <c r="O251" s="556" t="s">
        <v>117</v>
      </c>
      <c r="P251" s="799">
        <v>21971</v>
      </c>
      <c r="Q251" s="276" t="s">
        <v>641</v>
      </c>
      <c r="R251" s="794">
        <v>46013</v>
      </c>
      <c r="S251" s="276" t="s">
        <v>119</v>
      </c>
      <c r="T251" s="833"/>
      <c r="U251" s="276"/>
      <c r="V251" s="975"/>
      <c r="W251" s="975"/>
      <c r="X251" s="975"/>
      <c r="Y251" s="975"/>
      <c r="Z251" s="975"/>
    </row>
    <row r="252" spans="1:26" s="976" customFormat="1" ht="30" customHeight="1">
      <c r="A252" s="679" t="s">
        <v>642</v>
      </c>
      <c r="B252" s="834" t="s">
        <v>643</v>
      </c>
      <c r="C252" s="679">
        <v>2</v>
      </c>
      <c r="D252" s="970">
        <v>12000</v>
      </c>
      <c r="E252" s="645">
        <v>24000</v>
      </c>
      <c r="F252" s="679" t="s">
        <v>42</v>
      </c>
      <c r="G252" s="679" t="s">
        <v>20</v>
      </c>
      <c r="H252" s="679" t="s">
        <v>83</v>
      </c>
      <c r="I252" s="679" t="s">
        <v>631</v>
      </c>
      <c r="J252" s="11" t="s">
        <v>531</v>
      </c>
      <c r="K252" s="11" t="s">
        <v>83</v>
      </c>
      <c r="L252" s="547" t="s">
        <v>81</v>
      </c>
      <c r="M252" s="646">
        <v>22420</v>
      </c>
      <c r="N252" s="333" t="s">
        <v>562</v>
      </c>
      <c r="O252" s="858" t="s">
        <v>117</v>
      </c>
      <c r="P252" s="799">
        <v>22307</v>
      </c>
      <c r="Q252" s="276" t="s">
        <v>644</v>
      </c>
      <c r="R252" s="794">
        <v>46013</v>
      </c>
      <c r="S252" s="276" t="s">
        <v>119</v>
      </c>
      <c r="T252" s="833"/>
      <c r="U252" s="276"/>
      <c r="V252" s="975"/>
      <c r="W252" s="975"/>
      <c r="X252" s="975"/>
      <c r="Y252" s="975"/>
      <c r="Z252" s="975"/>
    </row>
    <row r="253" spans="1:26" s="976" customFormat="1" ht="30" customHeight="1">
      <c r="A253" s="679" t="s">
        <v>645</v>
      </c>
      <c r="B253" s="834" t="s">
        <v>646</v>
      </c>
      <c r="C253" s="679">
        <v>2</v>
      </c>
      <c r="D253" s="970">
        <v>12000</v>
      </c>
      <c r="E253" s="645">
        <v>24000</v>
      </c>
      <c r="F253" s="679" t="s">
        <v>42</v>
      </c>
      <c r="G253" s="679" t="s">
        <v>20</v>
      </c>
      <c r="H253" s="679" t="s">
        <v>83</v>
      </c>
      <c r="I253" s="679" t="s">
        <v>631</v>
      </c>
      <c r="J253" s="11" t="s">
        <v>531</v>
      </c>
      <c r="K253" s="11" t="s">
        <v>83</v>
      </c>
      <c r="L253" s="547" t="s">
        <v>81</v>
      </c>
      <c r="M253" s="646">
        <v>22420</v>
      </c>
      <c r="N253" s="333" t="s">
        <v>562</v>
      </c>
      <c r="O253" s="858" t="s">
        <v>117</v>
      </c>
      <c r="P253" s="799">
        <v>21971</v>
      </c>
      <c r="Q253" s="865" t="s">
        <v>647</v>
      </c>
      <c r="R253" s="866">
        <v>46013</v>
      </c>
      <c r="S253" s="276" t="s">
        <v>119</v>
      </c>
      <c r="T253" s="833"/>
      <c r="U253" s="276"/>
      <c r="V253" s="975"/>
      <c r="W253" s="975"/>
      <c r="X253" s="975"/>
      <c r="Y253" s="975"/>
      <c r="Z253" s="975"/>
    </row>
    <row r="254" spans="1:26" s="976" customFormat="1" ht="30" customHeight="1">
      <c r="A254" s="679" t="s">
        <v>648</v>
      </c>
      <c r="B254" s="834" t="s">
        <v>649</v>
      </c>
      <c r="C254" s="679">
        <v>2</v>
      </c>
      <c r="D254" s="970">
        <v>12000</v>
      </c>
      <c r="E254" s="645">
        <v>24000</v>
      </c>
      <c r="F254" s="679" t="s">
        <v>42</v>
      </c>
      <c r="G254" s="679" t="s">
        <v>20</v>
      </c>
      <c r="H254" s="679" t="s">
        <v>83</v>
      </c>
      <c r="I254" s="679" t="s">
        <v>631</v>
      </c>
      <c r="J254" s="11" t="s">
        <v>531</v>
      </c>
      <c r="K254" s="11" t="s">
        <v>83</v>
      </c>
      <c r="L254" s="547" t="s">
        <v>81</v>
      </c>
      <c r="M254" s="646">
        <v>22420</v>
      </c>
      <c r="N254" s="276" t="s">
        <v>562</v>
      </c>
      <c r="O254" s="556" t="s">
        <v>117</v>
      </c>
      <c r="P254" s="466">
        <v>21971</v>
      </c>
      <c r="Q254" s="276" t="s">
        <v>650</v>
      </c>
      <c r="R254" s="794">
        <v>46013</v>
      </c>
      <c r="S254" s="276" t="s">
        <v>119</v>
      </c>
      <c r="T254" s="833"/>
      <c r="U254" s="276"/>
      <c r="V254" s="975"/>
      <c r="W254" s="975"/>
      <c r="X254" s="975"/>
      <c r="Y254" s="975"/>
      <c r="Z254" s="975"/>
    </row>
    <row r="255" spans="1:26" s="976" customFormat="1" ht="30" customHeight="1">
      <c r="A255" s="679" t="s">
        <v>651</v>
      </c>
      <c r="B255" s="834" t="s">
        <v>652</v>
      </c>
      <c r="C255" s="679">
        <v>1</v>
      </c>
      <c r="D255" s="970">
        <v>15000</v>
      </c>
      <c r="E255" s="645">
        <v>15000</v>
      </c>
      <c r="F255" s="679" t="s">
        <v>42</v>
      </c>
      <c r="G255" s="679" t="s">
        <v>20</v>
      </c>
      <c r="H255" s="679" t="s">
        <v>83</v>
      </c>
      <c r="I255" s="679" t="s">
        <v>631</v>
      </c>
      <c r="J255" s="11" t="s">
        <v>531</v>
      </c>
      <c r="K255" s="11" t="s">
        <v>83</v>
      </c>
      <c r="L255" s="547" t="s">
        <v>81</v>
      </c>
      <c r="M255" s="646">
        <v>12852</v>
      </c>
      <c r="N255" s="276" t="s">
        <v>562</v>
      </c>
      <c r="O255" s="556" t="s">
        <v>117</v>
      </c>
      <c r="P255" s="466">
        <v>12594</v>
      </c>
      <c r="Q255" s="276" t="s">
        <v>653</v>
      </c>
      <c r="R255" s="794">
        <v>46013</v>
      </c>
      <c r="S255" s="276" t="s">
        <v>119</v>
      </c>
      <c r="T255" s="833"/>
      <c r="U255" s="276"/>
      <c r="V255" s="975"/>
      <c r="W255" s="975"/>
      <c r="X255" s="975"/>
      <c r="Y255" s="975"/>
      <c r="Z255" s="975"/>
    </row>
    <row r="256" spans="1:26" s="976" customFormat="1" ht="30" customHeight="1">
      <c r="A256" s="679" t="s">
        <v>654</v>
      </c>
      <c r="B256" s="834" t="s">
        <v>655</v>
      </c>
      <c r="C256" s="679">
        <v>1</v>
      </c>
      <c r="D256" s="970">
        <v>17000</v>
      </c>
      <c r="E256" s="645">
        <v>17000</v>
      </c>
      <c r="F256" s="679" t="s">
        <v>42</v>
      </c>
      <c r="G256" s="679" t="s">
        <v>20</v>
      </c>
      <c r="H256" s="679" t="s">
        <v>83</v>
      </c>
      <c r="I256" s="679" t="s">
        <v>631</v>
      </c>
      <c r="J256" s="11" t="s">
        <v>531</v>
      </c>
      <c r="K256" s="11" t="s">
        <v>83</v>
      </c>
      <c r="L256" s="547" t="s">
        <v>81</v>
      </c>
      <c r="M256" s="646">
        <v>15694</v>
      </c>
      <c r="N256" s="276" t="s">
        <v>562</v>
      </c>
      <c r="O256" s="556" t="s">
        <v>117</v>
      </c>
      <c r="P256" s="466">
        <v>15380</v>
      </c>
      <c r="Q256" s="276" t="s">
        <v>656</v>
      </c>
      <c r="R256" s="794">
        <v>46013</v>
      </c>
      <c r="S256" s="276" t="s">
        <v>119</v>
      </c>
      <c r="T256" s="833"/>
      <c r="U256" s="276"/>
      <c r="V256" s="975"/>
      <c r="W256" s="975"/>
      <c r="X256" s="975"/>
      <c r="Y256" s="975"/>
      <c r="Z256" s="975"/>
    </row>
    <row r="257" spans="1:26" s="976" customFormat="1" ht="48" customHeight="1">
      <c r="A257" s="679" t="s">
        <v>657</v>
      </c>
      <c r="B257" s="834" t="s">
        <v>658</v>
      </c>
      <c r="C257" s="679">
        <v>1</v>
      </c>
      <c r="D257" s="970">
        <v>18000</v>
      </c>
      <c r="E257" s="645">
        <v>18000</v>
      </c>
      <c r="F257" s="679" t="s">
        <v>42</v>
      </c>
      <c r="G257" s="679" t="s">
        <v>20</v>
      </c>
      <c r="H257" s="679" t="s">
        <v>83</v>
      </c>
      <c r="I257" s="679" t="s">
        <v>631</v>
      </c>
      <c r="J257" s="11" t="s">
        <v>531</v>
      </c>
      <c r="K257" s="11" t="s">
        <v>83</v>
      </c>
      <c r="L257" s="547" t="s">
        <v>81</v>
      </c>
      <c r="M257" s="646">
        <v>15694</v>
      </c>
      <c r="N257" s="276" t="s">
        <v>562</v>
      </c>
      <c r="O257" s="556" t="s">
        <v>117</v>
      </c>
      <c r="P257" s="466">
        <v>15380</v>
      </c>
      <c r="Q257" s="276" t="s">
        <v>659</v>
      </c>
      <c r="R257" s="794">
        <v>46013</v>
      </c>
      <c r="S257" s="276" t="s">
        <v>119</v>
      </c>
      <c r="T257" s="833"/>
      <c r="U257" s="276"/>
      <c r="V257" s="975"/>
      <c r="W257" s="975"/>
      <c r="X257" s="975"/>
      <c r="Y257" s="975"/>
      <c r="Z257" s="975"/>
    </row>
    <row r="258" spans="1:26" ht="30" hidden="1" customHeight="1">
      <c r="A258" s="112" t="s">
        <v>660</v>
      </c>
      <c r="B258" s="499" t="s">
        <v>661</v>
      </c>
      <c r="C258" s="112">
        <v>1</v>
      </c>
      <c r="D258" s="879">
        <v>70000</v>
      </c>
      <c r="E258" s="595">
        <f t="shared" ref="E258:E267" si="16">C258*D258</f>
        <v>70000</v>
      </c>
      <c r="F258" s="112" t="s">
        <v>42</v>
      </c>
      <c r="G258" s="276"/>
      <c r="H258" s="302"/>
      <c r="I258" s="159"/>
      <c r="J258" s="11" t="s">
        <v>531</v>
      </c>
      <c r="K258" s="11" t="s">
        <v>83</v>
      </c>
      <c r="L258" s="547" t="s">
        <v>514</v>
      </c>
      <c r="M258" s="646">
        <v>57000</v>
      </c>
      <c r="N258" s="276" t="s">
        <v>562</v>
      </c>
      <c r="O258" s="556" t="s">
        <v>131</v>
      </c>
      <c r="P258" s="466">
        <v>0</v>
      </c>
      <c r="Q258" s="276" t="s">
        <v>119</v>
      </c>
      <c r="R258" s="276" t="s">
        <v>119</v>
      </c>
      <c r="S258" s="276" t="s">
        <v>132</v>
      </c>
      <c r="T258" s="276"/>
      <c r="U258" s="276"/>
      <c r="V258" s="161"/>
      <c r="W258" s="161"/>
      <c r="X258" s="161"/>
      <c r="Y258" s="161"/>
      <c r="Z258" s="161"/>
    </row>
    <row r="259" spans="1:26" ht="30" hidden="1" customHeight="1">
      <c r="A259" s="112" t="s">
        <v>662</v>
      </c>
      <c r="B259" s="499" t="s">
        <v>663</v>
      </c>
      <c r="C259" s="112">
        <v>1</v>
      </c>
      <c r="D259" s="879">
        <v>110000</v>
      </c>
      <c r="E259" s="595">
        <f t="shared" si="16"/>
        <v>110000</v>
      </c>
      <c r="F259" s="112" t="s">
        <v>42</v>
      </c>
      <c r="G259" s="276"/>
      <c r="H259" s="302"/>
      <c r="I259" s="159"/>
      <c r="J259" s="11" t="s">
        <v>531</v>
      </c>
      <c r="K259" s="11" t="s">
        <v>83</v>
      </c>
      <c r="L259" s="547" t="s">
        <v>514</v>
      </c>
      <c r="M259" s="646">
        <v>77900</v>
      </c>
      <c r="N259" s="276" t="s">
        <v>562</v>
      </c>
      <c r="O259" s="556" t="s">
        <v>131</v>
      </c>
      <c r="P259" s="466">
        <v>0</v>
      </c>
      <c r="Q259" s="276" t="s">
        <v>119</v>
      </c>
      <c r="R259" s="276" t="s">
        <v>119</v>
      </c>
      <c r="S259" s="276" t="s">
        <v>132</v>
      </c>
      <c r="T259" s="276"/>
      <c r="U259" s="276"/>
      <c r="V259" s="161"/>
      <c r="W259" s="161"/>
      <c r="X259" s="161"/>
      <c r="Y259" s="161"/>
      <c r="Z259" s="161"/>
    </row>
    <row r="260" spans="1:26" ht="30" hidden="1" customHeight="1">
      <c r="A260" s="112" t="s">
        <v>664</v>
      </c>
      <c r="B260" s="499" t="s">
        <v>665</v>
      </c>
      <c r="C260" s="112">
        <v>1</v>
      </c>
      <c r="D260" s="879">
        <v>115000</v>
      </c>
      <c r="E260" s="595">
        <f t="shared" si="16"/>
        <v>115000</v>
      </c>
      <c r="F260" s="112" t="s">
        <v>42</v>
      </c>
      <c r="G260" s="276"/>
      <c r="H260" s="302"/>
      <c r="I260" s="159"/>
      <c r="J260" s="11" t="s">
        <v>531</v>
      </c>
      <c r="K260" s="11" t="s">
        <v>83</v>
      </c>
      <c r="L260" s="547" t="s">
        <v>514</v>
      </c>
      <c r="M260" s="646">
        <v>79900</v>
      </c>
      <c r="N260" s="276" t="s">
        <v>612</v>
      </c>
      <c r="O260" s="556" t="s">
        <v>131</v>
      </c>
      <c r="P260" s="466">
        <v>0</v>
      </c>
      <c r="Q260" s="276" t="s">
        <v>119</v>
      </c>
      <c r="R260" s="276" t="s">
        <v>119</v>
      </c>
      <c r="S260" s="276" t="s">
        <v>132</v>
      </c>
      <c r="T260" s="276"/>
      <c r="U260" s="276"/>
      <c r="V260" s="161"/>
      <c r="W260" s="161"/>
      <c r="X260" s="161"/>
      <c r="Y260" s="161"/>
      <c r="Z260" s="161"/>
    </row>
    <row r="261" spans="1:26" ht="30" hidden="1" customHeight="1">
      <c r="A261" s="112" t="s">
        <v>666</v>
      </c>
      <c r="B261" s="499" t="s">
        <v>667</v>
      </c>
      <c r="C261" s="112">
        <v>1</v>
      </c>
      <c r="D261" s="879">
        <v>140000</v>
      </c>
      <c r="E261" s="595">
        <f t="shared" si="16"/>
        <v>140000</v>
      </c>
      <c r="F261" s="112" t="s">
        <v>42</v>
      </c>
      <c r="G261" s="276"/>
      <c r="H261" s="302"/>
      <c r="I261" s="159"/>
      <c r="J261" s="11" t="s">
        <v>531</v>
      </c>
      <c r="K261" s="11" t="s">
        <v>83</v>
      </c>
      <c r="L261" s="547" t="s">
        <v>514</v>
      </c>
      <c r="M261" s="646">
        <v>116800</v>
      </c>
      <c r="N261" s="276" t="s">
        <v>612</v>
      </c>
      <c r="O261" s="556" t="s">
        <v>131</v>
      </c>
      <c r="P261" s="466">
        <v>0</v>
      </c>
      <c r="Q261" s="276" t="s">
        <v>119</v>
      </c>
      <c r="R261" s="276" t="s">
        <v>119</v>
      </c>
      <c r="S261" s="276" t="s">
        <v>132</v>
      </c>
      <c r="T261" s="276"/>
      <c r="U261" s="276"/>
      <c r="V261" s="161"/>
      <c r="W261" s="161"/>
      <c r="X261" s="161"/>
      <c r="Y261" s="161"/>
      <c r="Z261" s="161"/>
    </row>
    <row r="262" spans="1:26" ht="30" hidden="1" customHeight="1">
      <c r="A262" s="112" t="s">
        <v>668</v>
      </c>
      <c r="B262" s="499" t="s">
        <v>669</v>
      </c>
      <c r="C262" s="112">
        <v>1</v>
      </c>
      <c r="D262" s="879">
        <v>180000</v>
      </c>
      <c r="E262" s="595">
        <f t="shared" si="16"/>
        <v>180000</v>
      </c>
      <c r="F262" s="112" t="s">
        <v>42</v>
      </c>
      <c r="G262" s="276"/>
      <c r="H262" s="302"/>
      <c r="I262" s="159"/>
      <c r="J262" s="11" t="s">
        <v>531</v>
      </c>
      <c r="K262" s="11" t="s">
        <v>83</v>
      </c>
      <c r="L262" s="547" t="s">
        <v>514</v>
      </c>
      <c r="M262" s="646">
        <v>145000</v>
      </c>
      <c r="N262" s="276" t="s">
        <v>569</v>
      </c>
      <c r="O262" s="556" t="s">
        <v>131</v>
      </c>
      <c r="P262" s="466">
        <v>0</v>
      </c>
      <c r="Q262" s="276" t="s">
        <v>119</v>
      </c>
      <c r="R262" s="276" t="s">
        <v>119</v>
      </c>
      <c r="S262" s="276" t="s">
        <v>132</v>
      </c>
      <c r="T262" s="276"/>
      <c r="U262" s="276"/>
      <c r="V262" s="161"/>
      <c r="W262" s="161"/>
      <c r="X262" s="161"/>
      <c r="Y262" s="161"/>
      <c r="Z262" s="161"/>
    </row>
    <row r="263" spans="1:26" ht="30" hidden="1" customHeight="1">
      <c r="A263" s="112" t="s">
        <v>670</v>
      </c>
      <c r="B263" s="499" t="s">
        <v>671</v>
      </c>
      <c r="C263" s="112">
        <v>1</v>
      </c>
      <c r="D263" s="879">
        <v>230000</v>
      </c>
      <c r="E263" s="595">
        <f t="shared" si="16"/>
        <v>230000</v>
      </c>
      <c r="F263" s="112" t="s">
        <v>42</v>
      </c>
      <c r="G263" s="276"/>
      <c r="H263" s="302"/>
      <c r="I263" s="159"/>
      <c r="J263" s="11" t="s">
        <v>531</v>
      </c>
      <c r="K263" s="11" t="s">
        <v>83</v>
      </c>
      <c r="L263" s="547" t="s">
        <v>514</v>
      </c>
      <c r="M263" s="646">
        <v>179000</v>
      </c>
      <c r="N263" s="276" t="s">
        <v>569</v>
      </c>
      <c r="O263" s="556" t="s">
        <v>131</v>
      </c>
      <c r="P263" s="466">
        <v>0</v>
      </c>
      <c r="Q263" s="276" t="s">
        <v>119</v>
      </c>
      <c r="R263" s="276" t="s">
        <v>119</v>
      </c>
      <c r="S263" s="276" t="s">
        <v>132</v>
      </c>
      <c r="T263" s="276"/>
      <c r="U263" s="276"/>
      <c r="V263" s="161"/>
      <c r="W263" s="161"/>
      <c r="X263" s="161"/>
      <c r="Y263" s="161"/>
      <c r="Z263" s="161"/>
    </row>
    <row r="264" spans="1:26" ht="30" hidden="1" customHeight="1">
      <c r="A264" s="112" t="s">
        <v>672</v>
      </c>
      <c r="B264" s="499" t="s">
        <v>673</v>
      </c>
      <c r="C264" s="112">
        <v>1</v>
      </c>
      <c r="D264" s="879">
        <v>230000</v>
      </c>
      <c r="E264" s="595">
        <f t="shared" si="16"/>
        <v>230000</v>
      </c>
      <c r="F264" s="847" t="s">
        <v>42</v>
      </c>
      <c r="G264" s="276"/>
      <c r="H264" s="750"/>
      <c r="I264" s="327"/>
      <c r="J264" s="18" t="s">
        <v>531</v>
      </c>
      <c r="K264" s="11" t="s">
        <v>83</v>
      </c>
      <c r="L264" s="547" t="s">
        <v>146</v>
      </c>
      <c r="M264" s="466"/>
      <c r="N264" s="276"/>
      <c r="O264" s="556"/>
      <c r="P264" s="466"/>
      <c r="Q264" s="276"/>
      <c r="R264" s="276"/>
      <c r="S264" s="276"/>
      <c r="T264" s="276"/>
      <c r="U264" s="276"/>
      <c r="V264" s="161"/>
      <c r="W264" s="161"/>
      <c r="X264" s="161"/>
      <c r="Y264" s="161"/>
      <c r="Z264" s="161"/>
    </row>
    <row r="265" spans="1:26" ht="24" hidden="1" customHeight="1">
      <c r="A265" s="112" t="s">
        <v>674</v>
      </c>
      <c r="B265" s="499" t="s">
        <v>675</v>
      </c>
      <c r="C265" s="112">
        <v>1</v>
      </c>
      <c r="D265" s="879">
        <v>360000</v>
      </c>
      <c r="E265" s="595">
        <f t="shared" si="16"/>
        <v>360000</v>
      </c>
      <c r="F265" s="112" t="s">
        <v>42</v>
      </c>
      <c r="G265" s="276"/>
      <c r="H265" s="302"/>
      <c r="I265" s="159"/>
      <c r="J265" s="11" t="s">
        <v>531</v>
      </c>
      <c r="K265" s="11" t="s">
        <v>83</v>
      </c>
      <c r="L265" s="547" t="s">
        <v>514</v>
      </c>
      <c r="M265" s="646">
        <v>314500</v>
      </c>
      <c r="N265" s="276" t="s">
        <v>569</v>
      </c>
      <c r="O265" s="556" t="s">
        <v>131</v>
      </c>
      <c r="P265" s="466">
        <v>0</v>
      </c>
      <c r="Q265" s="276" t="s">
        <v>119</v>
      </c>
      <c r="R265" s="276" t="s">
        <v>119</v>
      </c>
      <c r="S265" s="276" t="s">
        <v>132</v>
      </c>
      <c r="T265" s="276"/>
      <c r="U265" s="276"/>
      <c r="V265" s="161"/>
      <c r="W265" s="161"/>
      <c r="X265" s="161"/>
      <c r="Y265" s="161"/>
      <c r="Z265" s="161"/>
    </row>
    <row r="266" spans="1:26" ht="24" customHeight="1">
      <c r="A266" s="112" t="s">
        <v>676</v>
      </c>
      <c r="B266" s="499" t="s">
        <v>677</v>
      </c>
      <c r="C266" s="112">
        <v>1</v>
      </c>
      <c r="D266" s="879">
        <v>500000</v>
      </c>
      <c r="E266" s="595">
        <f t="shared" si="16"/>
        <v>500000</v>
      </c>
      <c r="F266" s="112" t="s">
        <v>42</v>
      </c>
      <c r="G266" s="276"/>
      <c r="H266" s="302"/>
      <c r="I266" s="159"/>
      <c r="J266" s="11" t="s">
        <v>531</v>
      </c>
      <c r="K266" s="11" t="s">
        <v>83</v>
      </c>
      <c r="L266" s="264" t="s">
        <v>81</v>
      </c>
      <c r="M266" s="646">
        <v>483000</v>
      </c>
      <c r="N266" s="276" t="s">
        <v>569</v>
      </c>
      <c r="O266" s="556" t="s">
        <v>131</v>
      </c>
      <c r="P266" s="466">
        <v>483000</v>
      </c>
      <c r="Q266" s="276" t="s">
        <v>678</v>
      </c>
      <c r="R266" s="794">
        <v>46096</v>
      </c>
      <c r="S266" s="276" t="s">
        <v>339</v>
      </c>
      <c r="T266" s="833"/>
      <c r="U266" s="276"/>
      <c r="V266" s="161"/>
      <c r="W266" s="161"/>
      <c r="X266" s="161"/>
      <c r="Y266" s="161"/>
      <c r="Z266" s="161"/>
    </row>
    <row r="267" spans="1:26" ht="39" hidden="1" customHeight="1">
      <c r="A267" s="112" t="s">
        <v>679</v>
      </c>
      <c r="B267" s="180" t="s">
        <v>680</v>
      </c>
      <c r="C267" s="112">
        <v>1</v>
      </c>
      <c r="D267" s="879">
        <v>950000</v>
      </c>
      <c r="E267" s="595">
        <f t="shared" si="16"/>
        <v>950000</v>
      </c>
      <c r="F267" s="112" t="s">
        <v>42</v>
      </c>
      <c r="G267" s="276"/>
      <c r="H267" s="302"/>
      <c r="I267" s="159"/>
      <c r="J267" s="11" t="s">
        <v>531</v>
      </c>
      <c r="K267" s="11" t="s">
        <v>83</v>
      </c>
      <c r="L267" s="264" t="s">
        <v>331</v>
      </c>
      <c r="M267" s="646">
        <v>948000</v>
      </c>
      <c r="N267" s="276" t="s">
        <v>681</v>
      </c>
      <c r="O267" s="556" t="s">
        <v>327</v>
      </c>
      <c r="P267" s="466">
        <v>0</v>
      </c>
      <c r="Q267" s="276" t="s">
        <v>119</v>
      </c>
      <c r="R267" s="276" t="s">
        <v>119</v>
      </c>
      <c r="S267" s="276" t="s">
        <v>119</v>
      </c>
      <c r="T267" s="276"/>
      <c r="U267" s="276"/>
      <c r="V267" s="161"/>
      <c r="W267" s="161"/>
      <c r="X267" s="161"/>
      <c r="Y267" s="161"/>
      <c r="Z267" s="161"/>
    </row>
    <row r="268" spans="1:26" ht="45" customHeight="1">
      <c r="A268" s="211">
        <v>79</v>
      </c>
      <c r="B268" s="262" t="s">
        <v>284</v>
      </c>
      <c r="C268" s="288">
        <v>1</v>
      </c>
      <c r="D268" s="289">
        <v>60000</v>
      </c>
      <c r="E268" s="489">
        <v>60000</v>
      </c>
      <c r="F268" s="215" t="s">
        <v>89</v>
      </c>
      <c r="G268" s="836">
        <v>0</v>
      </c>
      <c r="H268" s="299" t="s">
        <v>301</v>
      </c>
      <c r="I268" s="680" t="s">
        <v>159</v>
      </c>
      <c r="J268" s="215" t="s">
        <v>20</v>
      </c>
      <c r="K268" s="211" t="s">
        <v>83</v>
      </c>
      <c r="L268" s="547" t="s">
        <v>81</v>
      </c>
      <c r="M268" s="489">
        <v>47700</v>
      </c>
      <c r="N268" s="276" t="s">
        <v>550</v>
      </c>
      <c r="O268" s="556" t="s">
        <v>253</v>
      </c>
      <c r="P268" s="799">
        <v>46746</v>
      </c>
      <c r="Q268" s="276" t="s">
        <v>682</v>
      </c>
      <c r="R268" s="794">
        <v>46051</v>
      </c>
      <c r="S268" s="276" t="s">
        <v>154</v>
      </c>
      <c r="T268" s="833"/>
      <c r="U268" s="276"/>
      <c r="V268" s="161"/>
      <c r="W268" s="161"/>
      <c r="X268" s="161"/>
      <c r="Y268" s="161"/>
      <c r="Z268" s="161"/>
    </row>
    <row r="269" spans="1:26" ht="32.25" hidden="1" customHeight="1">
      <c r="A269" s="276">
        <v>0</v>
      </c>
      <c r="B269" s="465" t="s">
        <v>683</v>
      </c>
      <c r="C269" s="276">
        <v>10</v>
      </c>
      <c r="D269" s="833">
        <v>100000</v>
      </c>
      <c r="E269" s="325">
        <f>C269*D269</f>
        <v>1000000</v>
      </c>
      <c r="F269" s="880" t="s">
        <v>87</v>
      </c>
      <c r="G269" s="276"/>
      <c r="H269" s="534"/>
      <c r="I269" s="327"/>
      <c r="J269" s="18" t="s">
        <v>531</v>
      </c>
      <c r="K269" s="211" t="s">
        <v>83</v>
      </c>
      <c r="L269" s="547" t="s">
        <v>146</v>
      </c>
      <c r="M269" s="466"/>
      <c r="N269" s="276"/>
      <c r="O269" s="556"/>
      <c r="P269" s="799"/>
      <c r="Q269" s="276"/>
      <c r="R269" s="276"/>
      <c r="S269" s="276"/>
      <c r="T269" s="276"/>
      <c r="U269" s="276"/>
      <c r="V269" s="161"/>
      <c r="W269" s="161"/>
      <c r="X269" s="161"/>
      <c r="Y269" s="161"/>
      <c r="Z269" s="161"/>
    </row>
    <row r="270" spans="1:26" ht="24.95" customHeight="1">
      <c r="A270" s="276">
        <v>1</v>
      </c>
      <c r="B270" s="465" t="s">
        <v>684</v>
      </c>
      <c r="C270" s="276">
        <v>4</v>
      </c>
      <c r="D270" s="833">
        <v>250</v>
      </c>
      <c r="E270" s="812">
        <f t="shared" ref="E270:E311" si="17">D270*C270</f>
        <v>1000</v>
      </c>
      <c r="F270" s="276" t="s">
        <v>48</v>
      </c>
      <c r="G270" s="161"/>
      <c r="H270" s="302"/>
      <c r="I270" s="159"/>
      <c r="J270" s="11" t="s">
        <v>531</v>
      </c>
      <c r="K270" s="211" t="s">
        <v>83</v>
      </c>
      <c r="L270" s="547" t="s">
        <v>81</v>
      </c>
      <c r="M270" s="466">
        <v>800</v>
      </c>
      <c r="N270" s="276" t="s">
        <v>685</v>
      </c>
      <c r="O270" s="556" t="s">
        <v>117</v>
      </c>
      <c r="P270" s="799">
        <v>800</v>
      </c>
      <c r="Q270" s="276" t="s">
        <v>686</v>
      </c>
      <c r="R270" s="794">
        <v>45959</v>
      </c>
      <c r="S270" s="276" t="s">
        <v>119</v>
      </c>
      <c r="T270" s="833"/>
      <c r="U270" s="276"/>
      <c r="V270" s="161"/>
      <c r="W270" s="161"/>
      <c r="X270" s="161"/>
      <c r="Y270" s="161"/>
      <c r="Z270" s="161"/>
    </row>
    <row r="271" spans="1:26" ht="24.95" customHeight="1">
      <c r="A271" s="276">
        <v>2</v>
      </c>
      <c r="B271" s="465" t="s">
        <v>687</v>
      </c>
      <c r="C271" s="276">
        <v>5</v>
      </c>
      <c r="D271" s="833">
        <v>2000</v>
      </c>
      <c r="E271" s="812">
        <f t="shared" si="17"/>
        <v>10000</v>
      </c>
      <c r="F271" s="276" t="s">
        <v>48</v>
      </c>
      <c r="G271" s="161"/>
      <c r="H271" s="302"/>
      <c r="I271" s="159"/>
      <c r="J271" s="11" t="s">
        <v>531</v>
      </c>
      <c r="K271" s="211" t="s">
        <v>83</v>
      </c>
      <c r="L271" s="547" t="s">
        <v>81</v>
      </c>
      <c r="M271" s="466">
        <v>9865</v>
      </c>
      <c r="N271" s="276" t="s">
        <v>688</v>
      </c>
      <c r="O271" s="556" t="s">
        <v>117</v>
      </c>
      <c r="P271" s="799">
        <v>9865</v>
      </c>
      <c r="Q271" s="276" t="s">
        <v>689</v>
      </c>
      <c r="R271" s="794">
        <v>45955</v>
      </c>
      <c r="S271" s="276" t="s">
        <v>119</v>
      </c>
      <c r="T271" s="833"/>
      <c r="U271" s="276"/>
      <c r="V271" s="161"/>
      <c r="W271" s="161"/>
      <c r="X271" s="161"/>
      <c r="Y271" s="161"/>
      <c r="Z271" s="161"/>
    </row>
    <row r="272" spans="1:26" ht="24.95" customHeight="1">
      <c r="A272" s="276">
        <v>3</v>
      </c>
      <c r="B272" s="465" t="s">
        <v>690</v>
      </c>
      <c r="C272" s="276">
        <v>4</v>
      </c>
      <c r="D272" s="833">
        <v>2500</v>
      </c>
      <c r="E272" s="812">
        <f t="shared" si="17"/>
        <v>10000</v>
      </c>
      <c r="F272" s="276" t="s">
        <v>48</v>
      </c>
      <c r="G272" s="161"/>
      <c r="H272" s="302"/>
      <c r="I272" s="159"/>
      <c r="J272" s="11" t="s">
        <v>531</v>
      </c>
      <c r="K272" s="211" t="s">
        <v>83</v>
      </c>
      <c r="L272" s="547" t="s">
        <v>81</v>
      </c>
      <c r="M272" s="466">
        <v>8000</v>
      </c>
      <c r="N272" s="276" t="s">
        <v>691</v>
      </c>
      <c r="O272" s="556" t="s">
        <v>117</v>
      </c>
      <c r="P272" s="799">
        <v>8000</v>
      </c>
      <c r="Q272" s="276" t="s">
        <v>692</v>
      </c>
      <c r="R272" s="794">
        <v>45952</v>
      </c>
      <c r="S272" s="276" t="s">
        <v>119</v>
      </c>
      <c r="T272" s="833"/>
      <c r="U272" s="276"/>
      <c r="V272" s="161"/>
      <c r="W272" s="161"/>
      <c r="X272" s="161"/>
      <c r="Y272" s="161"/>
      <c r="Z272" s="161"/>
    </row>
    <row r="273" spans="1:26" ht="24.95" customHeight="1">
      <c r="A273" s="276">
        <v>4</v>
      </c>
      <c r="B273" s="465" t="s">
        <v>693</v>
      </c>
      <c r="C273" s="276">
        <v>2</v>
      </c>
      <c r="D273" s="833">
        <v>2500</v>
      </c>
      <c r="E273" s="492">
        <f t="shared" si="17"/>
        <v>5000</v>
      </c>
      <c r="F273" s="333" t="s">
        <v>48</v>
      </c>
      <c r="G273" s="161"/>
      <c r="H273" s="302"/>
      <c r="I273" s="159"/>
      <c r="J273" s="11" t="s">
        <v>531</v>
      </c>
      <c r="K273" s="211" t="s">
        <v>83</v>
      </c>
      <c r="L273" s="547" t="s">
        <v>81</v>
      </c>
      <c r="M273" s="466">
        <v>4197</v>
      </c>
      <c r="N273" s="327" t="s">
        <v>694</v>
      </c>
      <c r="O273" s="556" t="s">
        <v>117</v>
      </c>
      <c r="P273" s="799">
        <v>4197</v>
      </c>
      <c r="Q273" s="276" t="s">
        <v>695</v>
      </c>
      <c r="R273" s="794">
        <v>45945</v>
      </c>
      <c r="S273" s="276" t="s">
        <v>119</v>
      </c>
      <c r="T273" s="833"/>
      <c r="U273" s="276"/>
      <c r="V273" s="161"/>
      <c r="W273" s="161"/>
      <c r="X273" s="161"/>
      <c r="Y273" s="161"/>
      <c r="Z273" s="161"/>
    </row>
    <row r="274" spans="1:26" ht="24.95" hidden="1" customHeight="1">
      <c r="A274" s="837">
        <v>1</v>
      </c>
      <c r="B274" s="512" t="s">
        <v>696</v>
      </c>
      <c r="C274" s="513">
        <v>1</v>
      </c>
      <c r="D274" s="881">
        <v>739471</v>
      </c>
      <c r="E274" s="466">
        <f t="shared" si="17"/>
        <v>739471</v>
      </c>
      <c r="F274" s="556" t="s">
        <v>88</v>
      </c>
      <c r="G274" s="276"/>
      <c r="H274" s="534"/>
      <c r="I274" s="327"/>
      <c r="J274" s="18" t="s">
        <v>531</v>
      </c>
      <c r="K274" s="211" t="s">
        <v>83</v>
      </c>
      <c r="L274" s="547" t="s">
        <v>146</v>
      </c>
      <c r="M274" s="466"/>
      <c r="N274" s="276"/>
      <c r="O274" s="556"/>
      <c r="P274" s="799"/>
      <c r="Q274" s="276"/>
      <c r="R274" s="276"/>
      <c r="S274" s="276"/>
      <c r="T274" s="276"/>
      <c r="U274" s="276"/>
      <c r="V274" s="161"/>
      <c r="W274" s="161"/>
      <c r="X274" s="161"/>
      <c r="Y274" s="161"/>
      <c r="Z274" s="161"/>
    </row>
    <row r="275" spans="1:26" ht="24.95" hidden="1" customHeight="1">
      <c r="A275" s="882">
        <v>2</v>
      </c>
      <c r="B275" s="883" t="s">
        <v>697</v>
      </c>
      <c r="C275" s="884">
        <v>1</v>
      </c>
      <c r="D275" s="885">
        <v>825000</v>
      </c>
      <c r="E275" s="492">
        <f t="shared" si="17"/>
        <v>825000</v>
      </c>
      <c r="F275" s="862" t="s">
        <v>88</v>
      </c>
      <c r="G275" s="276"/>
      <c r="H275" s="534"/>
      <c r="I275" s="327"/>
      <c r="J275" s="12" t="s">
        <v>531</v>
      </c>
      <c r="K275" s="270" t="s">
        <v>83</v>
      </c>
      <c r="L275" s="790" t="s">
        <v>146</v>
      </c>
      <c r="M275" s="492"/>
      <c r="N275" s="333"/>
      <c r="O275" s="862"/>
      <c r="P275" s="799"/>
      <c r="Q275" s="276"/>
      <c r="R275" s="276"/>
      <c r="S275" s="276"/>
      <c r="T275" s="276"/>
      <c r="U275" s="276"/>
      <c r="V275" s="161"/>
      <c r="W275" s="161"/>
      <c r="X275" s="161"/>
      <c r="Y275" s="161"/>
      <c r="Z275" s="161"/>
    </row>
    <row r="276" spans="1:26" s="711" customFormat="1" ht="24.95" hidden="1" customHeight="1">
      <c r="A276" s="706">
        <v>3</v>
      </c>
      <c r="B276" s="707" t="s">
        <v>698</v>
      </c>
      <c r="C276" s="708">
        <v>1</v>
      </c>
      <c r="D276" s="615">
        <v>620000</v>
      </c>
      <c r="E276" s="710">
        <f t="shared" si="17"/>
        <v>620000</v>
      </c>
      <c r="F276" s="604" t="s">
        <v>88</v>
      </c>
      <c r="G276" s="703">
        <v>0</v>
      </c>
      <c r="H276" s="302"/>
      <c r="I276" s="159"/>
      <c r="J276" s="598" t="s">
        <v>531</v>
      </c>
      <c r="K276" s="609" t="s">
        <v>83</v>
      </c>
      <c r="L276" s="605" t="s">
        <v>304</v>
      </c>
      <c r="M276" s="709">
        <v>0</v>
      </c>
      <c r="N276" s="604" t="s">
        <v>699</v>
      </c>
      <c r="O276" s="604" t="s">
        <v>131</v>
      </c>
      <c r="P276" s="910">
        <v>0</v>
      </c>
      <c r="Q276" s="732" t="s">
        <v>119</v>
      </c>
      <c r="R276" s="732" t="s">
        <v>119</v>
      </c>
      <c r="S276" s="732" t="s">
        <v>119</v>
      </c>
      <c r="T276" s="703"/>
      <c r="U276" s="703"/>
      <c r="V276" s="703"/>
      <c r="W276" s="703"/>
      <c r="X276" s="703"/>
      <c r="Y276" s="703"/>
      <c r="Z276" s="703"/>
    </row>
    <row r="277" spans="1:26" ht="24.95" hidden="1" customHeight="1">
      <c r="A277" s="887">
        <v>4</v>
      </c>
      <c r="B277" s="888" t="s">
        <v>700</v>
      </c>
      <c r="C277" s="889">
        <v>1</v>
      </c>
      <c r="D277" s="872">
        <v>590000</v>
      </c>
      <c r="E277" s="872">
        <f t="shared" si="17"/>
        <v>590000</v>
      </c>
      <c r="F277" s="890" t="s">
        <v>88</v>
      </c>
      <c r="G277" s="276"/>
      <c r="H277" s="534"/>
      <c r="I277" s="327"/>
      <c r="J277" s="13" t="s">
        <v>531</v>
      </c>
      <c r="K277" s="555" t="s">
        <v>83</v>
      </c>
      <c r="L277" s="787" t="s">
        <v>146</v>
      </c>
      <c r="M277" s="789"/>
      <c r="N277" s="334"/>
      <c r="O277" s="890"/>
      <c r="P277" s="799"/>
      <c r="Q277" s="276"/>
      <c r="R277" s="276"/>
      <c r="S277" s="276"/>
      <c r="T277" s="276"/>
      <c r="U277" s="276"/>
      <c r="V277" s="161"/>
      <c r="W277" s="161"/>
      <c r="X277" s="161"/>
      <c r="Y277" s="161"/>
      <c r="Z277" s="161"/>
    </row>
    <row r="278" spans="1:26" ht="24.95" hidden="1" customHeight="1">
      <c r="A278" s="837">
        <v>5</v>
      </c>
      <c r="B278" s="512" t="s">
        <v>701</v>
      </c>
      <c r="C278" s="513">
        <v>1</v>
      </c>
      <c r="D278" s="361">
        <v>1311200</v>
      </c>
      <c r="E278" s="361">
        <f t="shared" si="17"/>
        <v>1311200</v>
      </c>
      <c r="F278" s="556" t="s">
        <v>88</v>
      </c>
      <c r="G278" s="276"/>
      <c r="H278" s="534"/>
      <c r="I278" s="327"/>
      <c r="J278" s="18" t="s">
        <v>531</v>
      </c>
      <c r="K278" s="211" t="s">
        <v>83</v>
      </c>
      <c r="L278" s="547" t="s">
        <v>146</v>
      </c>
      <c r="M278" s="466"/>
      <c r="N278" s="276"/>
      <c r="O278" s="556"/>
      <c r="P278" s="799"/>
      <c r="Q278" s="276"/>
      <c r="R278" s="276"/>
      <c r="S278" s="276"/>
      <c r="T278" s="276"/>
      <c r="U278" s="276"/>
      <c r="V278" s="161"/>
      <c r="W278" s="161"/>
      <c r="X278" s="161"/>
      <c r="Y278" s="161"/>
      <c r="Z278" s="161"/>
    </row>
    <row r="279" spans="1:26" ht="24.95" customHeight="1">
      <c r="A279" s="882">
        <v>6</v>
      </c>
      <c r="B279" s="883" t="s">
        <v>702</v>
      </c>
      <c r="C279" s="884">
        <v>1</v>
      </c>
      <c r="D279" s="361">
        <v>1705690</v>
      </c>
      <c r="E279" s="554">
        <f t="shared" si="17"/>
        <v>1705690</v>
      </c>
      <c r="F279" s="276" t="s">
        <v>88</v>
      </c>
      <c r="G279" s="161"/>
      <c r="H279" s="302"/>
      <c r="I279" s="159"/>
      <c r="J279" s="11" t="s">
        <v>531</v>
      </c>
      <c r="K279" s="211" t="s">
        <v>83</v>
      </c>
      <c r="L279" s="547" t="s">
        <v>81</v>
      </c>
      <c r="M279" s="553">
        <v>1698000</v>
      </c>
      <c r="N279" s="276" t="s">
        <v>569</v>
      </c>
      <c r="O279" s="556" t="s">
        <v>327</v>
      </c>
      <c r="P279" s="799">
        <v>1695000</v>
      </c>
      <c r="Q279" s="276" t="s">
        <v>703</v>
      </c>
      <c r="R279" s="794">
        <v>45726</v>
      </c>
      <c r="S279" s="977" t="s">
        <v>704</v>
      </c>
      <c r="T279" s="833">
        <v>84750</v>
      </c>
      <c r="U279" s="276"/>
      <c r="V279" s="161"/>
      <c r="W279" s="161"/>
      <c r="X279" s="161"/>
      <c r="Y279" s="161"/>
      <c r="Z279" s="161"/>
    </row>
    <row r="280" spans="1:26" ht="24.95" hidden="1" customHeight="1">
      <c r="A280" s="837">
        <v>7</v>
      </c>
      <c r="B280" s="512" t="s">
        <v>705</v>
      </c>
      <c r="C280" s="513">
        <v>1</v>
      </c>
      <c r="D280" s="803">
        <v>1400000</v>
      </c>
      <c r="E280" s="554">
        <f t="shared" si="17"/>
        <v>1400000</v>
      </c>
      <c r="F280" s="276" t="s">
        <v>88</v>
      </c>
      <c r="G280" s="161"/>
      <c r="H280" s="302"/>
      <c r="I280" s="159"/>
      <c r="J280" s="11" t="s">
        <v>531</v>
      </c>
      <c r="K280" s="211" t="s">
        <v>83</v>
      </c>
      <c r="L280" s="547" t="s">
        <v>514</v>
      </c>
      <c r="M280" s="466">
        <v>1109000</v>
      </c>
      <c r="N280" s="276" t="s">
        <v>699</v>
      </c>
      <c r="O280" s="556" t="s">
        <v>327</v>
      </c>
      <c r="P280" s="799">
        <v>0</v>
      </c>
      <c r="Q280" s="276" t="s">
        <v>119</v>
      </c>
      <c r="R280" s="276" t="s">
        <v>119</v>
      </c>
      <c r="S280" s="276" t="s">
        <v>132</v>
      </c>
      <c r="T280" s="276"/>
      <c r="U280" s="276"/>
      <c r="V280" s="161"/>
      <c r="W280" s="161"/>
      <c r="X280" s="161"/>
      <c r="Y280" s="161"/>
      <c r="Z280" s="161"/>
    </row>
    <row r="281" spans="1:26" ht="24.95" hidden="1" customHeight="1">
      <c r="A281" s="882">
        <v>8</v>
      </c>
      <c r="B281" s="891" t="s">
        <v>706</v>
      </c>
      <c r="C281" s="884">
        <v>1</v>
      </c>
      <c r="D281" s="892">
        <v>1100000</v>
      </c>
      <c r="E281" s="892">
        <f t="shared" si="17"/>
        <v>1100000</v>
      </c>
      <c r="F281" s="862" t="s">
        <v>88</v>
      </c>
      <c r="G281" s="276"/>
      <c r="H281" s="534"/>
      <c r="I281" s="327"/>
      <c r="J281" s="12" t="s">
        <v>531</v>
      </c>
      <c r="K281" s="270" t="s">
        <v>83</v>
      </c>
      <c r="L281" s="790" t="s">
        <v>146</v>
      </c>
      <c r="M281" s="492"/>
      <c r="N281" s="333"/>
      <c r="O281" s="862"/>
      <c r="P281" s="799"/>
      <c r="Q281" s="276"/>
      <c r="R281" s="276"/>
      <c r="S281" s="276"/>
      <c r="T281" s="276"/>
      <c r="U281" s="276"/>
      <c r="V281" s="161"/>
      <c r="W281" s="161"/>
      <c r="X281" s="161"/>
      <c r="Y281" s="161"/>
      <c r="Z281" s="161"/>
    </row>
    <row r="282" spans="1:26" ht="40.5" customHeight="1">
      <c r="A282" s="837">
        <v>9</v>
      </c>
      <c r="B282" s="499" t="s">
        <v>707</v>
      </c>
      <c r="C282" s="513">
        <v>5</v>
      </c>
      <c r="D282" s="325">
        <v>32500</v>
      </c>
      <c r="E282" s="489">
        <f t="shared" si="17"/>
        <v>162500</v>
      </c>
      <c r="F282" s="276" t="s">
        <v>88</v>
      </c>
      <c r="G282" s="161"/>
      <c r="H282" s="302"/>
      <c r="I282" s="159"/>
      <c r="J282" s="112" t="s">
        <v>531</v>
      </c>
      <c r="K282" s="211" t="s">
        <v>83</v>
      </c>
      <c r="L282" s="264" t="s">
        <v>81</v>
      </c>
      <c r="M282" s="489">
        <v>33000</v>
      </c>
      <c r="N282" s="276" t="s">
        <v>499</v>
      </c>
      <c r="O282" s="556" t="s">
        <v>131</v>
      </c>
      <c r="P282" s="799">
        <v>33000</v>
      </c>
      <c r="Q282" s="276" t="s">
        <v>708</v>
      </c>
      <c r="R282" s="794">
        <v>46095</v>
      </c>
      <c r="S282" s="795" t="s">
        <v>709</v>
      </c>
      <c r="T282" s="833">
        <v>1650</v>
      </c>
      <c r="U282" s="276" t="s">
        <v>710</v>
      </c>
      <c r="V282" s="161"/>
      <c r="W282" s="161"/>
      <c r="X282" s="161"/>
      <c r="Y282" s="161"/>
      <c r="Z282" s="161"/>
    </row>
    <row r="283" spans="1:26" ht="38.25" customHeight="1">
      <c r="A283" s="837">
        <v>10</v>
      </c>
      <c r="B283" s="499" t="s">
        <v>711</v>
      </c>
      <c r="C283" s="513">
        <v>5</v>
      </c>
      <c r="D283" s="325">
        <v>48500</v>
      </c>
      <c r="E283" s="489">
        <f t="shared" si="17"/>
        <v>242500</v>
      </c>
      <c r="F283" s="276" t="s">
        <v>88</v>
      </c>
      <c r="G283" s="161"/>
      <c r="H283" s="302"/>
      <c r="I283" s="159"/>
      <c r="J283" s="112" t="s">
        <v>531</v>
      </c>
      <c r="K283" s="211" t="s">
        <v>83</v>
      </c>
      <c r="L283" s="264" t="s">
        <v>81</v>
      </c>
      <c r="M283" s="489">
        <v>50500</v>
      </c>
      <c r="N283" s="276" t="s">
        <v>499</v>
      </c>
      <c r="O283" s="906" t="s">
        <v>380</v>
      </c>
      <c r="P283" s="799">
        <v>50500</v>
      </c>
      <c r="Q283" s="276" t="s">
        <v>712</v>
      </c>
      <c r="R283" s="794">
        <v>46095</v>
      </c>
      <c r="S283" s="795" t="s">
        <v>713</v>
      </c>
      <c r="T283" s="833">
        <v>2525</v>
      </c>
      <c r="U283" s="276" t="s">
        <v>710</v>
      </c>
      <c r="V283" s="161"/>
      <c r="W283" s="161"/>
      <c r="X283" s="161"/>
      <c r="Y283" s="161"/>
      <c r="Z283" s="161"/>
    </row>
    <row r="284" spans="1:26" ht="33" hidden="1" customHeight="1">
      <c r="A284" s="837">
        <v>11</v>
      </c>
      <c r="B284" s="499" t="s">
        <v>714</v>
      </c>
      <c r="C284" s="513">
        <v>7</v>
      </c>
      <c r="D284" s="325">
        <v>11500</v>
      </c>
      <c r="E284" s="489">
        <f t="shared" si="17"/>
        <v>80500</v>
      </c>
      <c r="F284" s="276" t="s">
        <v>88</v>
      </c>
      <c r="G284" s="161"/>
      <c r="H284" s="302"/>
      <c r="I284" s="159"/>
      <c r="J284" s="112" t="s">
        <v>531</v>
      </c>
      <c r="K284" s="211" t="s">
        <v>83</v>
      </c>
      <c r="L284" s="547" t="s">
        <v>514</v>
      </c>
      <c r="M284" s="489">
        <v>16560</v>
      </c>
      <c r="N284" s="334" t="s">
        <v>715</v>
      </c>
      <c r="O284" s="556" t="s">
        <v>131</v>
      </c>
      <c r="P284" s="799">
        <v>0</v>
      </c>
      <c r="Q284" s="276" t="s">
        <v>119</v>
      </c>
      <c r="R284" s="276" t="s">
        <v>119</v>
      </c>
      <c r="S284" s="276" t="s">
        <v>119</v>
      </c>
      <c r="T284" s="276"/>
      <c r="U284" s="276"/>
      <c r="V284" s="161"/>
      <c r="W284" s="161"/>
      <c r="X284" s="161"/>
      <c r="Y284" s="161"/>
      <c r="Z284" s="161"/>
    </row>
    <row r="285" spans="1:26" s="306" customFormat="1" ht="54.75" customHeight="1">
      <c r="A285" s="817">
        <v>30</v>
      </c>
      <c r="B285" s="838" t="s">
        <v>716</v>
      </c>
      <c r="C285" s="817">
        <v>1</v>
      </c>
      <c r="D285" s="872">
        <v>302000</v>
      </c>
      <c r="E285" s="778">
        <f t="shared" si="17"/>
        <v>302000</v>
      </c>
      <c r="F285" s="817" t="s">
        <v>52</v>
      </c>
      <c r="G285" s="821">
        <v>1</v>
      </c>
      <c r="H285" s="262" t="s">
        <v>114</v>
      </c>
      <c r="I285" s="288" t="s">
        <v>159</v>
      </c>
      <c r="J285" s="843" t="s">
        <v>531</v>
      </c>
      <c r="K285" s="843" t="s">
        <v>83</v>
      </c>
      <c r="L285" s="642" t="s">
        <v>81</v>
      </c>
      <c r="M285" s="553">
        <v>257240</v>
      </c>
      <c r="N285" s="843" t="s">
        <v>359</v>
      </c>
      <c r="O285" s="890" t="s">
        <v>253</v>
      </c>
      <c r="P285" s="799">
        <v>257240</v>
      </c>
      <c r="Q285" s="276" t="s">
        <v>717</v>
      </c>
      <c r="R285" s="828">
        <v>46067</v>
      </c>
      <c r="S285" s="807" t="s">
        <v>154</v>
      </c>
      <c r="T285" s="935"/>
      <c r="U285" s="463"/>
    </row>
    <row r="286" spans="1:26" ht="25.5">
      <c r="A286" s="276">
        <v>0</v>
      </c>
      <c r="B286" s="465" t="s">
        <v>718</v>
      </c>
      <c r="C286" s="276">
        <v>1</v>
      </c>
      <c r="D286" s="361">
        <v>28000</v>
      </c>
      <c r="E286" s="554">
        <f t="shared" si="17"/>
        <v>28000</v>
      </c>
      <c r="F286" s="327" t="s">
        <v>87</v>
      </c>
      <c r="G286" s="276"/>
      <c r="H286" s="534"/>
      <c r="I286" s="327"/>
      <c r="J286" s="276" t="s">
        <v>531</v>
      </c>
      <c r="K286" s="276" t="s">
        <v>83</v>
      </c>
      <c r="L286" s="547" t="s">
        <v>81</v>
      </c>
      <c r="M286" s="466">
        <v>23084</v>
      </c>
      <c r="N286" s="276" t="s">
        <v>719</v>
      </c>
      <c r="O286" s="556" t="s">
        <v>117</v>
      </c>
      <c r="P286" s="799">
        <v>23084</v>
      </c>
      <c r="Q286" s="276" t="s">
        <v>720</v>
      </c>
      <c r="R286" s="794">
        <v>45937</v>
      </c>
      <c r="S286" s="276" t="s">
        <v>119</v>
      </c>
      <c r="T286" s="833"/>
      <c r="U286" s="276"/>
      <c r="V286" s="161"/>
      <c r="W286" s="161"/>
      <c r="X286" s="161"/>
      <c r="Y286" s="161"/>
      <c r="Z286" s="161"/>
    </row>
    <row r="287" spans="1:26" s="920" customFormat="1" ht="24.95" hidden="1" customHeight="1">
      <c r="A287" s="839" t="s">
        <v>721</v>
      </c>
      <c r="B287" s="981" t="s">
        <v>722</v>
      </c>
      <c r="C287" s="840">
        <v>1</v>
      </c>
      <c r="D287" s="361">
        <v>520000</v>
      </c>
      <c r="E287" s="361">
        <f t="shared" si="17"/>
        <v>520000</v>
      </c>
      <c r="F287" s="511" t="s">
        <v>89</v>
      </c>
      <c r="G287" s="215">
        <v>0</v>
      </c>
      <c r="H287" s="262" t="s">
        <v>220</v>
      </c>
      <c r="I287" s="327"/>
      <c r="J287" s="276" t="s">
        <v>20</v>
      </c>
      <c r="K287" s="555" t="s">
        <v>83</v>
      </c>
      <c r="L287" s="787" t="s">
        <v>331</v>
      </c>
      <c r="M287" s="553">
        <v>570000</v>
      </c>
      <c r="N287" s="276" t="s">
        <v>723</v>
      </c>
      <c r="O287" s="556" t="s">
        <v>327</v>
      </c>
      <c r="P287" s="799">
        <v>0</v>
      </c>
      <c r="Q287" s="276" t="s">
        <v>119</v>
      </c>
      <c r="R287" s="276" t="s">
        <v>119</v>
      </c>
      <c r="S287" s="276" t="s">
        <v>119</v>
      </c>
      <c r="T287" s="276"/>
      <c r="U287" s="276"/>
      <c r="V287" s="161"/>
      <c r="W287" s="161"/>
      <c r="X287" s="161"/>
      <c r="Y287" s="161"/>
      <c r="Z287" s="161"/>
    </row>
    <row r="288" spans="1:26" ht="24.95" customHeight="1">
      <c r="A288" s="841" t="s">
        <v>721</v>
      </c>
      <c r="B288" s="842" t="s">
        <v>724</v>
      </c>
      <c r="C288" s="263">
        <v>1</v>
      </c>
      <c r="D288" s="361">
        <v>100000</v>
      </c>
      <c r="E288" s="361">
        <f t="shared" si="17"/>
        <v>100000</v>
      </c>
      <c r="F288" s="215" t="s">
        <v>89</v>
      </c>
      <c r="G288" s="215">
        <v>0</v>
      </c>
      <c r="H288" s="262" t="s">
        <v>220</v>
      </c>
      <c r="I288" s="327"/>
      <c r="J288" s="276" t="s">
        <v>20</v>
      </c>
      <c r="K288" s="211" t="s">
        <v>83</v>
      </c>
      <c r="L288" s="547" t="s">
        <v>81</v>
      </c>
      <c r="M288" s="488">
        <v>95480</v>
      </c>
      <c r="N288" s="276" t="s">
        <v>550</v>
      </c>
      <c r="O288" s="906" t="s">
        <v>380</v>
      </c>
      <c r="P288" s="799">
        <v>95480</v>
      </c>
      <c r="Q288" s="276" t="s">
        <v>725</v>
      </c>
      <c r="R288" s="794">
        <v>46104</v>
      </c>
      <c r="S288" s="276" t="s">
        <v>154</v>
      </c>
      <c r="T288" s="833"/>
      <c r="U288" s="276"/>
      <c r="V288" s="161"/>
      <c r="W288" s="161"/>
      <c r="X288" s="161"/>
      <c r="Y288" s="161"/>
      <c r="Z288" s="161"/>
    </row>
    <row r="289" spans="1:26" ht="24.95" hidden="1" customHeight="1">
      <c r="A289" s="841" t="s">
        <v>721</v>
      </c>
      <c r="B289" s="842" t="s">
        <v>726</v>
      </c>
      <c r="C289" s="263">
        <v>1</v>
      </c>
      <c r="D289" s="361">
        <v>680000</v>
      </c>
      <c r="E289" s="361">
        <f t="shared" si="17"/>
        <v>680000</v>
      </c>
      <c r="F289" s="215" t="s">
        <v>89</v>
      </c>
      <c r="G289" s="215">
        <v>0</v>
      </c>
      <c r="H289" s="262" t="s">
        <v>220</v>
      </c>
      <c r="I289" s="327"/>
      <c r="J289" s="276" t="s">
        <v>20</v>
      </c>
      <c r="K289" s="211" t="s">
        <v>83</v>
      </c>
      <c r="L289" s="547" t="s">
        <v>146</v>
      </c>
      <c r="M289" s="466"/>
      <c r="N289" s="334"/>
      <c r="O289" s="556"/>
      <c r="P289" s="799"/>
      <c r="Q289" s="276"/>
      <c r="R289" s="276"/>
      <c r="S289" s="276"/>
      <c r="T289" s="276"/>
      <c r="U289" s="276"/>
      <c r="V289" s="161"/>
      <c r="W289" s="161"/>
      <c r="X289" s="161"/>
      <c r="Y289" s="161"/>
      <c r="Z289" s="161"/>
    </row>
    <row r="290" spans="1:26" ht="24.95" hidden="1" customHeight="1">
      <c r="A290" s="841" t="s">
        <v>721</v>
      </c>
      <c r="B290" s="842" t="s">
        <v>727</v>
      </c>
      <c r="C290" s="263">
        <v>1</v>
      </c>
      <c r="D290" s="361">
        <v>215000</v>
      </c>
      <c r="E290" s="361">
        <f t="shared" si="17"/>
        <v>215000</v>
      </c>
      <c r="F290" s="215" t="s">
        <v>89</v>
      </c>
      <c r="G290" s="215">
        <v>0</v>
      </c>
      <c r="H290" s="262" t="s">
        <v>220</v>
      </c>
      <c r="I290" s="327"/>
      <c r="J290" s="276" t="s">
        <v>20</v>
      </c>
      <c r="K290" s="211" t="s">
        <v>83</v>
      </c>
      <c r="L290" s="547" t="s">
        <v>146</v>
      </c>
      <c r="M290" s="799"/>
      <c r="N290" s="276"/>
      <c r="O290" s="556"/>
      <c r="P290" s="799"/>
      <c r="Q290" s="276"/>
      <c r="R290" s="276"/>
      <c r="S290" s="276"/>
      <c r="T290" s="276"/>
      <c r="U290" s="276"/>
      <c r="V290" s="161"/>
      <c r="W290" s="161"/>
      <c r="X290" s="161"/>
      <c r="Y290" s="161"/>
      <c r="Z290" s="161"/>
    </row>
    <row r="291" spans="1:26" ht="24.95" hidden="1" customHeight="1">
      <c r="A291" s="841" t="s">
        <v>721</v>
      </c>
      <c r="B291" s="842" t="s">
        <v>728</v>
      </c>
      <c r="C291" s="263">
        <v>1</v>
      </c>
      <c r="D291" s="361">
        <v>248000</v>
      </c>
      <c r="E291" s="361">
        <f t="shared" si="17"/>
        <v>248000</v>
      </c>
      <c r="F291" s="215" t="s">
        <v>89</v>
      </c>
      <c r="G291" s="215">
        <v>0</v>
      </c>
      <c r="H291" s="262" t="s">
        <v>220</v>
      </c>
      <c r="I291" s="327"/>
      <c r="J291" s="276" t="s">
        <v>20</v>
      </c>
      <c r="K291" s="211" t="s">
        <v>83</v>
      </c>
      <c r="L291" s="547" t="s">
        <v>146</v>
      </c>
      <c r="M291" s="466"/>
      <c r="N291" s="276"/>
      <c r="O291" s="556"/>
      <c r="P291" s="799"/>
      <c r="Q291" s="276"/>
      <c r="R291" s="276"/>
      <c r="S291" s="276"/>
      <c r="T291" s="276"/>
      <c r="U291" s="276"/>
      <c r="V291" s="161"/>
      <c r="W291" s="161"/>
      <c r="X291" s="161"/>
      <c r="Y291" s="161"/>
      <c r="Z291" s="161"/>
    </row>
    <row r="292" spans="1:26" ht="24.95" hidden="1" customHeight="1">
      <c r="A292" s="841" t="s">
        <v>721</v>
      </c>
      <c r="B292" s="842" t="s">
        <v>729</v>
      </c>
      <c r="C292" s="263">
        <v>1</v>
      </c>
      <c r="D292" s="361">
        <v>250000</v>
      </c>
      <c r="E292" s="361">
        <f t="shared" si="17"/>
        <v>250000</v>
      </c>
      <c r="F292" s="215" t="s">
        <v>89</v>
      </c>
      <c r="G292" s="215">
        <v>0</v>
      </c>
      <c r="H292" s="262" t="s">
        <v>220</v>
      </c>
      <c r="I292" s="327"/>
      <c r="J292" s="276" t="s">
        <v>20</v>
      </c>
      <c r="K292" s="211" t="s">
        <v>83</v>
      </c>
      <c r="L292" s="547" t="s">
        <v>146</v>
      </c>
      <c r="M292" s="466"/>
      <c r="N292" s="276"/>
      <c r="O292" s="556"/>
      <c r="P292" s="799"/>
      <c r="Q292" s="276"/>
      <c r="R292" s="276"/>
      <c r="S292" s="276"/>
      <c r="T292" s="276"/>
      <c r="U292" s="276"/>
      <c r="V292" s="161"/>
      <c r="W292" s="161"/>
      <c r="X292" s="161"/>
      <c r="Y292" s="161"/>
      <c r="Z292" s="161"/>
    </row>
    <row r="293" spans="1:26" ht="24.95" hidden="1" customHeight="1">
      <c r="A293" s="841" t="s">
        <v>721</v>
      </c>
      <c r="B293" s="842" t="s">
        <v>730</v>
      </c>
      <c r="C293" s="263">
        <v>1</v>
      </c>
      <c r="D293" s="361">
        <v>500000</v>
      </c>
      <c r="E293" s="361">
        <f t="shared" si="17"/>
        <v>500000</v>
      </c>
      <c r="F293" s="215" t="s">
        <v>89</v>
      </c>
      <c r="G293" s="215">
        <v>0</v>
      </c>
      <c r="H293" s="262" t="s">
        <v>220</v>
      </c>
      <c r="I293" s="327"/>
      <c r="J293" s="276" t="s">
        <v>20</v>
      </c>
      <c r="K293" s="211" t="s">
        <v>83</v>
      </c>
      <c r="L293" s="547" t="s">
        <v>146</v>
      </c>
      <c r="M293" s="466"/>
      <c r="N293" s="276"/>
      <c r="O293" s="556"/>
      <c r="P293" s="799"/>
      <c r="Q293" s="276"/>
      <c r="R293" s="276"/>
      <c r="S293" s="276"/>
      <c r="T293" s="276"/>
      <c r="U293" s="276"/>
      <c r="V293" s="161"/>
      <c r="W293" s="161"/>
      <c r="X293" s="161"/>
      <c r="Y293" s="161"/>
      <c r="Z293" s="161"/>
    </row>
    <row r="294" spans="1:26" ht="24.95" customHeight="1">
      <c r="A294" s="841" t="s">
        <v>721</v>
      </c>
      <c r="B294" s="842" t="s">
        <v>731</v>
      </c>
      <c r="C294" s="263">
        <v>1</v>
      </c>
      <c r="D294" s="361">
        <v>285000</v>
      </c>
      <c r="E294" s="361">
        <f t="shared" si="17"/>
        <v>285000</v>
      </c>
      <c r="F294" s="215" t="s">
        <v>89</v>
      </c>
      <c r="G294" s="215">
        <v>0</v>
      </c>
      <c r="H294" s="262" t="s">
        <v>220</v>
      </c>
      <c r="I294" s="327"/>
      <c r="J294" s="276" t="s">
        <v>20</v>
      </c>
      <c r="K294" s="211" t="s">
        <v>83</v>
      </c>
      <c r="L294" s="547" t="s">
        <v>81</v>
      </c>
      <c r="M294" s="488">
        <v>297505</v>
      </c>
      <c r="N294" s="276" t="s">
        <v>550</v>
      </c>
      <c r="O294" s="906" t="s">
        <v>380</v>
      </c>
      <c r="P294" s="799">
        <v>297505</v>
      </c>
      <c r="Q294" s="276" t="s">
        <v>732</v>
      </c>
      <c r="R294" s="794">
        <v>46105</v>
      </c>
      <c r="S294" s="276" t="s">
        <v>154</v>
      </c>
      <c r="T294" s="833"/>
      <c r="U294" s="276"/>
      <c r="V294" s="161"/>
      <c r="W294" s="161"/>
      <c r="X294" s="161"/>
      <c r="Y294" s="161"/>
      <c r="Z294" s="161"/>
    </row>
    <row r="295" spans="1:26" s="920" customFormat="1" ht="24.95" hidden="1" customHeight="1">
      <c r="A295" s="841" t="s">
        <v>721</v>
      </c>
      <c r="B295" s="982" t="s">
        <v>733</v>
      </c>
      <c r="C295" s="263">
        <v>1</v>
      </c>
      <c r="D295" s="361">
        <v>1250000</v>
      </c>
      <c r="E295" s="361">
        <f t="shared" si="17"/>
        <v>1250000</v>
      </c>
      <c r="F295" s="215" t="s">
        <v>89</v>
      </c>
      <c r="G295" s="215">
        <v>0</v>
      </c>
      <c r="H295" s="262" t="s">
        <v>220</v>
      </c>
      <c r="I295" s="327"/>
      <c r="J295" s="276" t="s">
        <v>20</v>
      </c>
      <c r="K295" s="211" t="s">
        <v>83</v>
      </c>
      <c r="L295" s="547" t="s">
        <v>331</v>
      </c>
      <c r="M295" s="553">
        <v>1330000</v>
      </c>
      <c r="N295" s="334" t="s">
        <v>723</v>
      </c>
      <c r="O295" s="556" t="s">
        <v>327</v>
      </c>
      <c r="P295" s="799">
        <v>0</v>
      </c>
      <c r="Q295" s="276" t="s">
        <v>119</v>
      </c>
      <c r="R295" s="276" t="s">
        <v>119</v>
      </c>
      <c r="S295" s="276" t="s">
        <v>119</v>
      </c>
      <c r="T295" s="276"/>
      <c r="U295" s="276"/>
      <c r="V295" s="161"/>
      <c r="W295" s="161"/>
      <c r="X295" s="161"/>
      <c r="Y295" s="161"/>
      <c r="Z295" s="161"/>
    </row>
    <row r="296" spans="1:26" ht="24.95" hidden="1" customHeight="1">
      <c r="A296" s="841" t="s">
        <v>721</v>
      </c>
      <c r="B296" s="842" t="s">
        <v>734</v>
      </c>
      <c r="C296" s="263">
        <v>1</v>
      </c>
      <c r="D296" s="361">
        <v>125000</v>
      </c>
      <c r="E296" s="361">
        <f t="shared" si="17"/>
        <v>125000</v>
      </c>
      <c r="F296" s="215" t="s">
        <v>89</v>
      </c>
      <c r="G296" s="215">
        <v>0</v>
      </c>
      <c r="H296" s="262" t="s">
        <v>220</v>
      </c>
      <c r="I296" s="327"/>
      <c r="J296" s="276" t="s">
        <v>20</v>
      </c>
      <c r="K296" s="211" t="s">
        <v>83</v>
      </c>
      <c r="L296" s="547" t="s">
        <v>146</v>
      </c>
      <c r="M296" s="466"/>
      <c r="N296" s="276"/>
      <c r="O296" s="556"/>
      <c r="P296" s="799"/>
      <c r="Q296" s="276"/>
      <c r="R296" s="276"/>
      <c r="S296" s="276"/>
      <c r="T296" s="276"/>
      <c r="U296" s="276"/>
      <c r="V296" s="161"/>
      <c r="W296" s="161"/>
      <c r="X296" s="161"/>
      <c r="Y296" s="161"/>
      <c r="Z296" s="161"/>
    </row>
    <row r="297" spans="1:26" ht="24.95" hidden="1" customHeight="1">
      <c r="A297" s="841" t="s">
        <v>721</v>
      </c>
      <c r="B297" s="842" t="s">
        <v>735</v>
      </c>
      <c r="C297" s="263">
        <v>1</v>
      </c>
      <c r="D297" s="361">
        <v>100000</v>
      </c>
      <c r="E297" s="361">
        <f t="shared" si="17"/>
        <v>100000</v>
      </c>
      <c r="F297" s="215" t="s">
        <v>89</v>
      </c>
      <c r="G297" s="215">
        <v>0</v>
      </c>
      <c r="H297" s="262" t="s">
        <v>220</v>
      </c>
      <c r="I297" s="327"/>
      <c r="J297" s="276" t="s">
        <v>20</v>
      </c>
      <c r="K297" s="211" t="s">
        <v>83</v>
      </c>
      <c r="L297" s="547" t="s">
        <v>146</v>
      </c>
      <c r="M297" s="466"/>
      <c r="N297" s="276"/>
      <c r="O297" s="556"/>
      <c r="P297" s="799"/>
      <c r="Q297" s="276"/>
      <c r="R297" s="276"/>
      <c r="S297" s="276"/>
      <c r="T297" s="276"/>
      <c r="U297" s="276"/>
      <c r="V297" s="161"/>
      <c r="W297" s="161"/>
      <c r="X297" s="161"/>
      <c r="Y297" s="161"/>
      <c r="Z297" s="161"/>
    </row>
    <row r="298" spans="1:26" ht="24.95" customHeight="1">
      <c r="A298" s="841" t="s">
        <v>721</v>
      </c>
      <c r="B298" s="842" t="s">
        <v>736</v>
      </c>
      <c r="C298" s="263">
        <v>1</v>
      </c>
      <c r="D298" s="361">
        <v>350000</v>
      </c>
      <c r="E298" s="361">
        <f t="shared" si="17"/>
        <v>350000</v>
      </c>
      <c r="F298" s="215" t="s">
        <v>89</v>
      </c>
      <c r="G298" s="215">
        <v>0</v>
      </c>
      <c r="H298" s="262" t="s">
        <v>220</v>
      </c>
      <c r="I298" s="327"/>
      <c r="J298" s="276" t="s">
        <v>20</v>
      </c>
      <c r="K298" s="211" t="s">
        <v>83</v>
      </c>
      <c r="L298" s="547" t="s">
        <v>81</v>
      </c>
      <c r="M298" s="791">
        <v>280000</v>
      </c>
      <c r="N298" s="276" t="s">
        <v>550</v>
      </c>
      <c r="O298" s="906" t="s">
        <v>380</v>
      </c>
      <c r="P298" s="799">
        <v>280000</v>
      </c>
      <c r="Q298" s="276" t="s">
        <v>732</v>
      </c>
      <c r="R298" s="794">
        <v>46105</v>
      </c>
      <c r="S298" s="276" t="s">
        <v>154</v>
      </c>
      <c r="T298" s="833"/>
      <c r="U298" s="276"/>
      <c r="V298" s="161"/>
      <c r="W298" s="161"/>
      <c r="X298" s="161"/>
      <c r="Y298" s="161"/>
      <c r="Z298" s="161"/>
    </row>
    <row r="299" spans="1:26" ht="24.95" hidden="1" customHeight="1">
      <c r="A299" s="841" t="s">
        <v>721</v>
      </c>
      <c r="B299" s="842" t="s">
        <v>737</v>
      </c>
      <c r="C299" s="263">
        <v>1</v>
      </c>
      <c r="D299" s="361">
        <v>90000</v>
      </c>
      <c r="E299" s="361">
        <f t="shared" si="17"/>
        <v>90000</v>
      </c>
      <c r="F299" s="215" t="s">
        <v>89</v>
      </c>
      <c r="G299" s="215">
        <v>0</v>
      </c>
      <c r="H299" s="262" t="s">
        <v>220</v>
      </c>
      <c r="I299" s="327"/>
      <c r="J299" s="276" t="s">
        <v>20</v>
      </c>
      <c r="K299" s="211" t="s">
        <v>83</v>
      </c>
      <c r="L299" s="547" t="s">
        <v>146</v>
      </c>
      <c r="M299" s="466"/>
      <c r="N299" s="334"/>
      <c r="O299" s="556"/>
      <c r="P299" s="799"/>
      <c r="Q299" s="276"/>
      <c r="R299" s="276"/>
      <c r="S299" s="276"/>
      <c r="T299" s="276"/>
      <c r="U299" s="276"/>
      <c r="V299" s="161"/>
      <c r="W299" s="161"/>
      <c r="X299" s="161"/>
      <c r="Y299" s="161"/>
      <c r="Z299" s="161"/>
    </row>
    <row r="300" spans="1:26" ht="24.95" hidden="1" customHeight="1">
      <c r="A300" s="841" t="s">
        <v>721</v>
      </c>
      <c r="B300" s="842" t="s">
        <v>738</v>
      </c>
      <c r="C300" s="263">
        <v>1</v>
      </c>
      <c r="D300" s="361">
        <v>180000</v>
      </c>
      <c r="E300" s="361">
        <f t="shared" si="17"/>
        <v>180000</v>
      </c>
      <c r="F300" s="215" t="s">
        <v>89</v>
      </c>
      <c r="G300" s="215">
        <v>0</v>
      </c>
      <c r="H300" s="262" t="s">
        <v>220</v>
      </c>
      <c r="I300" s="327"/>
      <c r="J300" s="276" t="s">
        <v>20</v>
      </c>
      <c r="K300" s="211" t="s">
        <v>83</v>
      </c>
      <c r="L300" s="547" t="s">
        <v>146</v>
      </c>
      <c r="M300" s="466"/>
      <c r="N300" s="276"/>
      <c r="O300" s="556"/>
      <c r="P300" s="799"/>
      <c r="Q300" s="276"/>
      <c r="R300" s="276"/>
      <c r="S300" s="276"/>
      <c r="T300" s="276"/>
      <c r="U300" s="276"/>
      <c r="V300" s="161"/>
      <c r="W300" s="161"/>
      <c r="X300" s="161"/>
      <c r="Y300" s="161"/>
      <c r="Z300" s="161"/>
    </row>
    <row r="301" spans="1:26" ht="24.95" hidden="1" customHeight="1">
      <c r="A301" s="841" t="s">
        <v>721</v>
      </c>
      <c r="B301" s="842" t="s">
        <v>739</v>
      </c>
      <c r="C301" s="263">
        <v>1</v>
      </c>
      <c r="D301" s="361">
        <v>140000</v>
      </c>
      <c r="E301" s="361">
        <f t="shared" si="17"/>
        <v>140000</v>
      </c>
      <c r="F301" s="215" t="s">
        <v>89</v>
      </c>
      <c r="G301" s="215">
        <v>0</v>
      </c>
      <c r="H301" s="262" t="s">
        <v>220</v>
      </c>
      <c r="I301" s="327"/>
      <c r="J301" s="276" t="s">
        <v>20</v>
      </c>
      <c r="K301" s="211" t="s">
        <v>83</v>
      </c>
      <c r="L301" s="547" t="s">
        <v>146</v>
      </c>
      <c r="M301" s="466"/>
      <c r="N301" s="276"/>
      <c r="O301" s="556"/>
      <c r="P301" s="799"/>
      <c r="Q301" s="276"/>
      <c r="R301" s="276"/>
      <c r="S301" s="276"/>
      <c r="T301" s="276"/>
      <c r="U301" s="276"/>
      <c r="V301" s="161"/>
      <c r="W301" s="161"/>
      <c r="X301" s="161"/>
      <c r="Y301" s="161"/>
      <c r="Z301" s="161"/>
    </row>
    <row r="302" spans="1:26" ht="24.95" hidden="1" customHeight="1">
      <c r="A302" s="841" t="s">
        <v>721</v>
      </c>
      <c r="B302" s="842" t="s">
        <v>740</v>
      </c>
      <c r="C302" s="263">
        <v>1</v>
      </c>
      <c r="D302" s="361">
        <v>1500000</v>
      </c>
      <c r="E302" s="361">
        <f t="shared" si="17"/>
        <v>1500000</v>
      </c>
      <c r="F302" s="215" t="s">
        <v>89</v>
      </c>
      <c r="G302" s="215">
        <v>0</v>
      </c>
      <c r="H302" s="262" t="s">
        <v>220</v>
      </c>
      <c r="I302" s="327"/>
      <c r="J302" s="276" t="s">
        <v>20</v>
      </c>
      <c r="K302" s="211" t="s">
        <v>83</v>
      </c>
      <c r="L302" s="547" t="s">
        <v>146</v>
      </c>
      <c r="M302" s="466"/>
      <c r="N302" s="276"/>
      <c r="O302" s="556"/>
      <c r="P302" s="799"/>
      <c r="Q302" s="276"/>
      <c r="R302" s="276"/>
      <c r="S302" s="276"/>
      <c r="T302" s="276"/>
      <c r="U302" s="276"/>
      <c r="V302" s="161"/>
      <c r="W302" s="161"/>
      <c r="X302" s="161"/>
      <c r="Y302" s="161"/>
      <c r="Z302" s="161"/>
    </row>
    <row r="303" spans="1:26" ht="14.25" hidden="1">
      <c r="A303" s="9">
        <v>171</v>
      </c>
      <c r="B303" s="893" t="s">
        <v>741</v>
      </c>
      <c r="C303" s="12">
        <v>1</v>
      </c>
      <c r="D303" s="361">
        <v>120000</v>
      </c>
      <c r="E303" s="361">
        <f t="shared" si="17"/>
        <v>120000</v>
      </c>
      <c r="F303" s="894" t="s">
        <v>49</v>
      </c>
      <c r="G303" s="276"/>
      <c r="H303" s="534"/>
      <c r="I303" s="327"/>
      <c r="J303" s="276" t="s">
        <v>20</v>
      </c>
      <c r="K303" s="577" t="s">
        <v>83</v>
      </c>
      <c r="L303" s="547" t="s">
        <v>146</v>
      </c>
      <c r="M303" s="466"/>
      <c r="N303" s="276"/>
      <c r="O303" s="556"/>
      <c r="P303" s="799"/>
      <c r="Q303" s="276"/>
      <c r="R303" s="276"/>
      <c r="S303" s="276"/>
      <c r="T303" s="276"/>
      <c r="U303" s="276"/>
      <c r="V303" s="161"/>
      <c r="W303" s="161"/>
      <c r="X303" s="161"/>
      <c r="Y303" s="161"/>
      <c r="Z303" s="161"/>
    </row>
    <row r="304" spans="1:26" ht="14.25" hidden="1">
      <c r="A304" s="9">
        <v>172</v>
      </c>
      <c r="B304" s="10" t="s">
        <v>742</v>
      </c>
      <c r="C304" s="11">
        <v>1</v>
      </c>
      <c r="D304" s="361">
        <v>370000</v>
      </c>
      <c r="E304" s="361">
        <f t="shared" si="17"/>
        <v>370000</v>
      </c>
      <c r="F304" s="475" t="s">
        <v>49</v>
      </c>
      <c r="G304" s="276"/>
      <c r="H304" s="534"/>
      <c r="I304" s="327"/>
      <c r="J304" s="276" t="s">
        <v>20</v>
      </c>
      <c r="K304" s="577" t="s">
        <v>83</v>
      </c>
      <c r="L304" s="547" t="s">
        <v>146</v>
      </c>
      <c r="M304" s="466"/>
      <c r="N304" s="276"/>
      <c r="O304" s="556"/>
      <c r="P304" s="799"/>
      <c r="Q304" s="276"/>
      <c r="R304" s="276"/>
      <c r="S304" s="276"/>
      <c r="T304" s="276"/>
      <c r="U304" s="276"/>
      <c r="V304" s="161"/>
      <c r="W304" s="161"/>
      <c r="X304" s="161"/>
      <c r="Y304" s="161"/>
      <c r="Z304" s="161"/>
    </row>
    <row r="305" spans="1:26" ht="14.25" hidden="1">
      <c r="A305" s="9">
        <v>176</v>
      </c>
      <c r="B305" s="893" t="s">
        <v>743</v>
      </c>
      <c r="C305" s="11">
        <v>1</v>
      </c>
      <c r="D305" s="361">
        <v>130000</v>
      </c>
      <c r="E305" s="361">
        <f t="shared" si="17"/>
        <v>130000</v>
      </c>
      <c r="F305" s="475" t="s">
        <v>49</v>
      </c>
      <c r="G305" s="276"/>
      <c r="H305" s="534"/>
      <c r="I305" s="327"/>
      <c r="J305" s="276" t="s">
        <v>20</v>
      </c>
      <c r="K305" s="577" t="s">
        <v>83</v>
      </c>
      <c r="L305" s="547" t="s">
        <v>146</v>
      </c>
      <c r="M305" s="466"/>
      <c r="N305" s="276"/>
      <c r="O305" s="556"/>
      <c r="P305" s="799"/>
      <c r="Q305" s="276"/>
      <c r="R305" s="276"/>
      <c r="S305" s="276"/>
      <c r="T305" s="276"/>
      <c r="U305" s="276"/>
      <c r="V305" s="161"/>
      <c r="W305" s="161"/>
      <c r="X305" s="161"/>
      <c r="Y305" s="161"/>
      <c r="Z305" s="161"/>
    </row>
    <row r="306" spans="1:26" ht="14.25" hidden="1">
      <c r="A306" s="9">
        <v>177</v>
      </c>
      <c r="B306" s="893" t="s">
        <v>744</v>
      </c>
      <c r="C306" s="11">
        <v>1</v>
      </c>
      <c r="D306" s="361">
        <v>1500000</v>
      </c>
      <c r="E306" s="361">
        <f t="shared" si="17"/>
        <v>1500000</v>
      </c>
      <c r="F306" s="475" t="s">
        <v>49</v>
      </c>
      <c r="G306" s="276"/>
      <c r="H306" s="534"/>
      <c r="I306" s="327"/>
      <c r="J306" s="276" t="s">
        <v>20</v>
      </c>
      <c r="K306" s="577" t="s">
        <v>83</v>
      </c>
      <c r="L306" s="547" t="s">
        <v>146</v>
      </c>
      <c r="M306" s="466"/>
      <c r="N306" s="276"/>
      <c r="O306" s="556"/>
      <c r="P306" s="799"/>
      <c r="Q306" s="276"/>
      <c r="R306" s="276"/>
      <c r="S306" s="276"/>
      <c r="T306" s="276"/>
      <c r="U306" s="276"/>
      <c r="V306" s="161"/>
      <c r="W306" s="161"/>
      <c r="X306" s="161"/>
      <c r="Y306" s="161"/>
      <c r="Z306" s="161"/>
    </row>
    <row r="307" spans="1:26" ht="14.25" hidden="1">
      <c r="A307" s="9">
        <v>180</v>
      </c>
      <c r="B307" s="893" t="s">
        <v>745</v>
      </c>
      <c r="C307" s="11">
        <v>1</v>
      </c>
      <c r="D307" s="361">
        <v>380000</v>
      </c>
      <c r="E307" s="361">
        <f t="shared" si="17"/>
        <v>380000</v>
      </c>
      <c r="F307" s="475" t="s">
        <v>49</v>
      </c>
      <c r="G307" s="276"/>
      <c r="H307" s="534"/>
      <c r="I307" s="327"/>
      <c r="J307" s="276" t="s">
        <v>20</v>
      </c>
      <c r="K307" s="577" t="s">
        <v>83</v>
      </c>
      <c r="L307" s="547" t="s">
        <v>146</v>
      </c>
      <c r="M307" s="466"/>
      <c r="N307" s="276"/>
      <c r="O307" s="556"/>
      <c r="P307" s="799"/>
      <c r="Q307" s="276"/>
      <c r="R307" s="276"/>
      <c r="S307" s="276"/>
      <c r="T307" s="276"/>
      <c r="U307" s="276"/>
      <c r="V307" s="161"/>
      <c r="W307" s="161"/>
      <c r="X307" s="161"/>
      <c r="Y307" s="161"/>
      <c r="Z307" s="161"/>
    </row>
    <row r="308" spans="1:26" ht="28.5" hidden="1">
      <c r="A308" s="9">
        <v>282</v>
      </c>
      <c r="B308" s="10" t="s">
        <v>746</v>
      </c>
      <c r="C308" s="18">
        <v>1</v>
      </c>
      <c r="D308" s="361">
        <v>1000000</v>
      </c>
      <c r="E308" s="361">
        <f t="shared" si="17"/>
        <v>1000000</v>
      </c>
      <c r="F308" s="831" t="s">
        <v>49</v>
      </c>
      <c r="G308" s="276"/>
      <c r="H308" s="534"/>
      <c r="I308" s="327"/>
      <c r="J308" s="276" t="s">
        <v>20</v>
      </c>
      <c r="K308" s="577" t="s">
        <v>83</v>
      </c>
      <c r="L308" s="547" t="s">
        <v>146</v>
      </c>
      <c r="M308" s="466"/>
      <c r="N308" s="276"/>
      <c r="O308" s="556"/>
      <c r="P308" s="799"/>
      <c r="Q308" s="276"/>
      <c r="R308" s="276"/>
      <c r="S308" s="276"/>
      <c r="T308" s="276"/>
      <c r="U308" s="276"/>
      <c r="V308" s="161"/>
      <c r="W308" s="161"/>
      <c r="X308" s="161"/>
      <c r="Y308" s="161"/>
      <c r="Z308" s="161"/>
    </row>
    <row r="309" spans="1:26" ht="14.25" hidden="1">
      <c r="A309" s="9">
        <v>284</v>
      </c>
      <c r="B309" s="893" t="s">
        <v>747</v>
      </c>
      <c r="C309" s="13">
        <v>1</v>
      </c>
      <c r="D309" s="361">
        <v>1000000</v>
      </c>
      <c r="E309" s="361">
        <f t="shared" si="17"/>
        <v>1000000</v>
      </c>
      <c r="F309" s="894" t="s">
        <v>49</v>
      </c>
      <c r="G309" s="276"/>
      <c r="H309" s="534"/>
      <c r="I309" s="327"/>
      <c r="J309" s="276" t="s">
        <v>20</v>
      </c>
      <c r="K309" s="577" t="s">
        <v>83</v>
      </c>
      <c r="L309" s="547" t="s">
        <v>146</v>
      </c>
      <c r="M309" s="466"/>
      <c r="N309" s="276"/>
      <c r="O309" s="556"/>
      <c r="P309" s="799"/>
      <c r="Q309" s="276"/>
      <c r="R309" s="276"/>
      <c r="S309" s="276"/>
      <c r="T309" s="276"/>
      <c r="U309" s="276"/>
      <c r="V309" s="161"/>
      <c r="W309" s="161"/>
      <c r="X309" s="161"/>
      <c r="Y309" s="161"/>
      <c r="Z309" s="161"/>
    </row>
    <row r="310" spans="1:26" ht="28.5" hidden="1">
      <c r="A310" s="9">
        <v>285</v>
      </c>
      <c r="B310" s="10" t="s">
        <v>748</v>
      </c>
      <c r="C310" s="11">
        <v>1</v>
      </c>
      <c r="D310" s="361">
        <v>3500000</v>
      </c>
      <c r="E310" s="361">
        <f t="shared" si="17"/>
        <v>3500000</v>
      </c>
      <c r="F310" s="979" t="s">
        <v>49</v>
      </c>
      <c r="G310" s="276"/>
      <c r="H310" s="534"/>
      <c r="I310" s="327"/>
      <c r="J310" s="276" t="s">
        <v>20</v>
      </c>
      <c r="K310" s="980" t="s">
        <v>83</v>
      </c>
      <c r="L310" s="547" t="s">
        <v>146</v>
      </c>
      <c r="M310" s="466"/>
      <c r="N310" s="276"/>
      <c r="O310" s="556"/>
      <c r="P310" s="799"/>
      <c r="Q310" s="276"/>
      <c r="R310" s="276"/>
      <c r="S310" s="276"/>
      <c r="T310" s="276"/>
      <c r="U310" s="276"/>
      <c r="V310" s="161"/>
      <c r="W310" s="161"/>
      <c r="X310" s="161"/>
      <c r="Y310" s="161"/>
      <c r="Z310" s="161"/>
    </row>
    <row r="311" spans="1:26" ht="24.75" hidden="1" customHeight="1">
      <c r="A311" s="161">
        <v>14</v>
      </c>
      <c r="B311" s="844" t="s">
        <v>749</v>
      </c>
      <c r="C311" s="161">
        <v>1</v>
      </c>
      <c r="D311" s="361">
        <v>2000000</v>
      </c>
      <c r="E311" s="471">
        <f t="shared" si="17"/>
        <v>2000000</v>
      </c>
      <c r="F311" s="846" t="s">
        <v>48</v>
      </c>
      <c r="G311" s="276"/>
      <c r="H311" s="534"/>
      <c r="I311" s="327"/>
      <c r="J311" s="556" t="s">
        <v>20</v>
      </c>
      <c r="K311" s="211" t="s">
        <v>83</v>
      </c>
      <c r="L311" s="547" t="s">
        <v>331</v>
      </c>
      <c r="M311" s="523">
        <v>1896000</v>
      </c>
      <c r="N311" s="276" t="s">
        <v>750</v>
      </c>
      <c r="O311" s="556" t="s">
        <v>327</v>
      </c>
      <c r="P311" s="799">
        <v>0</v>
      </c>
      <c r="Q311" s="276" t="s">
        <v>119</v>
      </c>
      <c r="R311" s="276" t="s">
        <v>119</v>
      </c>
      <c r="S311" s="276" t="s">
        <v>119</v>
      </c>
      <c r="T311" s="276"/>
      <c r="U311" s="276"/>
      <c r="V311" s="161"/>
      <c r="W311" s="161"/>
      <c r="X311" s="161"/>
      <c r="Y311" s="161"/>
      <c r="Z311" s="161"/>
    </row>
    <row r="312" spans="1:26" ht="28.5" hidden="1">
      <c r="A312" s="845" t="s">
        <v>751</v>
      </c>
      <c r="B312" s="844" t="s">
        <v>752</v>
      </c>
      <c r="C312" s="846">
        <v>1</v>
      </c>
      <c r="D312" s="803">
        <v>1400000</v>
      </c>
      <c r="E312" s="471">
        <v>1400000</v>
      </c>
      <c r="F312" s="846" t="s">
        <v>42</v>
      </c>
      <c r="G312" s="259" t="s">
        <v>20</v>
      </c>
      <c r="H312" s="668" t="s">
        <v>83</v>
      </c>
      <c r="I312" s="327"/>
      <c r="J312" s="276" t="s">
        <v>20</v>
      </c>
      <c r="K312" s="577" t="s">
        <v>83</v>
      </c>
      <c r="L312" s="264" t="s">
        <v>331</v>
      </c>
      <c r="M312" s="646">
        <v>1268000</v>
      </c>
      <c r="N312" s="276" t="s">
        <v>569</v>
      </c>
      <c r="O312" s="556" t="s">
        <v>327</v>
      </c>
      <c r="P312" s="799">
        <v>0</v>
      </c>
      <c r="Q312" s="276" t="s">
        <v>119</v>
      </c>
      <c r="R312" s="276" t="s">
        <v>119</v>
      </c>
      <c r="S312" s="276" t="s">
        <v>119</v>
      </c>
      <c r="T312" s="276"/>
      <c r="U312" s="276"/>
      <c r="V312" s="161"/>
      <c r="W312" s="161"/>
      <c r="X312" s="161"/>
      <c r="Y312" s="161"/>
      <c r="Z312" s="161"/>
    </row>
    <row r="313" spans="1:26" ht="29.25" customHeight="1">
      <c r="A313" s="276">
        <v>5</v>
      </c>
      <c r="B313" s="465" t="s">
        <v>753</v>
      </c>
      <c r="C313" s="276">
        <v>2</v>
      </c>
      <c r="D313" s="361">
        <v>6720</v>
      </c>
      <c r="E313" s="554">
        <f t="shared" ref="E313:E319" si="18">C313*D313</f>
        <v>13440</v>
      </c>
      <c r="F313" s="556" t="s">
        <v>48</v>
      </c>
      <c r="G313" s="276"/>
      <c r="H313" s="534"/>
      <c r="I313" s="327"/>
      <c r="J313" s="276" t="s">
        <v>531</v>
      </c>
      <c r="K313" s="276" t="s">
        <v>83</v>
      </c>
      <c r="L313" s="547" t="s">
        <v>81</v>
      </c>
      <c r="M313" s="523">
        <v>13985</v>
      </c>
      <c r="N313" s="276" t="s">
        <v>754</v>
      </c>
      <c r="O313" s="556" t="s">
        <v>117</v>
      </c>
      <c r="P313" s="799">
        <v>13985</v>
      </c>
      <c r="Q313" s="276" t="s">
        <v>755</v>
      </c>
      <c r="R313" s="794">
        <v>45973</v>
      </c>
      <c r="S313" s="276" t="s">
        <v>119</v>
      </c>
      <c r="T313" s="833"/>
      <c r="U313" s="276"/>
      <c r="V313" s="161"/>
      <c r="W313" s="161"/>
      <c r="X313" s="161"/>
      <c r="Y313" s="161"/>
      <c r="Z313" s="161"/>
    </row>
    <row r="314" spans="1:26" ht="28.5" customHeight="1">
      <c r="A314" s="276">
        <v>6</v>
      </c>
      <c r="B314" s="465" t="s">
        <v>756</v>
      </c>
      <c r="C314" s="276">
        <v>2</v>
      </c>
      <c r="D314" s="361">
        <v>6999</v>
      </c>
      <c r="E314" s="554">
        <f t="shared" si="18"/>
        <v>13998</v>
      </c>
      <c r="F314" s="556" t="s">
        <v>48</v>
      </c>
      <c r="G314" s="276"/>
      <c r="H314" s="534"/>
      <c r="I314" s="327"/>
      <c r="J314" s="276" t="s">
        <v>531</v>
      </c>
      <c r="K314" s="276" t="s">
        <v>83</v>
      </c>
      <c r="L314" s="547" t="s">
        <v>81</v>
      </c>
      <c r="M314" s="523">
        <v>14800</v>
      </c>
      <c r="N314" s="276" t="s">
        <v>757</v>
      </c>
      <c r="O314" s="556" t="s">
        <v>117</v>
      </c>
      <c r="P314" s="799">
        <v>14800</v>
      </c>
      <c r="Q314" s="276" t="s">
        <v>758</v>
      </c>
      <c r="R314" s="794">
        <v>45975</v>
      </c>
      <c r="S314" s="276" t="s">
        <v>119</v>
      </c>
      <c r="T314" s="833"/>
      <c r="U314" s="276"/>
      <c r="V314" s="161"/>
      <c r="W314" s="161"/>
      <c r="X314" s="161"/>
      <c r="Y314" s="161"/>
      <c r="Z314" s="161"/>
    </row>
    <row r="315" spans="1:26" ht="29.25" customHeight="1">
      <c r="A315" s="276">
        <v>12</v>
      </c>
      <c r="B315" s="465" t="s">
        <v>759</v>
      </c>
      <c r="C315" s="276">
        <v>2</v>
      </c>
      <c r="D315" s="361">
        <v>5739</v>
      </c>
      <c r="E315" s="554">
        <f t="shared" si="18"/>
        <v>11478</v>
      </c>
      <c r="F315" s="556" t="s">
        <v>48</v>
      </c>
      <c r="G315" s="276"/>
      <c r="H315" s="534"/>
      <c r="I315" s="327"/>
      <c r="J315" s="276" t="s">
        <v>531</v>
      </c>
      <c r="K315" s="276" t="s">
        <v>83</v>
      </c>
      <c r="L315" s="547" t="s">
        <v>81</v>
      </c>
      <c r="M315" s="523">
        <v>11478</v>
      </c>
      <c r="N315" s="276" t="s">
        <v>760</v>
      </c>
      <c r="O315" s="556" t="s">
        <v>117</v>
      </c>
      <c r="P315" s="799">
        <v>11306</v>
      </c>
      <c r="Q315" s="276" t="s">
        <v>761</v>
      </c>
      <c r="R315" s="794">
        <v>45958</v>
      </c>
      <c r="S315" s="276" t="s">
        <v>119</v>
      </c>
      <c r="T315" s="833"/>
      <c r="U315" s="276"/>
      <c r="V315" s="161"/>
      <c r="W315" s="161"/>
      <c r="X315" s="161"/>
      <c r="Y315" s="161"/>
      <c r="Z315" s="161"/>
    </row>
    <row r="316" spans="1:26" ht="45.75" customHeight="1">
      <c r="A316" s="276">
        <v>11</v>
      </c>
      <c r="B316" s="153" t="s">
        <v>762</v>
      </c>
      <c r="C316" s="276">
        <v>1</v>
      </c>
      <c r="D316" s="361">
        <v>3200000</v>
      </c>
      <c r="E316" s="554">
        <f t="shared" si="18"/>
        <v>3200000</v>
      </c>
      <c r="F316" s="847" t="s">
        <v>39</v>
      </c>
      <c r="G316" s="276"/>
      <c r="H316" s="534"/>
      <c r="I316" s="327"/>
      <c r="J316" s="276" t="s">
        <v>531</v>
      </c>
      <c r="K316" s="276" t="s">
        <v>83</v>
      </c>
      <c r="L316" s="288" t="s">
        <v>81</v>
      </c>
      <c r="M316" s="523">
        <v>1890000</v>
      </c>
      <c r="N316" s="276" t="s">
        <v>763</v>
      </c>
      <c r="O316" s="276" t="s">
        <v>327</v>
      </c>
      <c r="P316" s="799">
        <v>1889000</v>
      </c>
      <c r="Q316" s="276" t="s">
        <v>764</v>
      </c>
      <c r="R316" s="794">
        <v>46100</v>
      </c>
      <c r="S316" s="860" t="s">
        <v>339</v>
      </c>
      <c r="T316" s="833"/>
      <c r="U316" s="276"/>
      <c r="V316" s="161"/>
      <c r="W316" s="161"/>
      <c r="X316" s="161"/>
      <c r="Y316" s="161"/>
      <c r="Z316" s="161"/>
    </row>
    <row r="317" spans="1:26" ht="32.25" customHeight="1">
      <c r="A317" s="161">
        <v>9</v>
      </c>
      <c r="B317" s="855" t="s">
        <v>435</v>
      </c>
      <c r="C317" s="161">
        <v>2</v>
      </c>
      <c r="D317" s="892">
        <v>10000</v>
      </c>
      <c r="E317" s="779">
        <f t="shared" si="18"/>
        <v>20000</v>
      </c>
      <c r="F317" s="161" t="s">
        <v>48</v>
      </c>
      <c r="G317" s="276"/>
      <c r="H317" s="534"/>
      <c r="I317" s="327"/>
      <c r="J317" s="333" t="s">
        <v>531</v>
      </c>
      <c r="K317" s="333" t="s">
        <v>83</v>
      </c>
      <c r="L317" s="264" t="s">
        <v>81</v>
      </c>
      <c r="M317" s="466">
        <v>20000</v>
      </c>
      <c r="N317" s="276" t="s">
        <v>765</v>
      </c>
      <c r="O317" s="276" t="s">
        <v>117</v>
      </c>
      <c r="P317" s="799">
        <v>19100</v>
      </c>
      <c r="Q317" s="276" t="s">
        <v>766</v>
      </c>
      <c r="R317" s="794">
        <v>45960</v>
      </c>
      <c r="S317" s="276" t="s">
        <v>119</v>
      </c>
      <c r="T317" s="833"/>
      <c r="U317" s="276"/>
      <c r="V317" s="161"/>
      <c r="W317" s="161"/>
      <c r="X317" s="161"/>
      <c r="Y317" s="161"/>
      <c r="Z317" s="161"/>
    </row>
    <row r="318" spans="1:26" ht="26.25" customHeight="1">
      <c r="A318" s="276" t="s">
        <v>531</v>
      </c>
      <c r="B318" s="499" t="s">
        <v>767</v>
      </c>
      <c r="C318" s="276">
        <v>1</v>
      </c>
      <c r="D318" s="325">
        <v>450000</v>
      </c>
      <c r="E318" s="489">
        <f t="shared" si="18"/>
        <v>450000</v>
      </c>
      <c r="F318" s="556" t="s">
        <v>44</v>
      </c>
      <c r="G318" s="276"/>
      <c r="H318" s="534"/>
      <c r="I318" s="327"/>
      <c r="J318" s="276" t="s">
        <v>531</v>
      </c>
      <c r="K318" s="276" t="s">
        <v>83</v>
      </c>
      <c r="L318" s="264" t="s">
        <v>81</v>
      </c>
      <c r="M318" s="523">
        <v>134800</v>
      </c>
      <c r="N318" s="276" t="s">
        <v>768</v>
      </c>
      <c r="O318" s="276" t="s">
        <v>131</v>
      </c>
      <c r="P318" s="799">
        <v>134800</v>
      </c>
      <c r="Q318" s="276" t="s">
        <v>769</v>
      </c>
      <c r="R318" s="794">
        <v>46101</v>
      </c>
      <c r="S318" s="276" t="s">
        <v>154</v>
      </c>
      <c r="T318" s="833"/>
      <c r="U318" s="276"/>
      <c r="V318" s="161"/>
      <c r="W318" s="161"/>
      <c r="X318" s="161"/>
      <c r="Y318" s="161"/>
      <c r="Z318" s="161"/>
    </row>
    <row r="319" spans="1:26" ht="34.5" customHeight="1">
      <c r="A319" s="276" t="s">
        <v>531</v>
      </c>
      <c r="B319" s="499" t="s">
        <v>187</v>
      </c>
      <c r="C319" s="276">
        <v>1</v>
      </c>
      <c r="D319" s="325">
        <v>150000</v>
      </c>
      <c r="E319" s="489">
        <f t="shared" si="18"/>
        <v>150000</v>
      </c>
      <c r="F319" s="556" t="s">
        <v>39</v>
      </c>
      <c r="G319" s="276"/>
      <c r="H319" s="534"/>
      <c r="I319" s="327"/>
      <c r="J319" s="276" t="s">
        <v>531</v>
      </c>
      <c r="K319" s="276" t="s">
        <v>83</v>
      </c>
      <c r="L319" s="264" t="s">
        <v>81</v>
      </c>
      <c r="M319" s="523">
        <v>63000</v>
      </c>
      <c r="N319" s="276" t="s">
        <v>770</v>
      </c>
      <c r="O319" s="276" t="s">
        <v>131</v>
      </c>
      <c r="P319" s="799">
        <v>63000</v>
      </c>
      <c r="Q319" s="276" t="s">
        <v>771</v>
      </c>
      <c r="R319" s="794">
        <v>46090</v>
      </c>
      <c r="S319" s="825" t="s">
        <v>154</v>
      </c>
      <c r="T319" s="833"/>
      <c r="U319" s="276"/>
      <c r="V319" s="161"/>
      <c r="W319" s="161"/>
      <c r="X319" s="161"/>
      <c r="Y319" s="161"/>
      <c r="Z319" s="161"/>
    </row>
    <row r="320" spans="1:26" ht="28.5" hidden="1">
      <c r="A320" s="580">
        <v>0</v>
      </c>
      <c r="B320" s="465" t="s">
        <v>772</v>
      </c>
      <c r="C320" s="276">
        <v>1</v>
      </c>
      <c r="D320" s="677">
        <v>108000</v>
      </c>
      <c r="E320" s="489">
        <v>108000</v>
      </c>
      <c r="F320" s="288" t="s">
        <v>87</v>
      </c>
      <c r="G320" s="848">
        <v>0</v>
      </c>
      <c r="H320" s="31" t="s">
        <v>531</v>
      </c>
      <c r="I320" s="680" t="s">
        <v>159</v>
      </c>
      <c r="J320" s="276" t="s">
        <v>531</v>
      </c>
      <c r="K320" s="73" t="s">
        <v>773</v>
      </c>
      <c r="L320" s="264" t="s">
        <v>81</v>
      </c>
      <c r="M320" s="489">
        <v>108000</v>
      </c>
      <c r="N320" s="465" t="s">
        <v>774</v>
      </c>
      <c r="O320" s="469" t="s">
        <v>253</v>
      </c>
      <c r="P320" s="799">
        <v>108000</v>
      </c>
      <c r="Q320" s="276" t="s">
        <v>775</v>
      </c>
      <c r="R320" s="794">
        <v>46022</v>
      </c>
      <c r="S320" s="276" t="s">
        <v>132</v>
      </c>
      <c r="T320" s="276"/>
      <c r="U320" s="276"/>
      <c r="V320" s="161"/>
      <c r="W320" s="161"/>
      <c r="X320" s="161"/>
      <c r="Y320" s="161"/>
      <c r="Z320" s="161"/>
    </row>
    <row r="321" spans="1:26" ht="28.5" customHeight="1">
      <c r="A321" s="276" t="s">
        <v>531</v>
      </c>
      <c r="B321" s="499" t="s">
        <v>187</v>
      </c>
      <c r="C321" s="276">
        <v>1</v>
      </c>
      <c r="D321" s="325">
        <v>150000</v>
      </c>
      <c r="E321" s="489">
        <f t="shared" ref="E321:E329" si="19">C321*D321</f>
        <v>150000</v>
      </c>
      <c r="F321" s="276" t="s">
        <v>44</v>
      </c>
      <c r="G321" s="276" t="s">
        <v>531</v>
      </c>
      <c r="H321" s="276" t="s">
        <v>83</v>
      </c>
      <c r="I321" s="667" t="s">
        <v>159</v>
      </c>
      <c r="J321" s="644" t="s">
        <v>531</v>
      </c>
      <c r="K321" s="276" t="s">
        <v>83</v>
      </c>
      <c r="L321" s="264" t="s">
        <v>81</v>
      </c>
      <c r="M321" s="489">
        <v>63000</v>
      </c>
      <c r="N321" s="276" t="s">
        <v>770</v>
      </c>
      <c r="O321" s="276" t="s">
        <v>131</v>
      </c>
      <c r="P321" s="799">
        <v>63000</v>
      </c>
      <c r="Q321" s="276" t="s">
        <v>776</v>
      </c>
      <c r="R321" s="794">
        <v>46090</v>
      </c>
      <c r="S321" s="276" t="s">
        <v>154</v>
      </c>
      <c r="T321" s="833"/>
      <c r="U321" s="276"/>
      <c r="V321" s="161"/>
      <c r="W321" s="161"/>
      <c r="X321" s="161"/>
      <c r="Y321" s="161"/>
      <c r="Z321" s="161"/>
    </row>
    <row r="322" spans="1:26" ht="30" customHeight="1">
      <c r="A322" s="849">
        <v>11</v>
      </c>
      <c r="B322" s="850" t="s">
        <v>479</v>
      </c>
      <c r="C322" s="39">
        <v>1</v>
      </c>
      <c r="D322" s="971">
        <v>100000</v>
      </c>
      <c r="E322" s="851">
        <f t="shared" si="19"/>
        <v>100000</v>
      </c>
      <c r="F322" s="849" t="s">
        <v>48</v>
      </c>
      <c r="G322" s="39" t="s">
        <v>396</v>
      </c>
      <c r="H322" s="39" t="s">
        <v>83</v>
      </c>
      <c r="I322" s="667" t="s">
        <v>159</v>
      </c>
      <c r="J322" s="853" t="s">
        <v>531</v>
      </c>
      <c r="K322" s="333" t="s">
        <v>83</v>
      </c>
      <c r="L322" s="546" t="s">
        <v>81</v>
      </c>
      <c r="M322" s="488">
        <v>236500</v>
      </c>
      <c r="N322" s="579" t="s">
        <v>777</v>
      </c>
      <c r="O322" s="794" t="s">
        <v>380</v>
      </c>
      <c r="P322" s="799">
        <v>236500</v>
      </c>
      <c r="Q322" s="276" t="s">
        <v>778</v>
      </c>
      <c r="R322" s="794">
        <v>46098</v>
      </c>
      <c r="S322" s="276" t="s">
        <v>154</v>
      </c>
      <c r="T322" s="833"/>
      <c r="U322" s="276"/>
      <c r="V322" s="161"/>
      <c r="W322" s="161"/>
    </row>
    <row r="323" spans="1:26" ht="28.5" customHeight="1">
      <c r="A323" s="333">
        <v>1</v>
      </c>
      <c r="B323" s="54" t="s">
        <v>779</v>
      </c>
      <c r="C323" s="333">
        <v>2</v>
      </c>
      <c r="D323" s="972">
        <v>25000</v>
      </c>
      <c r="E323" s="490">
        <f t="shared" si="19"/>
        <v>50000</v>
      </c>
      <c r="F323" s="276" t="s">
        <v>39</v>
      </c>
      <c r="G323" s="112" t="s">
        <v>396</v>
      </c>
      <c r="H323" s="112" t="s">
        <v>83</v>
      </c>
      <c r="I323" s="327" t="s">
        <v>159</v>
      </c>
      <c r="J323" s="644" t="s">
        <v>531</v>
      </c>
      <c r="K323" s="276" t="s">
        <v>83</v>
      </c>
      <c r="L323" s="264" t="s">
        <v>81</v>
      </c>
      <c r="M323" s="833">
        <v>24900</v>
      </c>
      <c r="N323" s="899" t="s">
        <v>780</v>
      </c>
      <c r="O323" s="334" t="s">
        <v>117</v>
      </c>
      <c r="P323" s="799">
        <v>24873</v>
      </c>
      <c r="Q323" s="276" t="s">
        <v>781</v>
      </c>
      <c r="R323" s="794">
        <v>46073</v>
      </c>
      <c r="S323" s="276" t="s">
        <v>119</v>
      </c>
      <c r="T323" s="833"/>
      <c r="U323" s="276"/>
      <c r="V323" s="161"/>
      <c r="W323" s="161"/>
      <c r="X323" s="161"/>
      <c r="Y323" s="161"/>
      <c r="Z323" s="161"/>
    </row>
    <row r="324" spans="1:26" ht="32.25" hidden="1" customHeight="1">
      <c r="A324" s="276">
        <v>2</v>
      </c>
      <c r="B324" s="153" t="s">
        <v>782</v>
      </c>
      <c r="C324" s="276">
        <v>1</v>
      </c>
      <c r="D324" s="973">
        <v>700000</v>
      </c>
      <c r="E324" s="852">
        <f t="shared" si="19"/>
        <v>700000</v>
      </c>
      <c r="F324" s="276" t="s">
        <v>39</v>
      </c>
      <c r="G324" s="704" t="s">
        <v>396</v>
      </c>
      <c r="H324" s="704" t="s">
        <v>83</v>
      </c>
      <c r="I324" s="327" t="s">
        <v>159</v>
      </c>
      <c r="J324" s="854" t="s">
        <v>531</v>
      </c>
      <c r="K324" s="276" t="s">
        <v>83</v>
      </c>
      <c r="L324" s="547" t="s">
        <v>514</v>
      </c>
      <c r="M324" s="488">
        <v>498900</v>
      </c>
      <c r="N324" s="579" t="s">
        <v>783</v>
      </c>
      <c r="O324" s="276" t="s">
        <v>380</v>
      </c>
      <c r="P324" s="466">
        <v>0</v>
      </c>
      <c r="Q324" s="276" t="s">
        <v>119</v>
      </c>
      <c r="R324" s="276" t="s">
        <v>119</v>
      </c>
      <c r="S324" s="276" t="s">
        <v>132</v>
      </c>
      <c r="T324" s="276"/>
      <c r="U324" s="276"/>
      <c r="V324" s="161"/>
      <c r="W324" s="161"/>
      <c r="X324" s="161"/>
      <c r="Y324" s="161"/>
      <c r="Z324" s="161"/>
    </row>
    <row r="325" spans="1:26" s="920" customFormat="1" ht="34.5" hidden="1" customHeight="1">
      <c r="A325" s="333">
        <v>0</v>
      </c>
      <c r="B325" s="983" t="s">
        <v>784</v>
      </c>
      <c r="C325" s="333">
        <v>1</v>
      </c>
      <c r="D325" s="974">
        <v>2700000</v>
      </c>
      <c r="E325" s="902">
        <f t="shared" si="19"/>
        <v>2700000</v>
      </c>
      <c r="F325" s="333" t="s">
        <v>39</v>
      </c>
      <c r="G325" s="704" t="s">
        <v>396</v>
      </c>
      <c r="H325" s="302"/>
      <c r="I325" s="159"/>
      <c r="J325" s="854" t="s">
        <v>531</v>
      </c>
      <c r="K325" s="333" t="s">
        <v>83</v>
      </c>
      <c r="L325" s="264" t="s">
        <v>331</v>
      </c>
      <c r="M325" s="488">
        <v>2150000</v>
      </c>
      <c r="N325" s="579" t="s">
        <v>785</v>
      </c>
      <c r="O325" s="276" t="s">
        <v>327</v>
      </c>
      <c r="P325" s="466">
        <v>0</v>
      </c>
      <c r="Q325" s="276" t="s">
        <v>119</v>
      </c>
      <c r="R325" s="276" t="s">
        <v>119</v>
      </c>
      <c r="S325" s="556" t="s">
        <v>119</v>
      </c>
      <c r="T325" s="276"/>
      <c r="U325" s="276"/>
      <c r="V325" s="161"/>
      <c r="W325" s="161"/>
      <c r="X325" s="161"/>
      <c r="Y325" s="161"/>
      <c r="Z325" s="161"/>
    </row>
    <row r="326" spans="1:26" ht="32.25" hidden="1" customHeight="1">
      <c r="A326" s="276">
        <v>0</v>
      </c>
      <c r="B326" s="465" t="s">
        <v>786</v>
      </c>
      <c r="C326" s="276">
        <v>1</v>
      </c>
      <c r="D326" s="978">
        <v>1200000</v>
      </c>
      <c r="E326" s="742">
        <f t="shared" si="19"/>
        <v>1200000</v>
      </c>
      <c r="F326" s="276" t="s">
        <v>39</v>
      </c>
      <c r="G326" s="704" t="s">
        <v>396</v>
      </c>
      <c r="H326" s="302"/>
      <c r="I326" s="159"/>
      <c r="J326" s="854" t="s">
        <v>531</v>
      </c>
      <c r="K326" s="276" t="s">
        <v>83</v>
      </c>
      <c r="L326" s="264" t="s">
        <v>331</v>
      </c>
      <c r="M326" s="488">
        <v>1200000</v>
      </c>
      <c r="N326" s="900" t="s">
        <v>787</v>
      </c>
      <c r="O326" s="276" t="s">
        <v>327</v>
      </c>
      <c r="P326" s="466">
        <v>0</v>
      </c>
      <c r="Q326" s="276" t="s">
        <v>119</v>
      </c>
      <c r="R326" s="276" t="s">
        <v>119</v>
      </c>
      <c r="S326" s="556" t="s">
        <v>119</v>
      </c>
      <c r="T326" s="276"/>
      <c r="U326" s="276"/>
      <c r="V326" s="161"/>
      <c r="W326" s="161"/>
      <c r="X326" s="161"/>
      <c r="Y326" s="161"/>
      <c r="Z326" s="161"/>
    </row>
    <row r="327" spans="1:26" ht="30" customHeight="1">
      <c r="A327" s="276">
        <v>0</v>
      </c>
      <c r="B327" s="465" t="s">
        <v>788</v>
      </c>
      <c r="C327" s="276">
        <v>1</v>
      </c>
      <c r="D327" s="833">
        <v>8000</v>
      </c>
      <c r="E327" s="466">
        <f t="shared" si="19"/>
        <v>8000</v>
      </c>
      <c r="F327" s="276" t="s">
        <v>48</v>
      </c>
      <c r="G327" s="901" t="s">
        <v>396</v>
      </c>
      <c r="H327" s="302"/>
      <c r="I327" s="159"/>
      <c r="J327" s="854" t="s">
        <v>531</v>
      </c>
      <c r="K327" s="276" t="s">
        <v>83</v>
      </c>
      <c r="L327" s="264" t="s">
        <v>81</v>
      </c>
      <c r="M327" s="833">
        <v>7680</v>
      </c>
      <c r="N327" s="276" t="s">
        <v>789</v>
      </c>
      <c r="O327" s="276" t="s">
        <v>117</v>
      </c>
      <c r="P327" s="466">
        <v>7680</v>
      </c>
      <c r="Q327" s="276" t="s">
        <v>790</v>
      </c>
      <c r="R327" s="794">
        <v>46053</v>
      </c>
      <c r="S327" s="276" t="s">
        <v>119</v>
      </c>
      <c r="T327" s="833"/>
      <c r="U327" s="276"/>
      <c r="V327" s="161"/>
      <c r="W327" s="161"/>
      <c r="X327" s="161"/>
      <c r="Y327" s="161"/>
      <c r="Z327" s="161"/>
    </row>
    <row r="328" spans="1:26" ht="28.5" customHeight="1">
      <c r="A328" s="276">
        <v>0</v>
      </c>
      <c r="B328" s="465" t="s">
        <v>791</v>
      </c>
      <c r="C328" s="276">
        <v>1</v>
      </c>
      <c r="D328" s="833">
        <v>100000</v>
      </c>
      <c r="E328" s="466">
        <f t="shared" si="19"/>
        <v>100000</v>
      </c>
      <c r="F328" s="327" t="s">
        <v>87</v>
      </c>
      <c r="G328" s="161"/>
      <c r="H328" s="302"/>
      <c r="I328" s="159"/>
      <c r="J328" s="161"/>
      <c r="K328" s="276" t="s">
        <v>83</v>
      </c>
      <c r="L328" s="264" t="s">
        <v>81</v>
      </c>
      <c r="M328" s="833">
        <v>79910</v>
      </c>
      <c r="N328" s="276" t="s">
        <v>792</v>
      </c>
      <c r="O328" s="276" t="s">
        <v>793</v>
      </c>
      <c r="P328" s="466">
        <v>78711</v>
      </c>
      <c r="Q328" s="276" t="s">
        <v>794</v>
      </c>
      <c r="R328" s="794">
        <v>46056</v>
      </c>
      <c r="S328" s="276">
        <v>497198</v>
      </c>
      <c r="T328" s="833">
        <v>3996</v>
      </c>
      <c r="U328" s="276" t="s">
        <v>467</v>
      </c>
      <c r="V328" s="161"/>
      <c r="W328" s="161"/>
      <c r="X328" s="161"/>
      <c r="Y328" s="161"/>
      <c r="Z328" s="161"/>
    </row>
    <row r="329" spans="1:26" ht="39.75" customHeight="1">
      <c r="A329" s="161">
        <v>0</v>
      </c>
      <c r="B329" s="855" t="s">
        <v>795</v>
      </c>
      <c r="C329" s="161">
        <v>1</v>
      </c>
      <c r="D329" s="303">
        <v>10000</v>
      </c>
      <c r="E329" s="162">
        <f t="shared" si="19"/>
        <v>10000</v>
      </c>
      <c r="F329" s="161" t="s">
        <v>39</v>
      </c>
      <c r="G329" s="161"/>
      <c r="H329" s="302"/>
      <c r="I329" s="159"/>
      <c r="J329" s="161"/>
      <c r="K329" s="161" t="s">
        <v>83</v>
      </c>
      <c r="L329" s="546" t="s">
        <v>81</v>
      </c>
      <c r="M329" s="303">
        <v>9996</v>
      </c>
      <c r="N329" s="161" t="s">
        <v>796</v>
      </c>
      <c r="O329" s="161" t="s">
        <v>117</v>
      </c>
      <c r="P329" s="162">
        <v>9896</v>
      </c>
      <c r="Q329" s="161" t="s">
        <v>797</v>
      </c>
      <c r="R329" s="913">
        <v>46075</v>
      </c>
      <c r="S329" s="161" t="s">
        <v>119</v>
      </c>
      <c r="T329" s="303"/>
      <c r="U329" s="161"/>
      <c r="V329" s="161"/>
      <c r="W329" s="161"/>
      <c r="X329" s="161"/>
      <c r="Y329" s="161"/>
      <c r="Z329" s="161"/>
    </row>
    <row r="330" spans="1:26">
      <c r="B330" s="855"/>
      <c r="C330" s="161"/>
      <c r="D330" s="303"/>
      <c r="E330" s="162"/>
      <c r="F330" s="161"/>
      <c r="G330" s="161"/>
      <c r="H330" s="302"/>
      <c r="I330" s="159"/>
      <c r="J330" s="161"/>
      <c r="K330" s="161"/>
      <c r="L330" s="161"/>
      <c r="M330" s="161"/>
      <c r="N330" s="161"/>
      <c r="O330" s="161"/>
      <c r="P330" s="162"/>
      <c r="Q330" s="161"/>
      <c r="R330" s="161"/>
      <c r="S330" s="161"/>
      <c r="T330" s="303"/>
      <c r="U330" s="161"/>
      <c r="V330" s="161"/>
      <c r="W330" s="161"/>
      <c r="X330" s="161"/>
      <c r="Y330" s="161"/>
      <c r="Z330" s="161"/>
    </row>
    <row r="331" spans="1:26">
      <c r="A331" s="161"/>
      <c r="B331" s="855"/>
      <c r="C331" s="161"/>
      <c r="D331" s="303"/>
      <c r="E331" s="162"/>
      <c r="F331" s="161"/>
      <c r="G331" s="161"/>
      <c r="H331" s="302"/>
      <c r="I331" s="159"/>
      <c r="J331" s="161"/>
      <c r="K331" s="161"/>
      <c r="L331" s="161"/>
      <c r="M331" s="161"/>
      <c r="N331" s="161"/>
      <c r="O331" s="161"/>
      <c r="P331" s="162"/>
      <c r="Q331" s="161"/>
      <c r="R331" s="161"/>
      <c r="S331" s="161"/>
      <c r="T331" s="303"/>
      <c r="U331" s="161"/>
      <c r="V331" s="161"/>
      <c r="W331" s="161"/>
      <c r="X331" s="161"/>
      <c r="Y331" s="161"/>
      <c r="Z331" s="161"/>
    </row>
    <row r="332" spans="1:26">
      <c r="A332" s="161"/>
      <c r="B332" s="855"/>
      <c r="C332" s="161"/>
      <c r="D332" s="303"/>
      <c r="E332" s="162"/>
      <c r="F332" s="161"/>
      <c r="G332" s="161"/>
      <c r="H332" s="302"/>
      <c r="I332" s="159"/>
      <c r="J332" s="161"/>
      <c r="K332" s="161"/>
      <c r="L332" s="161"/>
      <c r="M332" s="161"/>
      <c r="N332" s="161"/>
      <c r="O332" s="161"/>
      <c r="P332" s="162"/>
      <c r="Q332" s="161"/>
      <c r="R332" s="161"/>
      <c r="S332" s="161"/>
      <c r="T332" s="303"/>
      <c r="U332" s="161"/>
      <c r="V332" s="161"/>
      <c r="W332" s="161"/>
      <c r="X332" s="161"/>
      <c r="Y332" s="161"/>
      <c r="Z332" s="161"/>
    </row>
    <row r="333" spans="1:26" ht="34.5" customHeight="1">
      <c r="A333" s="161"/>
      <c r="B333" s="855"/>
      <c r="C333" s="161"/>
      <c r="D333" s="303"/>
      <c r="E333" s="162"/>
      <c r="F333" s="161"/>
      <c r="G333" s="161"/>
      <c r="H333" s="302"/>
      <c r="I333" s="159"/>
      <c r="J333" s="161"/>
      <c r="K333" s="161"/>
      <c r="L333" s="161"/>
      <c r="M333" s="161"/>
      <c r="N333" s="161"/>
      <c r="O333" s="161"/>
      <c r="P333" s="162"/>
      <c r="Q333" s="161"/>
      <c r="R333" s="161"/>
      <c r="S333" s="161"/>
      <c r="T333" s="303"/>
      <c r="U333" s="161"/>
      <c r="V333" s="161"/>
      <c r="W333" s="161"/>
      <c r="X333" s="161"/>
      <c r="Y333" s="161"/>
      <c r="Z333" s="161"/>
    </row>
    <row r="334" spans="1:26" ht="43.5" customHeight="1">
      <c r="A334" s="161"/>
      <c r="B334" s="855"/>
      <c r="C334" s="161"/>
      <c r="D334" s="303"/>
      <c r="E334" s="162"/>
      <c r="F334" s="161"/>
      <c r="G334" s="161"/>
      <c r="H334" s="302"/>
      <c r="I334" s="159"/>
      <c r="J334" s="161"/>
      <c r="K334" s="161"/>
      <c r="L334" s="161"/>
      <c r="M334" s="161"/>
      <c r="N334" s="161"/>
      <c r="O334" s="161"/>
      <c r="P334" s="162"/>
      <c r="Q334" s="161"/>
      <c r="R334" s="161"/>
      <c r="S334" s="161"/>
      <c r="T334" s="303"/>
      <c r="U334" s="161"/>
      <c r="V334" s="161"/>
      <c r="W334" s="161"/>
      <c r="X334" s="161"/>
      <c r="Y334" s="161"/>
      <c r="Z334" s="161"/>
    </row>
    <row r="335" spans="1:26">
      <c r="A335" s="161"/>
      <c r="B335" s="855"/>
      <c r="C335" s="161"/>
      <c r="D335" s="303"/>
      <c r="E335" s="162"/>
      <c r="F335" s="161"/>
      <c r="G335" s="161"/>
      <c r="H335" s="302"/>
      <c r="I335" s="159"/>
      <c r="J335" s="161"/>
      <c r="K335" s="161"/>
      <c r="L335" s="161"/>
      <c r="M335" s="161"/>
      <c r="N335" s="161"/>
      <c r="O335" s="161"/>
      <c r="P335" s="162"/>
      <c r="Q335" s="161"/>
      <c r="R335" s="161"/>
      <c r="S335" s="161"/>
      <c r="T335" s="303"/>
      <c r="U335" s="161"/>
      <c r="V335" s="161"/>
      <c r="W335" s="161"/>
      <c r="X335" s="161"/>
      <c r="Y335" s="161"/>
      <c r="Z335" s="161"/>
    </row>
    <row r="336" spans="1:26">
      <c r="A336" s="161"/>
      <c r="B336" s="855"/>
      <c r="C336" s="161"/>
      <c r="D336" s="303"/>
      <c r="E336" s="162"/>
      <c r="F336" s="161"/>
      <c r="G336" s="161"/>
      <c r="H336" s="302"/>
      <c r="I336" s="159"/>
      <c r="J336" s="161"/>
      <c r="K336" s="365"/>
      <c r="L336" s="161"/>
      <c r="M336" s="161"/>
      <c r="N336" s="161"/>
      <c r="O336" s="161"/>
      <c r="P336" s="162"/>
      <c r="Q336" s="161"/>
      <c r="R336" s="161"/>
      <c r="S336" s="161"/>
      <c r="T336" s="303"/>
      <c r="U336" s="161"/>
      <c r="V336" s="161"/>
      <c r="W336" s="161"/>
      <c r="X336" s="161"/>
      <c r="Y336" s="161"/>
      <c r="Z336" s="161"/>
    </row>
    <row r="337" spans="1:26">
      <c r="A337" s="161"/>
      <c r="B337" s="855"/>
      <c r="C337" s="161"/>
      <c r="D337" s="303"/>
      <c r="E337" s="162"/>
      <c r="F337" s="161"/>
      <c r="G337" s="365"/>
      <c r="H337" s="302"/>
      <c r="I337" s="159"/>
      <c r="J337" s="161"/>
      <c r="K337" s="161"/>
      <c r="L337" s="161"/>
      <c r="M337" s="161"/>
      <c r="N337" s="161"/>
      <c r="O337" s="161"/>
      <c r="P337" s="162"/>
      <c r="Q337" s="161"/>
      <c r="R337" s="161"/>
      <c r="S337" s="161"/>
      <c r="T337" s="303"/>
      <c r="U337" s="161"/>
      <c r="V337" s="161"/>
      <c r="W337" s="161"/>
      <c r="X337" s="161"/>
      <c r="Y337" s="161"/>
      <c r="Z337" s="161"/>
    </row>
    <row r="338" spans="1:26">
      <c r="A338" s="161"/>
      <c r="B338" s="855"/>
      <c r="C338" s="161"/>
      <c r="D338" s="303"/>
      <c r="E338" s="162"/>
      <c r="F338" s="161"/>
      <c r="G338" s="161"/>
      <c r="H338" s="302"/>
      <c r="I338" s="159"/>
      <c r="J338" s="161"/>
      <c r="K338" s="161"/>
      <c r="L338" s="161"/>
      <c r="M338" s="161"/>
      <c r="N338" s="161"/>
      <c r="O338" s="161"/>
      <c r="P338" s="162"/>
      <c r="Q338" s="161"/>
      <c r="R338" s="161"/>
      <c r="S338" s="161"/>
      <c r="T338" s="303"/>
      <c r="U338" s="161"/>
      <c r="V338" s="161"/>
      <c r="W338" s="161"/>
      <c r="X338" s="161"/>
      <c r="Y338" s="161"/>
      <c r="Z338" s="161"/>
    </row>
    <row r="339" spans="1:26">
      <c r="A339" s="161"/>
      <c r="B339" s="855"/>
      <c r="C339" s="161"/>
      <c r="D339" s="303"/>
      <c r="E339" s="162"/>
      <c r="F339" s="161"/>
      <c r="G339" s="161"/>
      <c r="H339" s="302"/>
      <c r="I339" s="159"/>
      <c r="J339" s="161"/>
      <c r="K339" s="161"/>
      <c r="L339" s="161"/>
      <c r="M339" s="161"/>
      <c r="N339" s="161"/>
      <c r="O339" s="161"/>
      <c r="P339" s="162"/>
      <c r="Q339" s="161"/>
      <c r="R339" s="161"/>
      <c r="S339" s="161"/>
      <c r="T339" s="303"/>
      <c r="U339" s="161"/>
      <c r="V339" s="161"/>
      <c r="W339" s="161"/>
      <c r="X339" s="161"/>
      <c r="Y339" s="161"/>
      <c r="Z339" s="161"/>
    </row>
    <row r="340" spans="1:26">
      <c r="A340" s="161"/>
      <c r="B340" s="855"/>
      <c r="C340" s="161"/>
      <c r="D340" s="303"/>
      <c r="E340" s="162"/>
      <c r="F340" s="161"/>
      <c r="G340" s="161"/>
      <c r="H340" s="302"/>
      <c r="I340" s="159"/>
      <c r="J340" s="365"/>
      <c r="K340" s="161"/>
      <c r="L340" s="161"/>
      <c r="M340" s="161"/>
      <c r="N340" s="161"/>
      <c r="O340" s="161"/>
      <c r="P340" s="162"/>
      <c r="Q340" s="161"/>
      <c r="R340" s="161"/>
      <c r="S340" s="161"/>
      <c r="T340" s="303"/>
      <c r="U340" s="161"/>
      <c r="V340" s="161"/>
      <c r="W340" s="161"/>
      <c r="X340" s="161"/>
      <c r="Y340" s="161"/>
      <c r="Z340" s="161"/>
    </row>
    <row r="341" spans="1:26">
      <c r="A341" s="161"/>
      <c r="B341" s="855"/>
      <c r="C341" s="161"/>
      <c r="D341" s="303"/>
      <c r="E341" s="162"/>
      <c r="F341" s="161"/>
      <c r="G341" s="161"/>
      <c r="H341" s="302"/>
      <c r="I341" s="159"/>
      <c r="J341" s="161"/>
      <c r="K341" s="161"/>
      <c r="L341" s="161"/>
      <c r="M341" s="161"/>
      <c r="N341" s="161"/>
      <c r="O341" s="161"/>
      <c r="P341" s="162"/>
      <c r="Q341" s="161"/>
      <c r="R341" s="161"/>
      <c r="S341" s="161"/>
      <c r="T341" s="303"/>
      <c r="U341" s="161"/>
      <c r="V341" s="161"/>
      <c r="W341" s="161"/>
      <c r="X341" s="161"/>
      <c r="Y341" s="161"/>
      <c r="Z341" s="161"/>
    </row>
    <row r="342" spans="1:26">
      <c r="A342" s="161"/>
      <c r="B342" s="855"/>
      <c r="C342" s="161"/>
      <c r="D342" s="303"/>
      <c r="E342" s="162"/>
      <c r="F342" s="161"/>
      <c r="G342" s="161"/>
      <c r="H342" s="302"/>
      <c r="I342" s="159"/>
      <c r="J342" s="161"/>
      <c r="K342" s="161"/>
      <c r="L342" s="161"/>
      <c r="M342" s="161"/>
      <c r="N342" s="161"/>
      <c r="O342" s="161"/>
      <c r="P342" s="162"/>
      <c r="Q342" s="161"/>
      <c r="R342" s="161"/>
      <c r="S342" s="161"/>
      <c r="T342" s="303"/>
      <c r="U342" s="161"/>
      <c r="V342" s="161"/>
      <c r="W342" s="161"/>
      <c r="X342" s="161"/>
      <c r="Y342" s="161"/>
      <c r="Z342" s="161"/>
    </row>
    <row r="343" spans="1:26">
      <c r="A343" s="161"/>
      <c r="B343" s="855"/>
      <c r="C343" s="161"/>
      <c r="D343" s="303"/>
      <c r="E343" s="162"/>
      <c r="F343" s="161"/>
      <c r="G343" s="161"/>
      <c r="H343" s="302"/>
      <c r="I343" s="159"/>
      <c r="J343" s="161"/>
      <c r="K343" s="161"/>
      <c r="L343" s="161"/>
      <c r="M343" s="161"/>
      <c r="N343" s="161"/>
      <c r="O343" s="161"/>
      <c r="P343" s="162"/>
      <c r="Q343" s="161"/>
      <c r="R343" s="161"/>
      <c r="S343" s="161"/>
      <c r="T343" s="303"/>
      <c r="U343" s="161"/>
      <c r="V343" s="161"/>
      <c r="W343" s="161"/>
      <c r="X343" s="161"/>
      <c r="Y343" s="161"/>
      <c r="Z343" s="161"/>
    </row>
    <row r="344" spans="1:26">
      <c r="A344" s="161"/>
      <c r="B344" s="855"/>
      <c r="C344" s="161"/>
      <c r="D344" s="303"/>
      <c r="E344" s="162"/>
      <c r="F344" s="161"/>
      <c r="G344" s="161"/>
      <c r="H344" s="302"/>
      <c r="I344" s="159"/>
      <c r="J344" s="161"/>
      <c r="K344" s="161"/>
      <c r="L344" s="161"/>
      <c r="M344" s="161"/>
      <c r="N344" s="161"/>
      <c r="O344" s="161"/>
      <c r="P344" s="162"/>
      <c r="Q344" s="161"/>
      <c r="R344" s="161"/>
      <c r="S344" s="161"/>
      <c r="T344" s="303"/>
      <c r="U344" s="161"/>
      <c r="V344" s="161"/>
      <c r="W344" s="161"/>
      <c r="X344" s="161"/>
      <c r="Y344" s="161"/>
      <c r="Z344" s="161"/>
    </row>
    <row r="345" spans="1:26">
      <c r="A345" s="161"/>
      <c r="B345" s="855"/>
      <c r="C345" s="161"/>
      <c r="D345" s="303"/>
      <c r="E345" s="162"/>
      <c r="F345" s="161"/>
      <c r="G345" s="161"/>
      <c r="H345" s="302"/>
      <c r="I345" s="159"/>
      <c r="J345" s="161"/>
      <c r="K345" s="161"/>
      <c r="L345" s="161"/>
      <c r="M345" s="161"/>
      <c r="N345" s="161"/>
      <c r="O345" s="161"/>
      <c r="P345" s="162"/>
      <c r="Q345" s="161"/>
      <c r="R345" s="161"/>
      <c r="S345" s="161"/>
      <c r="T345" s="303"/>
      <c r="U345" s="161"/>
      <c r="V345" s="161"/>
      <c r="W345" s="161"/>
      <c r="X345" s="161"/>
      <c r="Y345" s="161"/>
      <c r="Z345" s="161"/>
    </row>
    <row r="346" spans="1:26">
      <c r="A346" s="161"/>
      <c r="B346" s="855"/>
      <c r="C346" s="161"/>
      <c r="D346" s="303"/>
      <c r="E346" s="162"/>
      <c r="F346" s="161"/>
      <c r="G346" s="161"/>
      <c r="H346" s="302"/>
      <c r="I346" s="159"/>
      <c r="J346" s="161"/>
      <c r="K346" s="161"/>
      <c r="L346" s="161"/>
      <c r="M346" s="161"/>
      <c r="N346" s="161"/>
      <c r="O346" s="161"/>
      <c r="P346" s="162"/>
      <c r="Q346" s="161"/>
      <c r="R346" s="161"/>
      <c r="S346" s="161"/>
      <c r="T346" s="303"/>
      <c r="U346" s="161"/>
      <c r="V346" s="161"/>
      <c r="W346" s="161"/>
      <c r="X346" s="161"/>
      <c r="Y346" s="161"/>
      <c r="Z346" s="161"/>
    </row>
    <row r="347" spans="1:26">
      <c r="A347" s="161"/>
      <c r="B347" s="855"/>
      <c r="C347" s="161"/>
      <c r="D347" s="303"/>
      <c r="E347" s="162"/>
      <c r="F347" s="161"/>
      <c r="G347" s="161"/>
      <c r="H347" s="302"/>
      <c r="I347" s="159"/>
      <c r="J347" s="161"/>
      <c r="K347" s="161"/>
      <c r="L347" s="161"/>
      <c r="M347" s="161"/>
      <c r="N347" s="161"/>
      <c r="O347" s="161"/>
      <c r="P347" s="162"/>
      <c r="Q347" s="161"/>
      <c r="R347" s="161"/>
      <c r="S347" s="161"/>
      <c r="T347" s="303"/>
      <c r="U347" s="161"/>
      <c r="V347" s="161"/>
      <c r="W347" s="161"/>
      <c r="X347" s="161"/>
      <c r="Y347" s="161"/>
      <c r="Z347" s="161"/>
    </row>
    <row r="348" spans="1:26">
      <c r="A348" s="161"/>
      <c r="B348" s="855"/>
      <c r="C348" s="161"/>
      <c r="D348" s="303"/>
      <c r="E348" s="162"/>
      <c r="F348" s="161"/>
      <c r="G348" s="161"/>
      <c r="H348" s="302"/>
      <c r="I348" s="159"/>
      <c r="J348" s="161"/>
      <c r="K348" s="161"/>
      <c r="L348" s="161"/>
      <c r="M348" s="161"/>
      <c r="N348" s="161"/>
      <c r="O348" s="161"/>
      <c r="P348" s="162"/>
      <c r="Q348" s="161"/>
      <c r="R348" s="161"/>
      <c r="S348" s="161"/>
      <c r="T348" s="303"/>
      <c r="U348" s="161"/>
      <c r="V348" s="161"/>
      <c r="W348" s="161"/>
      <c r="X348" s="161"/>
      <c r="Y348" s="161"/>
      <c r="Z348" s="161"/>
    </row>
    <row r="349" spans="1:26">
      <c r="A349" s="161"/>
      <c r="B349" s="855"/>
      <c r="C349" s="161"/>
      <c r="D349" s="303"/>
      <c r="E349" s="162"/>
      <c r="F349" s="161"/>
      <c r="G349" s="161"/>
      <c r="H349" s="302"/>
      <c r="I349" s="159"/>
      <c r="J349" s="161"/>
      <c r="K349" s="161"/>
      <c r="L349" s="161"/>
      <c r="M349" s="161"/>
      <c r="N349" s="161"/>
      <c r="O349" s="161"/>
      <c r="P349" s="162"/>
      <c r="Q349" s="161"/>
      <c r="R349" s="161"/>
      <c r="S349" s="161"/>
      <c r="T349" s="303"/>
      <c r="U349" s="161"/>
      <c r="V349" s="161"/>
      <c r="W349" s="161"/>
      <c r="X349" s="161"/>
      <c r="Y349" s="161"/>
      <c r="Z349" s="161"/>
    </row>
    <row r="350" spans="1:26">
      <c r="A350" s="161"/>
      <c r="B350" s="855"/>
      <c r="C350" s="161"/>
      <c r="D350" s="303"/>
      <c r="E350" s="162"/>
      <c r="F350" s="161"/>
      <c r="G350" s="161"/>
      <c r="H350" s="302"/>
      <c r="I350" s="159"/>
      <c r="J350" s="161"/>
      <c r="K350" s="161"/>
      <c r="L350" s="161"/>
      <c r="M350" s="161"/>
      <c r="N350" s="161"/>
      <c r="O350" s="161"/>
      <c r="P350" s="162"/>
      <c r="Q350" s="161"/>
      <c r="R350" s="161"/>
      <c r="S350" s="161"/>
      <c r="T350" s="303"/>
      <c r="U350" s="161"/>
      <c r="V350" s="161"/>
      <c r="W350" s="161"/>
      <c r="X350" s="161"/>
      <c r="Y350" s="161"/>
      <c r="Z350" s="161"/>
    </row>
    <row r="351" spans="1:26">
      <c r="A351" s="161"/>
      <c r="B351" s="855"/>
      <c r="C351" s="161"/>
      <c r="D351" s="303"/>
      <c r="E351" s="162"/>
      <c r="F351" s="161"/>
      <c r="G351" s="161"/>
      <c r="H351" s="302"/>
      <c r="I351" s="159"/>
      <c r="J351" s="161"/>
      <c r="K351" s="161"/>
      <c r="L351" s="161"/>
      <c r="M351" s="161"/>
      <c r="N351" s="161"/>
      <c r="O351" s="161"/>
      <c r="P351" s="162"/>
      <c r="Q351" s="161"/>
      <c r="R351" s="161"/>
      <c r="S351" s="161"/>
      <c r="T351" s="303"/>
      <c r="U351" s="161"/>
      <c r="V351" s="161"/>
      <c r="W351" s="161"/>
      <c r="X351" s="161"/>
      <c r="Y351" s="161"/>
      <c r="Z351" s="161"/>
    </row>
    <row r="352" spans="1:26">
      <c r="A352" s="161"/>
      <c r="B352" s="855"/>
      <c r="C352" s="161"/>
      <c r="D352" s="303"/>
      <c r="E352" s="162"/>
      <c r="F352" s="161"/>
      <c r="G352" s="161"/>
      <c r="H352" s="302"/>
      <c r="I352" s="159"/>
      <c r="J352" s="161"/>
      <c r="K352" s="161"/>
      <c r="L352" s="161"/>
      <c r="M352" s="161"/>
      <c r="N352" s="161"/>
      <c r="O352" s="161"/>
      <c r="P352" s="162"/>
      <c r="Q352" s="161"/>
      <c r="R352" s="161"/>
      <c r="S352" s="161"/>
      <c r="T352" s="303"/>
      <c r="U352" s="161"/>
      <c r="V352" s="161"/>
      <c r="W352" s="161"/>
      <c r="X352" s="161"/>
      <c r="Y352" s="161"/>
      <c r="Z352" s="161"/>
    </row>
    <row r="353" spans="1:26">
      <c r="A353" s="161"/>
      <c r="B353" s="855"/>
      <c r="C353" s="161"/>
      <c r="D353" s="303"/>
      <c r="E353" s="162"/>
      <c r="F353" s="161"/>
      <c r="G353" s="161"/>
      <c r="H353" s="302"/>
      <c r="I353" s="159"/>
      <c r="J353" s="161"/>
      <c r="K353" s="161"/>
      <c r="L353" s="161"/>
      <c r="M353" s="161"/>
      <c r="N353" s="161"/>
      <c r="O353" s="161"/>
      <c r="P353" s="162"/>
      <c r="Q353" s="161"/>
      <c r="R353" s="161"/>
      <c r="S353" s="161"/>
      <c r="T353" s="303"/>
      <c r="U353" s="161"/>
      <c r="V353" s="161"/>
      <c r="W353" s="161"/>
      <c r="X353" s="161"/>
      <c r="Y353" s="161"/>
      <c r="Z353" s="161"/>
    </row>
    <row r="354" spans="1:26">
      <c r="A354" s="161"/>
      <c r="B354" s="855"/>
      <c r="C354" s="161"/>
      <c r="D354" s="303"/>
      <c r="E354" s="162"/>
      <c r="F354" s="161"/>
      <c r="G354" s="161"/>
      <c r="H354" s="302"/>
      <c r="I354" s="159"/>
      <c r="J354" s="161"/>
      <c r="K354" s="161"/>
      <c r="L354" s="161"/>
      <c r="M354" s="161"/>
      <c r="N354" s="161"/>
      <c r="O354" s="161"/>
      <c r="P354" s="162"/>
      <c r="Q354" s="161"/>
      <c r="R354" s="161"/>
      <c r="S354" s="161"/>
      <c r="T354" s="303"/>
      <c r="U354" s="161"/>
      <c r="V354" s="161"/>
      <c r="W354" s="161"/>
      <c r="X354" s="161"/>
      <c r="Y354" s="161"/>
      <c r="Z354" s="161"/>
    </row>
    <row r="355" spans="1:26">
      <c r="A355" s="161"/>
      <c r="B355" s="855"/>
      <c r="C355" s="161"/>
      <c r="D355" s="303"/>
      <c r="E355" s="162"/>
      <c r="F355" s="161"/>
      <c r="G355" s="161"/>
      <c r="H355" s="302"/>
      <c r="I355" s="159"/>
      <c r="J355" s="161"/>
      <c r="K355" s="161"/>
      <c r="L355" s="161"/>
      <c r="M355" s="161"/>
      <c r="N355" s="161"/>
      <c r="O355" s="161"/>
      <c r="P355" s="162"/>
      <c r="Q355" s="161"/>
      <c r="R355" s="161"/>
      <c r="S355" s="161"/>
      <c r="T355" s="303"/>
      <c r="U355" s="161"/>
      <c r="V355" s="161"/>
      <c r="W355" s="161"/>
      <c r="X355" s="161"/>
      <c r="Y355" s="161"/>
      <c r="Z355" s="161"/>
    </row>
    <row r="356" spans="1:26">
      <c r="A356" s="161"/>
      <c r="B356" s="855"/>
      <c r="C356" s="161"/>
      <c r="D356" s="303"/>
      <c r="E356" s="162"/>
      <c r="F356" s="161"/>
      <c r="G356" s="161"/>
      <c r="H356" s="302"/>
      <c r="I356" s="159"/>
      <c r="J356" s="161"/>
      <c r="K356" s="161"/>
      <c r="L356" s="161"/>
      <c r="M356" s="161"/>
      <c r="N356" s="161"/>
      <c r="O356" s="161"/>
      <c r="P356" s="162"/>
      <c r="Q356" s="161"/>
      <c r="R356" s="161"/>
      <c r="S356" s="161"/>
      <c r="T356" s="303"/>
      <c r="U356" s="161"/>
      <c r="V356" s="161"/>
      <c r="W356" s="161"/>
      <c r="X356" s="161"/>
      <c r="Y356" s="161"/>
      <c r="Z356" s="161"/>
    </row>
    <row r="357" spans="1:26">
      <c r="A357" s="161"/>
      <c r="B357" s="855"/>
      <c r="C357" s="161"/>
      <c r="D357" s="303"/>
      <c r="E357" s="162"/>
      <c r="F357" s="161"/>
      <c r="G357" s="161"/>
      <c r="H357" s="302"/>
      <c r="I357" s="159"/>
      <c r="J357" s="161"/>
      <c r="K357" s="161"/>
      <c r="L357" s="161"/>
      <c r="M357" s="161"/>
      <c r="N357" s="161"/>
      <c r="O357" s="161"/>
      <c r="P357" s="162"/>
      <c r="Q357" s="161"/>
      <c r="R357" s="161"/>
      <c r="S357" s="161"/>
      <c r="T357" s="303"/>
      <c r="U357" s="161"/>
      <c r="V357" s="161"/>
      <c r="W357" s="161"/>
      <c r="X357" s="161"/>
      <c r="Y357" s="161"/>
      <c r="Z357" s="161"/>
    </row>
    <row r="358" spans="1:26">
      <c r="A358" s="161"/>
      <c r="B358" s="855"/>
      <c r="C358" s="161"/>
      <c r="D358" s="303"/>
      <c r="E358" s="162"/>
      <c r="F358" s="161"/>
      <c r="G358" s="161"/>
      <c r="H358" s="302"/>
      <c r="I358" s="159"/>
      <c r="J358" s="161"/>
      <c r="K358" s="161"/>
      <c r="L358" s="161"/>
      <c r="M358" s="161"/>
      <c r="N358" s="161"/>
      <c r="O358" s="161"/>
      <c r="P358" s="162"/>
      <c r="Q358" s="161"/>
      <c r="R358" s="161"/>
      <c r="S358" s="161"/>
      <c r="T358" s="303"/>
      <c r="U358" s="161"/>
      <c r="V358" s="161"/>
      <c r="W358" s="161"/>
      <c r="X358" s="161"/>
      <c r="Y358" s="161"/>
      <c r="Z358" s="161"/>
    </row>
    <row r="359" spans="1:26">
      <c r="A359" s="161"/>
      <c r="B359" s="855"/>
      <c r="C359" s="161"/>
      <c r="D359" s="303"/>
      <c r="E359" s="162"/>
      <c r="F359" s="161"/>
      <c r="G359" s="161"/>
      <c r="H359" s="302"/>
      <c r="I359" s="159"/>
      <c r="J359" s="161"/>
      <c r="K359" s="161"/>
      <c r="L359" s="161"/>
      <c r="M359" s="161"/>
      <c r="N359" s="161"/>
      <c r="O359" s="161"/>
      <c r="P359" s="162"/>
      <c r="Q359" s="161"/>
      <c r="R359" s="161"/>
      <c r="S359" s="161"/>
      <c r="T359" s="303"/>
      <c r="U359" s="161"/>
      <c r="V359" s="161"/>
      <c r="W359" s="161"/>
      <c r="X359" s="161"/>
      <c r="Y359" s="161"/>
      <c r="Z359" s="161"/>
    </row>
    <row r="360" spans="1:26">
      <c r="A360" s="161"/>
      <c r="B360" s="855"/>
      <c r="C360" s="161"/>
      <c r="D360" s="303"/>
      <c r="E360" s="162"/>
      <c r="F360" s="161"/>
      <c r="G360" s="161"/>
      <c r="H360" s="302"/>
      <c r="I360" s="159"/>
      <c r="J360" s="161"/>
      <c r="K360" s="161"/>
      <c r="L360" s="161"/>
      <c r="M360" s="161"/>
      <c r="N360" s="161"/>
      <c r="O360" s="161"/>
      <c r="P360" s="162"/>
      <c r="Q360" s="161"/>
      <c r="R360" s="161"/>
      <c r="S360" s="161"/>
      <c r="T360" s="303"/>
      <c r="U360" s="161"/>
      <c r="V360" s="161"/>
      <c r="W360" s="161"/>
      <c r="X360" s="161"/>
      <c r="Y360" s="161"/>
      <c r="Z360" s="161"/>
    </row>
    <row r="361" spans="1:26">
      <c r="A361" s="161"/>
      <c r="B361" s="855"/>
      <c r="C361" s="161"/>
      <c r="D361" s="303"/>
      <c r="E361" s="162"/>
      <c r="F361" s="161"/>
      <c r="G361" s="161"/>
      <c r="H361" s="302"/>
      <c r="I361" s="159"/>
      <c r="J361" s="161"/>
      <c r="K361" s="161"/>
      <c r="L361" s="161"/>
      <c r="M361" s="161"/>
      <c r="N361" s="161"/>
      <c r="O361" s="161"/>
      <c r="P361" s="162"/>
      <c r="Q361" s="161"/>
      <c r="R361" s="161"/>
      <c r="S361" s="161"/>
      <c r="T361" s="303"/>
      <c r="U361" s="161"/>
      <c r="V361" s="161"/>
      <c r="W361" s="161"/>
      <c r="X361" s="161"/>
      <c r="Y361" s="161"/>
      <c r="Z361" s="161"/>
    </row>
    <row r="362" spans="1:26">
      <c r="A362" s="161"/>
      <c r="B362" s="855"/>
      <c r="C362" s="161"/>
      <c r="D362" s="303"/>
      <c r="E362" s="162"/>
      <c r="F362" s="161"/>
      <c r="G362" s="161"/>
      <c r="H362" s="302"/>
      <c r="I362" s="159"/>
      <c r="J362" s="161"/>
      <c r="K362" s="161"/>
      <c r="L362" s="161"/>
      <c r="M362" s="161"/>
      <c r="N362" s="161"/>
      <c r="O362" s="161"/>
      <c r="P362" s="162"/>
      <c r="Q362" s="161"/>
      <c r="R362" s="161"/>
      <c r="S362" s="161"/>
      <c r="T362" s="303"/>
      <c r="U362" s="161"/>
      <c r="V362" s="161"/>
      <c r="W362" s="161"/>
      <c r="X362" s="161"/>
      <c r="Y362" s="161"/>
      <c r="Z362" s="161"/>
    </row>
    <row r="363" spans="1:26">
      <c r="A363" s="895"/>
      <c r="B363" s="896"/>
      <c r="C363" s="161"/>
      <c r="D363" s="303"/>
      <c r="E363" s="162"/>
      <c r="F363" s="897"/>
      <c r="G363" s="694"/>
      <c r="H363" s="695"/>
      <c r="I363" s="696"/>
      <c r="J363" s="697"/>
      <c r="K363" s="697"/>
      <c r="L363" s="697"/>
      <c r="M363" s="697"/>
      <c r="N363" s="697"/>
      <c r="O363" s="895"/>
      <c r="P363" s="162"/>
      <c r="Q363" s="161"/>
      <c r="R363" s="161"/>
      <c r="S363" s="697"/>
      <c r="T363" s="937"/>
      <c r="U363" s="895"/>
      <c r="V363" s="895"/>
      <c r="W363" s="895"/>
      <c r="X363" s="895"/>
      <c r="Y363" s="895"/>
      <c r="Z363" s="895"/>
    </row>
    <row r="364" spans="1:26">
      <c r="A364" s="895"/>
      <c r="B364" s="896"/>
      <c r="C364" s="161"/>
      <c r="D364" s="303"/>
      <c r="E364" s="162"/>
      <c r="F364" s="897"/>
      <c r="G364" s="694"/>
      <c r="H364" s="695"/>
      <c r="I364" s="696"/>
      <c r="J364" s="697"/>
      <c r="K364" s="697"/>
      <c r="L364" s="697"/>
      <c r="M364" s="697"/>
      <c r="N364" s="697"/>
      <c r="O364" s="895"/>
      <c r="P364" s="162"/>
      <c r="Q364" s="161"/>
      <c r="R364" s="161"/>
      <c r="S364" s="697"/>
      <c r="T364" s="937"/>
      <c r="U364" s="895"/>
      <c r="V364" s="895"/>
      <c r="W364" s="895"/>
      <c r="X364" s="895"/>
      <c r="Y364" s="895"/>
      <c r="Z364" s="895"/>
    </row>
    <row r="365" spans="1:26">
      <c r="A365" s="895"/>
      <c r="B365" s="896"/>
      <c r="C365" s="161"/>
      <c r="D365" s="303"/>
      <c r="E365" s="162"/>
      <c r="F365" s="897"/>
      <c r="G365" s="694"/>
      <c r="H365" s="695"/>
      <c r="I365" s="696"/>
      <c r="J365" s="697"/>
      <c r="K365" s="697"/>
      <c r="L365" s="697"/>
      <c r="M365" s="697"/>
      <c r="N365" s="697"/>
      <c r="O365" s="895"/>
      <c r="P365" s="162"/>
      <c r="Q365" s="161"/>
      <c r="R365" s="161"/>
      <c r="S365" s="697"/>
      <c r="T365" s="937"/>
      <c r="U365" s="895"/>
      <c r="V365" s="895"/>
      <c r="W365" s="895"/>
      <c r="X365" s="895"/>
      <c r="Y365" s="895"/>
      <c r="Z365" s="895"/>
    </row>
    <row r="366" spans="1:26">
      <c r="A366" s="895"/>
      <c r="B366" s="896"/>
      <c r="C366" s="161"/>
      <c r="D366" s="303"/>
      <c r="E366" s="162"/>
      <c r="F366" s="897"/>
      <c r="G366" s="694"/>
      <c r="H366" s="695"/>
      <c r="I366" s="696"/>
      <c r="J366" s="697"/>
      <c r="K366" s="697"/>
      <c r="L366" s="697"/>
      <c r="M366" s="697"/>
      <c r="N366" s="697"/>
      <c r="O366" s="895"/>
      <c r="P366" s="162"/>
      <c r="Q366" s="161"/>
      <c r="R366" s="161"/>
      <c r="S366" s="697"/>
      <c r="T366" s="937"/>
      <c r="U366" s="895"/>
      <c r="V366" s="895"/>
      <c r="W366" s="895"/>
      <c r="X366" s="895"/>
      <c r="Y366" s="895"/>
      <c r="Z366" s="895"/>
    </row>
    <row r="367" spans="1:26">
      <c r="A367" s="895"/>
      <c r="B367" s="896"/>
      <c r="C367" s="161"/>
      <c r="D367" s="303"/>
      <c r="E367" s="162"/>
      <c r="F367" s="897"/>
      <c r="G367" s="694"/>
      <c r="H367" s="695"/>
      <c r="I367" s="696"/>
      <c r="J367" s="697"/>
      <c r="K367" s="697"/>
      <c r="L367" s="697"/>
      <c r="M367" s="697"/>
      <c r="N367" s="697"/>
      <c r="O367" s="895"/>
      <c r="P367" s="162"/>
      <c r="Q367" s="161"/>
      <c r="R367" s="161"/>
      <c r="S367" s="697"/>
      <c r="T367" s="937"/>
      <c r="U367" s="895"/>
      <c r="V367" s="895"/>
      <c r="W367" s="895"/>
      <c r="X367" s="895"/>
      <c r="Y367" s="895"/>
      <c r="Z367" s="895"/>
    </row>
    <row r="368" spans="1:26">
      <c r="A368" s="895"/>
      <c r="B368" s="896"/>
      <c r="C368" s="161"/>
      <c r="D368" s="303"/>
      <c r="E368" s="162"/>
      <c r="F368" s="897"/>
      <c r="G368" s="694"/>
      <c r="H368" s="695"/>
      <c r="I368" s="696"/>
      <c r="J368" s="697"/>
      <c r="K368" s="697"/>
      <c r="L368" s="697"/>
      <c r="M368" s="697"/>
      <c r="N368" s="697"/>
      <c r="O368" s="895"/>
      <c r="P368" s="162"/>
      <c r="Q368" s="161"/>
      <c r="R368" s="161"/>
      <c r="S368" s="697"/>
      <c r="T368" s="937"/>
      <c r="U368" s="895"/>
      <c r="V368" s="895"/>
      <c r="W368" s="895"/>
      <c r="X368" s="895"/>
      <c r="Y368" s="895"/>
      <c r="Z368" s="895"/>
    </row>
    <row r="369" spans="1:26">
      <c r="A369" s="895"/>
      <c r="B369" s="896"/>
      <c r="C369" s="161"/>
      <c r="D369" s="303"/>
      <c r="E369" s="162"/>
      <c r="F369" s="897"/>
      <c r="G369" s="694"/>
      <c r="H369" s="695"/>
      <c r="I369" s="696"/>
      <c r="J369" s="697"/>
      <c r="K369" s="697"/>
      <c r="L369" s="697"/>
      <c r="M369" s="697"/>
      <c r="N369" s="697"/>
      <c r="O369" s="895"/>
      <c r="P369" s="162"/>
      <c r="Q369" s="161"/>
      <c r="R369" s="161"/>
      <c r="S369" s="697"/>
      <c r="T369" s="937"/>
      <c r="U369" s="895"/>
      <c r="V369" s="895"/>
      <c r="W369" s="895"/>
      <c r="X369" s="895"/>
      <c r="Y369" s="895"/>
      <c r="Z369" s="895"/>
    </row>
    <row r="370" spans="1:26">
      <c r="A370" s="895"/>
      <c r="B370" s="896"/>
      <c r="C370" s="161"/>
      <c r="D370" s="303"/>
      <c r="E370" s="162"/>
      <c r="F370" s="897"/>
      <c r="G370" s="694"/>
      <c r="H370" s="695"/>
      <c r="I370" s="696"/>
      <c r="J370" s="697"/>
      <c r="K370" s="697"/>
      <c r="L370" s="697"/>
      <c r="M370" s="697"/>
      <c r="N370" s="697"/>
      <c r="O370" s="895"/>
      <c r="P370" s="162"/>
      <c r="Q370" s="161"/>
      <c r="R370" s="161"/>
      <c r="S370" s="697"/>
      <c r="T370" s="937"/>
      <c r="U370" s="895"/>
      <c r="V370" s="895"/>
      <c r="W370" s="895"/>
      <c r="X370" s="895"/>
      <c r="Y370" s="895"/>
      <c r="Z370" s="895"/>
    </row>
    <row r="371" spans="1:26">
      <c r="A371" s="895"/>
      <c r="B371" s="896"/>
      <c r="C371" s="161"/>
      <c r="D371" s="303"/>
      <c r="E371" s="162"/>
      <c r="F371" s="897"/>
      <c r="G371" s="694"/>
      <c r="H371" s="695"/>
      <c r="I371" s="696"/>
      <c r="J371" s="697"/>
      <c r="K371" s="697"/>
      <c r="L371" s="697"/>
      <c r="M371" s="697"/>
      <c r="N371" s="697"/>
      <c r="O371" s="895"/>
      <c r="P371" s="162"/>
      <c r="Q371" s="161"/>
      <c r="R371" s="161"/>
      <c r="S371" s="697"/>
      <c r="T371" s="937"/>
      <c r="U371" s="895"/>
      <c r="V371" s="895"/>
      <c r="W371" s="895"/>
      <c r="X371" s="895"/>
      <c r="Y371" s="895"/>
      <c r="Z371" s="895"/>
    </row>
    <row r="372" spans="1:26">
      <c r="A372" s="895"/>
      <c r="B372" s="896"/>
      <c r="C372" s="161"/>
      <c r="D372" s="303"/>
      <c r="E372" s="162"/>
      <c r="F372" s="897"/>
      <c r="G372" s="694"/>
      <c r="H372" s="695"/>
      <c r="I372" s="696"/>
      <c r="J372" s="697"/>
      <c r="K372" s="697"/>
      <c r="L372" s="697"/>
      <c r="M372" s="697"/>
      <c r="N372" s="697"/>
      <c r="O372" s="895"/>
      <c r="P372" s="162"/>
      <c r="Q372" s="161"/>
      <c r="R372" s="161"/>
      <c r="S372" s="697"/>
      <c r="T372" s="937"/>
      <c r="U372" s="895"/>
      <c r="V372" s="895"/>
      <c r="W372" s="895"/>
      <c r="X372" s="895"/>
      <c r="Y372" s="895"/>
      <c r="Z372" s="895"/>
    </row>
    <row r="373" spans="1:26">
      <c r="A373" s="895"/>
      <c r="B373" s="896"/>
      <c r="C373" s="161"/>
      <c r="D373" s="303"/>
      <c r="E373" s="162"/>
      <c r="F373" s="897"/>
      <c r="G373" s="694"/>
      <c r="H373" s="695"/>
      <c r="I373" s="696"/>
      <c r="J373" s="697"/>
      <c r="K373" s="697"/>
      <c r="L373" s="697"/>
      <c r="M373" s="697"/>
      <c r="N373" s="697"/>
      <c r="O373" s="895"/>
      <c r="P373" s="162"/>
      <c r="Q373" s="161"/>
      <c r="R373" s="161"/>
      <c r="S373" s="697"/>
      <c r="T373" s="937"/>
      <c r="U373" s="895"/>
      <c r="V373" s="895"/>
      <c r="W373" s="895"/>
      <c r="X373" s="895"/>
      <c r="Y373" s="895"/>
      <c r="Z373" s="895"/>
    </row>
    <row r="374" spans="1:26">
      <c r="A374" s="895"/>
      <c r="B374" s="896"/>
      <c r="C374" s="161"/>
      <c r="D374" s="303"/>
      <c r="E374" s="162"/>
      <c r="F374" s="897"/>
      <c r="G374" s="694"/>
      <c r="H374" s="695"/>
      <c r="I374" s="696"/>
      <c r="J374" s="697"/>
      <c r="K374" s="697"/>
      <c r="L374" s="697"/>
      <c r="M374" s="697"/>
      <c r="N374" s="697"/>
      <c r="O374" s="895"/>
      <c r="P374" s="162"/>
      <c r="Q374" s="161"/>
      <c r="R374" s="161"/>
      <c r="S374" s="697"/>
      <c r="T374" s="937"/>
      <c r="U374" s="895"/>
      <c r="V374" s="895"/>
      <c r="W374" s="895"/>
      <c r="X374" s="895"/>
      <c r="Y374" s="895"/>
      <c r="Z374" s="895"/>
    </row>
    <row r="375" spans="1:26">
      <c r="A375" s="895"/>
      <c r="B375" s="896"/>
      <c r="C375" s="161"/>
      <c r="D375" s="303"/>
      <c r="E375" s="162"/>
      <c r="F375" s="897"/>
      <c r="G375" s="694"/>
      <c r="H375" s="695"/>
      <c r="I375" s="696"/>
      <c r="J375" s="697"/>
      <c r="K375" s="697"/>
      <c r="L375" s="697"/>
      <c r="M375" s="697"/>
      <c r="N375" s="697"/>
      <c r="O375" s="895"/>
      <c r="P375" s="162"/>
      <c r="Q375" s="161"/>
      <c r="R375" s="161"/>
      <c r="S375" s="697"/>
      <c r="T375" s="937"/>
      <c r="U375" s="895"/>
      <c r="V375" s="895"/>
      <c r="W375" s="895"/>
      <c r="X375" s="895"/>
      <c r="Y375" s="895"/>
      <c r="Z375" s="895"/>
    </row>
    <row r="376" spans="1:26">
      <c r="A376" s="895"/>
      <c r="B376" s="896"/>
      <c r="C376" s="161"/>
      <c r="D376" s="303"/>
      <c r="E376" s="162"/>
      <c r="F376" s="897"/>
      <c r="G376" s="694"/>
      <c r="H376" s="695"/>
      <c r="I376" s="696"/>
      <c r="J376" s="697"/>
      <c r="K376" s="697"/>
      <c r="L376" s="697"/>
      <c r="M376" s="697"/>
      <c r="N376" s="697"/>
      <c r="O376" s="895"/>
      <c r="P376" s="162"/>
      <c r="Q376" s="161"/>
      <c r="R376" s="161"/>
      <c r="S376" s="697"/>
      <c r="T376" s="937"/>
      <c r="U376" s="895"/>
      <c r="V376" s="895"/>
      <c r="W376" s="895"/>
      <c r="X376" s="895"/>
      <c r="Y376" s="895"/>
      <c r="Z376" s="895"/>
    </row>
    <row r="377" spans="1:26">
      <c r="A377" s="895"/>
      <c r="B377" s="896"/>
      <c r="C377" s="161"/>
      <c r="D377" s="303"/>
      <c r="E377" s="162"/>
      <c r="F377" s="897"/>
      <c r="G377" s="694"/>
      <c r="H377" s="695"/>
      <c r="I377" s="696"/>
      <c r="J377" s="697"/>
      <c r="K377" s="697"/>
      <c r="L377" s="697"/>
      <c r="M377" s="697"/>
      <c r="N377" s="697"/>
      <c r="O377" s="895"/>
      <c r="P377" s="162"/>
      <c r="Q377" s="161"/>
      <c r="R377" s="161"/>
      <c r="S377" s="697"/>
      <c r="T377" s="937"/>
      <c r="U377" s="895"/>
      <c r="V377" s="895"/>
      <c r="W377" s="895"/>
      <c r="X377" s="895"/>
      <c r="Y377" s="895"/>
      <c r="Z377" s="895"/>
    </row>
    <row r="378" spans="1:26">
      <c r="A378" s="895"/>
      <c r="B378" s="896"/>
      <c r="C378" s="161"/>
      <c r="D378" s="303"/>
      <c r="E378" s="162"/>
      <c r="F378" s="897"/>
      <c r="G378" s="694"/>
      <c r="H378" s="695"/>
      <c r="I378" s="696"/>
      <c r="J378" s="697"/>
      <c r="K378" s="697"/>
      <c r="L378" s="697"/>
      <c r="M378" s="697"/>
      <c r="N378" s="697"/>
      <c r="O378" s="895"/>
      <c r="P378" s="162"/>
      <c r="Q378" s="161"/>
      <c r="R378" s="161"/>
      <c r="S378" s="697"/>
      <c r="T378" s="937"/>
      <c r="U378" s="895"/>
      <c r="V378" s="895"/>
      <c r="W378" s="895"/>
      <c r="X378" s="895"/>
      <c r="Y378" s="895"/>
      <c r="Z378" s="895"/>
    </row>
    <row r="379" spans="1:26">
      <c r="A379" s="895"/>
      <c r="B379" s="896"/>
      <c r="C379" s="161"/>
      <c r="D379" s="303"/>
      <c r="E379" s="162"/>
      <c r="F379" s="897"/>
      <c r="G379" s="694"/>
      <c r="H379" s="695"/>
      <c r="I379" s="696"/>
      <c r="J379" s="697"/>
      <c r="K379" s="697"/>
      <c r="L379" s="697"/>
      <c r="M379" s="697"/>
      <c r="N379" s="697"/>
      <c r="O379" s="895"/>
      <c r="P379" s="162"/>
      <c r="Q379" s="161"/>
      <c r="R379" s="161"/>
      <c r="S379" s="697"/>
      <c r="T379" s="937"/>
      <c r="U379" s="895"/>
      <c r="V379" s="895"/>
      <c r="W379" s="895"/>
      <c r="X379" s="895"/>
      <c r="Y379" s="895"/>
      <c r="Z379" s="895"/>
    </row>
    <row r="380" spans="1:26">
      <c r="A380" s="895"/>
      <c r="B380" s="896"/>
      <c r="C380" s="161"/>
      <c r="D380" s="303"/>
      <c r="E380" s="162"/>
      <c r="F380" s="897"/>
      <c r="G380" s="694"/>
      <c r="H380" s="695"/>
      <c r="I380" s="696"/>
      <c r="J380" s="697"/>
      <c r="K380" s="697"/>
      <c r="L380" s="697"/>
      <c r="M380" s="697"/>
      <c r="N380" s="697"/>
      <c r="O380" s="895"/>
      <c r="P380" s="162"/>
      <c r="Q380" s="161"/>
      <c r="R380" s="161"/>
      <c r="S380" s="697"/>
      <c r="T380" s="937"/>
      <c r="U380" s="895"/>
      <c r="V380" s="895"/>
      <c r="W380" s="895"/>
      <c r="X380" s="895"/>
      <c r="Y380" s="895"/>
      <c r="Z380" s="895"/>
    </row>
    <row r="381" spans="1:26">
      <c r="A381" s="895"/>
      <c r="B381" s="896"/>
      <c r="C381" s="161"/>
      <c r="D381" s="303"/>
      <c r="E381" s="162"/>
      <c r="F381" s="897"/>
      <c r="G381" s="694"/>
      <c r="H381" s="695"/>
      <c r="I381" s="696"/>
      <c r="J381" s="697"/>
      <c r="K381" s="697"/>
      <c r="L381" s="697"/>
      <c r="M381" s="697"/>
      <c r="N381" s="697"/>
      <c r="O381" s="895"/>
      <c r="P381" s="162"/>
      <c r="Q381" s="161"/>
      <c r="R381" s="161"/>
      <c r="S381" s="697"/>
      <c r="T381" s="937"/>
      <c r="U381" s="895"/>
      <c r="V381" s="895"/>
      <c r="W381" s="895"/>
      <c r="X381" s="895"/>
      <c r="Y381" s="895"/>
      <c r="Z381" s="895"/>
    </row>
    <row r="382" spans="1:26">
      <c r="A382" s="895"/>
      <c r="B382" s="896"/>
      <c r="C382" s="161"/>
      <c r="D382" s="303"/>
      <c r="E382" s="162"/>
      <c r="F382" s="897"/>
      <c r="G382" s="694"/>
      <c r="H382" s="695"/>
      <c r="I382" s="696"/>
      <c r="J382" s="697"/>
      <c r="K382" s="697"/>
      <c r="L382" s="697"/>
      <c r="M382" s="697"/>
      <c r="N382" s="697"/>
      <c r="O382" s="895"/>
      <c r="P382" s="162"/>
      <c r="Q382" s="161"/>
      <c r="R382" s="161"/>
      <c r="S382" s="697"/>
      <c r="T382" s="937"/>
      <c r="U382" s="895"/>
      <c r="V382" s="895"/>
      <c r="W382" s="895"/>
      <c r="X382" s="895"/>
      <c r="Y382" s="895"/>
      <c r="Z382" s="895"/>
    </row>
    <row r="383" spans="1:26">
      <c r="A383" s="895"/>
      <c r="B383" s="896"/>
      <c r="C383" s="161"/>
      <c r="D383" s="303"/>
      <c r="E383" s="162"/>
      <c r="F383" s="897"/>
      <c r="G383" s="694"/>
      <c r="H383" s="695"/>
      <c r="I383" s="696"/>
      <c r="J383" s="697"/>
      <c r="K383" s="697"/>
      <c r="L383" s="697"/>
      <c r="M383" s="697"/>
      <c r="N383" s="697"/>
      <c r="O383" s="895"/>
      <c r="P383" s="162"/>
      <c r="Q383" s="161"/>
      <c r="R383" s="161"/>
      <c r="S383" s="697"/>
      <c r="T383" s="937"/>
      <c r="U383" s="895"/>
      <c r="V383" s="895"/>
      <c r="W383" s="895"/>
      <c r="X383" s="895"/>
      <c r="Y383" s="895"/>
      <c r="Z383" s="895"/>
    </row>
    <row r="384" spans="1:26">
      <c r="A384" s="895"/>
      <c r="B384" s="896"/>
      <c r="C384" s="161"/>
      <c r="D384" s="303"/>
      <c r="E384" s="162"/>
      <c r="F384" s="897"/>
      <c r="G384" s="694"/>
      <c r="H384" s="695"/>
      <c r="I384" s="696"/>
      <c r="J384" s="697"/>
      <c r="K384" s="697"/>
      <c r="L384" s="697"/>
      <c r="M384" s="697"/>
      <c r="N384" s="697"/>
      <c r="O384" s="895"/>
      <c r="P384" s="162"/>
      <c r="Q384" s="161"/>
      <c r="R384" s="161"/>
      <c r="S384" s="697"/>
      <c r="T384" s="937"/>
      <c r="U384" s="895"/>
      <c r="V384" s="895"/>
      <c r="W384" s="895"/>
      <c r="X384" s="895"/>
      <c r="Y384" s="895"/>
      <c r="Z384" s="895"/>
    </row>
    <row r="385" spans="1:26">
      <c r="A385" s="895"/>
      <c r="B385" s="896"/>
      <c r="C385" s="161"/>
      <c r="D385" s="303"/>
      <c r="E385" s="162"/>
      <c r="F385" s="897"/>
      <c r="G385" s="694"/>
      <c r="H385" s="695"/>
      <c r="I385" s="696"/>
      <c r="J385" s="697"/>
      <c r="K385" s="697"/>
      <c r="L385" s="697"/>
      <c r="M385" s="697"/>
      <c r="N385" s="697"/>
      <c r="O385" s="895"/>
      <c r="P385" s="162"/>
      <c r="Q385" s="161"/>
      <c r="R385" s="161"/>
      <c r="S385" s="697"/>
      <c r="T385" s="937"/>
      <c r="U385" s="895"/>
      <c r="V385" s="895"/>
      <c r="W385" s="895"/>
      <c r="X385" s="895"/>
      <c r="Y385" s="895"/>
      <c r="Z385" s="895"/>
    </row>
    <row r="386" spans="1:26">
      <c r="A386" s="895"/>
      <c r="B386" s="896"/>
      <c r="C386" s="161"/>
      <c r="D386" s="303"/>
      <c r="E386" s="162"/>
      <c r="F386" s="897"/>
      <c r="G386" s="694"/>
      <c r="H386" s="695"/>
      <c r="I386" s="696"/>
      <c r="J386" s="697"/>
      <c r="K386" s="697"/>
      <c r="L386" s="697"/>
      <c r="M386" s="697"/>
      <c r="N386" s="697"/>
      <c r="O386" s="895"/>
      <c r="P386" s="162"/>
      <c r="Q386" s="161"/>
      <c r="R386" s="161"/>
      <c r="S386" s="697"/>
      <c r="T386" s="937"/>
      <c r="U386" s="895"/>
      <c r="V386" s="895"/>
      <c r="W386" s="895"/>
      <c r="X386" s="895"/>
      <c r="Y386" s="895"/>
      <c r="Z386" s="895"/>
    </row>
    <row r="387" spans="1:26">
      <c r="A387" s="895"/>
      <c r="B387" s="896"/>
      <c r="C387" s="161"/>
      <c r="D387" s="303"/>
      <c r="E387" s="162"/>
      <c r="F387" s="897"/>
      <c r="G387" s="694"/>
      <c r="H387" s="695"/>
      <c r="I387" s="696"/>
      <c r="J387" s="697"/>
      <c r="K387" s="697"/>
      <c r="L387" s="697"/>
      <c r="M387" s="697"/>
      <c r="N387" s="697"/>
      <c r="O387" s="895"/>
      <c r="P387" s="162"/>
      <c r="Q387" s="161"/>
      <c r="R387" s="161"/>
      <c r="S387" s="697"/>
      <c r="T387" s="937"/>
      <c r="U387" s="895"/>
      <c r="V387" s="895"/>
      <c r="W387" s="895"/>
      <c r="X387" s="895"/>
      <c r="Y387" s="895"/>
      <c r="Z387" s="895"/>
    </row>
    <row r="388" spans="1:26">
      <c r="A388" s="895"/>
      <c r="B388" s="896"/>
      <c r="C388" s="161"/>
      <c r="D388" s="303"/>
      <c r="E388" s="162"/>
      <c r="F388" s="897"/>
      <c r="G388" s="694"/>
      <c r="H388" s="695"/>
      <c r="I388" s="696"/>
      <c r="J388" s="697"/>
      <c r="K388" s="697"/>
      <c r="L388" s="697"/>
      <c r="M388" s="697"/>
      <c r="N388" s="697"/>
      <c r="O388" s="895"/>
      <c r="P388" s="162"/>
      <c r="Q388" s="161"/>
      <c r="R388" s="161"/>
      <c r="S388" s="697"/>
      <c r="T388" s="937"/>
      <c r="U388" s="895"/>
      <c r="V388" s="895"/>
      <c r="W388" s="895"/>
      <c r="X388" s="895"/>
      <c r="Y388" s="895"/>
      <c r="Z388" s="895"/>
    </row>
    <row r="389" spans="1:26">
      <c r="A389" s="895"/>
      <c r="B389" s="896"/>
      <c r="C389" s="161"/>
      <c r="D389" s="303"/>
      <c r="E389" s="162"/>
      <c r="F389" s="897"/>
      <c r="G389" s="694"/>
      <c r="H389" s="695"/>
      <c r="I389" s="696"/>
      <c r="J389" s="697"/>
      <c r="K389" s="697"/>
      <c r="L389" s="697"/>
      <c r="M389" s="697"/>
      <c r="N389" s="697"/>
      <c r="O389" s="895"/>
      <c r="P389" s="162"/>
      <c r="Q389" s="161"/>
      <c r="R389" s="161"/>
      <c r="S389" s="697"/>
      <c r="T389" s="937"/>
      <c r="U389" s="895"/>
      <c r="V389" s="895"/>
      <c r="W389" s="895"/>
      <c r="X389" s="895"/>
      <c r="Y389" s="895"/>
      <c r="Z389" s="895"/>
    </row>
    <row r="390" spans="1:26">
      <c r="A390" s="895"/>
      <c r="B390" s="896"/>
      <c r="C390" s="161"/>
      <c r="D390" s="303"/>
      <c r="E390" s="162"/>
      <c r="F390" s="897"/>
      <c r="G390" s="694"/>
      <c r="H390" s="695"/>
      <c r="I390" s="696"/>
      <c r="J390" s="697"/>
      <c r="K390" s="697"/>
      <c r="L390" s="697"/>
      <c r="M390" s="697"/>
      <c r="N390" s="697"/>
      <c r="O390" s="895"/>
      <c r="P390" s="162"/>
      <c r="Q390" s="161"/>
      <c r="R390" s="161"/>
      <c r="S390" s="697"/>
      <c r="T390" s="937"/>
      <c r="U390" s="895"/>
      <c r="V390" s="895"/>
      <c r="W390" s="895"/>
      <c r="X390" s="895"/>
      <c r="Y390" s="895"/>
      <c r="Z390" s="895"/>
    </row>
    <row r="391" spans="1:26">
      <c r="A391" s="895"/>
      <c r="B391" s="896"/>
      <c r="C391" s="161"/>
      <c r="D391" s="303"/>
      <c r="E391" s="162"/>
      <c r="F391" s="897"/>
      <c r="G391" s="694"/>
      <c r="H391" s="695"/>
      <c r="I391" s="696"/>
      <c r="J391" s="697"/>
      <c r="K391" s="697"/>
      <c r="L391" s="697"/>
      <c r="M391" s="697"/>
      <c r="N391" s="697"/>
      <c r="O391" s="895"/>
      <c r="P391" s="162"/>
      <c r="Q391" s="161"/>
      <c r="R391" s="161"/>
      <c r="S391" s="697"/>
      <c r="T391" s="937"/>
      <c r="U391" s="895"/>
      <c r="V391" s="895"/>
      <c r="W391" s="895"/>
      <c r="X391" s="895"/>
      <c r="Y391" s="895"/>
      <c r="Z391" s="895"/>
    </row>
    <row r="392" spans="1:26">
      <c r="A392" s="895"/>
      <c r="B392" s="896"/>
      <c r="C392" s="161"/>
      <c r="D392" s="303"/>
      <c r="E392" s="162"/>
      <c r="F392" s="897"/>
      <c r="G392" s="694"/>
      <c r="H392" s="695"/>
      <c r="I392" s="696"/>
      <c r="J392" s="697"/>
      <c r="K392" s="697"/>
      <c r="L392" s="697"/>
      <c r="M392" s="697"/>
      <c r="N392" s="697"/>
      <c r="O392" s="895"/>
      <c r="P392" s="162"/>
      <c r="Q392" s="161"/>
      <c r="R392" s="161"/>
      <c r="S392" s="697"/>
      <c r="T392" s="937"/>
      <c r="U392" s="895"/>
      <c r="V392" s="895"/>
      <c r="W392" s="895"/>
      <c r="X392" s="895"/>
      <c r="Y392" s="895"/>
      <c r="Z392" s="895"/>
    </row>
    <row r="393" spans="1:26">
      <c r="A393" s="895"/>
      <c r="B393" s="896"/>
      <c r="C393" s="161"/>
      <c r="D393" s="303"/>
      <c r="E393" s="162"/>
      <c r="F393" s="897"/>
      <c r="G393" s="694"/>
      <c r="H393" s="695"/>
      <c r="I393" s="696"/>
      <c r="J393" s="697"/>
      <c r="K393" s="697"/>
      <c r="L393" s="697"/>
      <c r="M393" s="697"/>
      <c r="N393" s="697"/>
      <c r="O393" s="895"/>
      <c r="P393" s="162"/>
      <c r="Q393" s="161"/>
      <c r="R393" s="161"/>
      <c r="S393" s="697"/>
      <c r="T393" s="937"/>
      <c r="U393" s="895"/>
      <c r="V393" s="895"/>
      <c r="W393" s="895"/>
      <c r="X393" s="895"/>
      <c r="Y393" s="895"/>
      <c r="Z393" s="895"/>
    </row>
    <row r="394" spans="1:26">
      <c r="A394" s="895"/>
      <c r="B394" s="896"/>
      <c r="C394" s="161"/>
      <c r="D394" s="303"/>
      <c r="E394" s="162"/>
      <c r="F394" s="897"/>
      <c r="G394" s="694"/>
      <c r="H394" s="695"/>
      <c r="I394" s="696"/>
      <c r="J394" s="697"/>
      <c r="K394" s="697"/>
      <c r="L394" s="697"/>
      <c r="M394" s="697"/>
      <c r="N394" s="697"/>
      <c r="O394" s="895"/>
      <c r="P394" s="162"/>
      <c r="Q394" s="161"/>
      <c r="R394" s="161"/>
      <c r="S394" s="697"/>
      <c r="T394" s="937"/>
      <c r="U394" s="895"/>
      <c r="V394" s="895"/>
      <c r="W394" s="895"/>
      <c r="X394" s="895"/>
      <c r="Y394" s="895"/>
      <c r="Z394" s="895"/>
    </row>
    <row r="395" spans="1:26">
      <c r="A395" s="895"/>
      <c r="B395" s="896"/>
      <c r="C395" s="161"/>
      <c r="D395" s="303"/>
      <c r="E395" s="162"/>
      <c r="F395" s="897"/>
      <c r="G395" s="694"/>
      <c r="H395" s="695"/>
      <c r="I395" s="696"/>
      <c r="J395" s="697"/>
      <c r="K395" s="697"/>
      <c r="L395" s="697"/>
      <c r="M395" s="697"/>
      <c r="N395" s="697"/>
      <c r="O395" s="895"/>
      <c r="P395" s="162"/>
      <c r="Q395" s="161"/>
      <c r="R395" s="161"/>
      <c r="S395" s="697"/>
      <c r="T395" s="937"/>
      <c r="U395" s="895"/>
      <c r="V395" s="895"/>
      <c r="W395" s="895"/>
      <c r="X395" s="895"/>
      <c r="Y395" s="895"/>
      <c r="Z395" s="895"/>
    </row>
    <row r="396" spans="1:26">
      <c r="A396" s="895"/>
      <c r="B396" s="896"/>
      <c r="C396" s="161"/>
      <c r="D396" s="303"/>
      <c r="E396" s="162"/>
      <c r="F396" s="897"/>
      <c r="G396" s="694"/>
      <c r="H396" s="695"/>
      <c r="I396" s="696"/>
      <c r="J396" s="697"/>
      <c r="K396" s="697"/>
      <c r="L396" s="697"/>
      <c r="M396" s="697"/>
      <c r="N396" s="697"/>
      <c r="O396" s="895"/>
      <c r="P396" s="162"/>
      <c r="Q396" s="161"/>
      <c r="R396" s="161"/>
      <c r="S396" s="697"/>
      <c r="T396" s="937"/>
      <c r="U396" s="895"/>
      <c r="V396" s="895"/>
      <c r="W396" s="895"/>
      <c r="X396" s="895"/>
      <c r="Y396" s="895"/>
      <c r="Z396" s="895"/>
    </row>
    <row r="397" spans="1:26">
      <c r="A397" s="895"/>
      <c r="B397" s="896"/>
      <c r="C397" s="161"/>
      <c r="D397" s="303"/>
      <c r="E397" s="162"/>
      <c r="F397" s="897"/>
      <c r="G397" s="694"/>
      <c r="H397" s="695"/>
      <c r="I397" s="696"/>
      <c r="J397" s="697"/>
      <c r="K397" s="697"/>
      <c r="L397" s="697"/>
      <c r="M397" s="697"/>
      <c r="N397" s="697"/>
      <c r="O397" s="895"/>
      <c r="P397" s="162"/>
      <c r="Q397" s="161"/>
      <c r="R397" s="161"/>
      <c r="S397" s="697"/>
      <c r="T397" s="937"/>
      <c r="U397" s="895"/>
      <c r="V397" s="895"/>
      <c r="W397" s="895"/>
      <c r="X397" s="895"/>
      <c r="Y397" s="895"/>
      <c r="Z397" s="895"/>
    </row>
    <row r="398" spans="1:26">
      <c r="A398" s="895"/>
      <c r="B398" s="896"/>
      <c r="C398" s="161"/>
      <c r="D398" s="303"/>
      <c r="E398" s="162"/>
      <c r="F398" s="897"/>
      <c r="G398" s="694"/>
      <c r="H398" s="695"/>
      <c r="I398" s="696"/>
      <c r="J398" s="697"/>
      <c r="K398" s="697"/>
      <c r="L398" s="697"/>
      <c r="M398" s="697"/>
      <c r="N398" s="697"/>
      <c r="O398" s="895"/>
      <c r="P398" s="162"/>
      <c r="Q398" s="161"/>
      <c r="R398" s="161"/>
      <c r="S398" s="697"/>
      <c r="T398" s="937"/>
      <c r="U398" s="895"/>
      <c r="V398" s="895"/>
      <c r="W398" s="895"/>
      <c r="X398" s="895"/>
      <c r="Y398" s="895"/>
      <c r="Z398" s="895"/>
    </row>
    <row r="399" spans="1:26">
      <c r="A399" s="895"/>
      <c r="B399" s="896"/>
      <c r="C399" s="161"/>
      <c r="D399" s="303"/>
      <c r="E399" s="162"/>
      <c r="F399" s="897"/>
      <c r="G399" s="694"/>
      <c r="H399" s="695"/>
      <c r="I399" s="696"/>
      <c r="J399" s="697"/>
      <c r="K399" s="697"/>
      <c r="L399" s="697"/>
      <c r="M399" s="697"/>
      <c r="N399" s="697"/>
      <c r="O399" s="895"/>
      <c r="P399" s="162"/>
      <c r="Q399" s="161"/>
      <c r="R399" s="161"/>
      <c r="S399" s="697"/>
      <c r="T399" s="937"/>
      <c r="U399" s="895"/>
      <c r="V399" s="895"/>
      <c r="W399" s="895"/>
      <c r="X399" s="895"/>
      <c r="Y399" s="895"/>
      <c r="Z399" s="895"/>
    </row>
    <row r="400" spans="1:26">
      <c r="A400" s="895"/>
      <c r="B400" s="896"/>
      <c r="C400" s="161"/>
      <c r="D400" s="303"/>
      <c r="E400" s="162"/>
      <c r="F400" s="897"/>
      <c r="G400" s="694"/>
      <c r="H400" s="695"/>
      <c r="I400" s="696"/>
      <c r="J400" s="697"/>
      <c r="K400" s="697"/>
      <c r="L400" s="697"/>
      <c r="M400" s="697"/>
      <c r="N400" s="697"/>
      <c r="O400" s="895"/>
      <c r="P400" s="162"/>
      <c r="Q400" s="161"/>
      <c r="R400" s="161"/>
      <c r="S400" s="697"/>
      <c r="T400" s="937"/>
      <c r="U400" s="895"/>
      <c r="V400" s="895"/>
      <c r="W400" s="895"/>
      <c r="X400" s="895"/>
      <c r="Y400" s="895"/>
      <c r="Z400" s="895"/>
    </row>
    <row r="401" spans="1:26">
      <c r="A401" s="895"/>
      <c r="B401" s="896"/>
      <c r="C401" s="161"/>
      <c r="D401" s="303"/>
      <c r="E401" s="162"/>
      <c r="F401" s="897"/>
      <c r="G401" s="694"/>
      <c r="H401" s="695"/>
      <c r="I401" s="696"/>
      <c r="J401" s="697"/>
      <c r="K401" s="697"/>
      <c r="L401" s="697"/>
      <c r="M401" s="697"/>
      <c r="N401" s="697"/>
      <c r="O401" s="895"/>
      <c r="P401" s="162"/>
      <c r="Q401" s="161"/>
      <c r="R401" s="161"/>
      <c r="S401" s="697"/>
      <c r="T401" s="937"/>
      <c r="U401" s="895"/>
      <c r="V401" s="895"/>
      <c r="W401" s="895"/>
      <c r="X401" s="895"/>
      <c r="Y401" s="895"/>
      <c r="Z401" s="895"/>
    </row>
    <row r="402" spans="1:26">
      <c r="A402" s="895"/>
      <c r="B402" s="896"/>
      <c r="C402" s="161"/>
      <c r="D402" s="303"/>
      <c r="E402" s="162"/>
      <c r="F402" s="897"/>
      <c r="G402" s="694"/>
      <c r="H402" s="695"/>
      <c r="I402" s="696"/>
      <c r="J402" s="697"/>
      <c r="K402" s="697"/>
      <c r="L402" s="697"/>
      <c r="M402" s="697"/>
      <c r="N402" s="697"/>
      <c r="O402" s="895"/>
      <c r="P402" s="162"/>
      <c r="Q402" s="161"/>
      <c r="R402" s="161"/>
      <c r="S402" s="697"/>
      <c r="T402" s="937"/>
      <c r="U402" s="895"/>
      <c r="V402" s="895"/>
      <c r="W402" s="895"/>
      <c r="X402" s="895"/>
      <c r="Y402" s="895"/>
      <c r="Z402" s="895"/>
    </row>
    <row r="403" spans="1:26">
      <c r="A403" s="895"/>
      <c r="B403" s="896"/>
      <c r="C403" s="161"/>
      <c r="D403" s="303"/>
      <c r="E403" s="162"/>
      <c r="F403" s="897"/>
      <c r="G403" s="694"/>
      <c r="H403" s="695"/>
      <c r="I403" s="696"/>
      <c r="J403" s="697"/>
      <c r="K403" s="697"/>
      <c r="L403" s="697"/>
      <c r="M403" s="697"/>
      <c r="N403" s="697"/>
      <c r="O403" s="895"/>
      <c r="P403" s="162"/>
      <c r="Q403" s="161"/>
      <c r="R403" s="161"/>
      <c r="S403" s="697"/>
      <c r="T403" s="937"/>
      <c r="U403" s="895"/>
      <c r="V403" s="895"/>
      <c r="W403" s="895"/>
      <c r="X403" s="895"/>
      <c r="Y403" s="895"/>
      <c r="Z403" s="895"/>
    </row>
    <row r="404" spans="1:26">
      <c r="A404" s="895"/>
      <c r="B404" s="896"/>
      <c r="C404" s="161"/>
      <c r="D404" s="303"/>
      <c r="E404" s="162"/>
      <c r="F404" s="897"/>
      <c r="G404" s="694"/>
      <c r="H404" s="695"/>
      <c r="I404" s="696"/>
      <c r="J404" s="697"/>
      <c r="K404" s="697"/>
      <c r="L404" s="697"/>
      <c r="M404" s="697"/>
      <c r="N404" s="697"/>
      <c r="O404" s="895"/>
      <c r="P404" s="162"/>
      <c r="Q404" s="161"/>
      <c r="R404" s="161"/>
      <c r="S404" s="697"/>
      <c r="T404" s="937"/>
      <c r="U404" s="895"/>
      <c r="V404" s="895"/>
      <c r="W404" s="895"/>
      <c r="X404" s="895"/>
      <c r="Y404" s="895"/>
      <c r="Z404" s="895"/>
    </row>
    <row r="405" spans="1:26">
      <c r="A405" s="895"/>
      <c r="B405" s="896"/>
      <c r="C405" s="161"/>
      <c r="D405" s="303"/>
      <c r="E405" s="162"/>
      <c r="F405" s="897"/>
      <c r="G405" s="694"/>
      <c r="H405" s="695"/>
      <c r="I405" s="696"/>
      <c r="J405" s="697"/>
      <c r="K405" s="697"/>
      <c r="L405" s="697"/>
      <c r="M405" s="697"/>
      <c r="N405" s="697"/>
      <c r="O405" s="895"/>
      <c r="P405" s="162"/>
      <c r="Q405" s="161"/>
      <c r="R405" s="161"/>
      <c r="S405" s="697"/>
      <c r="T405" s="937"/>
      <c r="U405" s="895"/>
      <c r="V405" s="895"/>
      <c r="W405" s="895"/>
      <c r="X405" s="895"/>
      <c r="Y405" s="895"/>
      <c r="Z405" s="895"/>
    </row>
    <row r="406" spans="1:26">
      <c r="A406" s="895"/>
      <c r="B406" s="896"/>
      <c r="C406" s="161"/>
      <c r="D406" s="303"/>
      <c r="E406" s="162"/>
      <c r="F406" s="897"/>
      <c r="G406" s="694"/>
      <c r="H406" s="695"/>
      <c r="I406" s="696"/>
      <c r="J406" s="697"/>
      <c r="K406" s="697"/>
      <c r="L406" s="697"/>
      <c r="M406" s="697"/>
      <c r="N406" s="697"/>
      <c r="O406" s="895"/>
      <c r="P406" s="162"/>
      <c r="Q406" s="161"/>
      <c r="R406" s="161"/>
      <c r="S406" s="697"/>
      <c r="T406" s="937"/>
      <c r="U406" s="895"/>
      <c r="V406" s="895"/>
      <c r="W406" s="895"/>
      <c r="X406" s="895"/>
      <c r="Y406" s="895"/>
      <c r="Z406" s="895"/>
    </row>
    <row r="407" spans="1:26">
      <c r="A407" s="895"/>
      <c r="B407" s="896"/>
      <c r="C407" s="161"/>
      <c r="D407" s="303"/>
      <c r="E407" s="162"/>
      <c r="F407" s="897"/>
      <c r="G407" s="694"/>
      <c r="H407" s="695"/>
      <c r="I407" s="696"/>
      <c r="J407" s="697"/>
      <c r="K407" s="697"/>
      <c r="L407" s="697"/>
      <c r="M407" s="697"/>
      <c r="N407" s="697"/>
      <c r="O407" s="895"/>
      <c r="P407" s="162"/>
      <c r="Q407" s="161"/>
      <c r="R407" s="161"/>
      <c r="S407" s="697"/>
      <c r="T407" s="937"/>
      <c r="U407" s="895"/>
      <c r="V407" s="895"/>
      <c r="W407" s="895"/>
      <c r="X407" s="895"/>
      <c r="Y407" s="895"/>
      <c r="Z407" s="895"/>
    </row>
    <row r="408" spans="1:26">
      <c r="A408" s="895"/>
      <c r="B408" s="896"/>
      <c r="C408" s="161"/>
      <c r="D408" s="303"/>
      <c r="E408" s="162"/>
      <c r="F408" s="897"/>
      <c r="G408" s="694"/>
      <c r="H408" s="695"/>
      <c r="I408" s="696"/>
      <c r="J408" s="697"/>
      <c r="K408" s="697"/>
      <c r="L408" s="697"/>
      <c r="M408" s="697"/>
      <c r="N408" s="697"/>
      <c r="O408" s="895"/>
      <c r="P408" s="162"/>
      <c r="Q408" s="161"/>
      <c r="R408" s="161"/>
      <c r="S408" s="697"/>
      <c r="T408" s="937"/>
      <c r="U408" s="895"/>
      <c r="V408" s="895"/>
      <c r="W408" s="895"/>
      <c r="X408" s="895"/>
      <c r="Y408" s="895"/>
      <c r="Z408" s="895"/>
    </row>
    <row r="409" spans="1:26">
      <c r="A409" s="895"/>
      <c r="B409" s="896"/>
      <c r="C409" s="161"/>
      <c r="D409" s="303"/>
      <c r="E409" s="162"/>
      <c r="F409" s="897"/>
      <c r="G409" s="694"/>
      <c r="H409" s="695"/>
      <c r="I409" s="696"/>
      <c r="J409" s="697"/>
      <c r="K409" s="697"/>
      <c r="L409" s="697"/>
      <c r="M409" s="697"/>
      <c r="N409" s="697"/>
      <c r="O409" s="895"/>
      <c r="P409" s="162"/>
      <c r="Q409" s="161"/>
      <c r="R409" s="161"/>
      <c r="S409" s="697"/>
      <c r="T409" s="937"/>
      <c r="U409" s="895"/>
      <c r="V409" s="895"/>
      <c r="W409" s="895"/>
      <c r="X409" s="895"/>
      <c r="Y409" s="895"/>
      <c r="Z409" s="895"/>
    </row>
    <row r="410" spans="1:26">
      <c r="A410" s="895"/>
      <c r="B410" s="896"/>
      <c r="C410" s="161"/>
      <c r="D410" s="303"/>
      <c r="E410" s="162"/>
      <c r="F410" s="897"/>
      <c r="G410" s="694"/>
      <c r="H410" s="695"/>
      <c r="I410" s="696"/>
      <c r="J410" s="697"/>
      <c r="K410" s="697"/>
      <c r="L410" s="697"/>
      <c r="M410" s="697"/>
      <c r="N410" s="697"/>
      <c r="O410" s="895"/>
      <c r="P410" s="162"/>
      <c r="Q410" s="161"/>
      <c r="R410" s="161"/>
      <c r="S410" s="697"/>
      <c r="T410" s="937"/>
      <c r="U410" s="895"/>
      <c r="V410" s="895"/>
      <c r="W410" s="895"/>
      <c r="X410" s="895"/>
      <c r="Y410" s="895"/>
      <c r="Z410" s="895"/>
    </row>
    <row r="411" spans="1:26">
      <c r="A411" s="895"/>
      <c r="B411" s="896"/>
      <c r="C411" s="161"/>
      <c r="D411" s="303"/>
      <c r="E411" s="162"/>
      <c r="F411" s="897"/>
      <c r="G411" s="694"/>
      <c r="H411" s="695"/>
      <c r="I411" s="696"/>
      <c r="J411" s="697"/>
      <c r="K411" s="697"/>
      <c r="L411" s="697"/>
      <c r="M411" s="697"/>
      <c r="N411" s="697"/>
      <c r="O411" s="895"/>
      <c r="P411" s="162"/>
      <c r="Q411" s="161"/>
      <c r="R411" s="161"/>
      <c r="S411" s="697"/>
      <c r="T411" s="937"/>
      <c r="U411" s="895"/>
      <c r="V411" s="895"/>
      <c r="W411" s="895"/>
      <c r="X411" s="895"/>
      <c r="Y411" s="895"/>
      <c r="Z411" s="895"/>
    </row>
    <row r="412" spans="1:26">
      <c r="A412" s="895"/>
      <c r="B412" s="896"/>
      <c r="C412" s="161"/>
      <c r="D412" s="303"/>
      <c r="E412" s="162"/>
      <c r="F412" s="897"/>
      <c r="G412" s="694"/>
      <c r="H412" s="695"/>
      <c r="I412" s="696"/>
      <c r="J412" s="697"/>
      <c r="K412" s="697"/>
      <c r="L412" s="697"/>
      <c r="M412" s="697"/>
      <c r="N412" s="697"/>
      <c r="O412" s="895"/>
      <c r="P412" s="162"/>
      <c r="Q412" s="161"/>
      <c r="R412" s="161"/>
      <c r="S412" s="697"/>
      <c r="T412" s="937"/>
      <c r="U412" s="895"/>
      <c r="V412" s="895"/>
      <c r="W412" s="895"/>
      <c r="X412" s="895"/>
      <c r="Y412" s="895"/>
      <c r="Z412" s="895"/>
    </row>
    <row r="413" spans="1:26">
      <c r="A413" s="895"/>
      <c r="B413" s="896"/>
      <c r="C413" s="161"/>
      <c r="D413" s="303"/>
      <c r="E413" s="162"/>
      <c r="F413" s="897"/>
      <c r="G413" s="694"/>
      <c r="H413" s="695"/>
      <c r="I413" s="696"/>
      <c r="J413" s="697"/>
      <c r="K413" s="697"/>
      <c r="L413" s="697"/>
      <c r="M413" s="697"/>
      <c r="N413" s="697"/>
      <c r="O413" s="895"/>
      <c r="P413" s="162"/>
      <c r="Q413" s="161"/>
      <c r="R413" s="161"/>
      <c r="S413" s="697"/>
      <c r="T413" s="937"/>
      <c r="U413" s="895"/>
      <c r="V413" s="895"/>
      <c r="W413" s="895"/>
      <c r="X413" s="895"/>
      <c r="Y413" s="895"/>
      <c r="Z413" s="895"/>
    </row>
    <row r="414" spans="1:26">
      <c r="A414" s="895"/>
      <c r="B414" s="896"/>
      <c r="C414" s="161"/>
      <c r="D414" s="303"/>
      <c r="E414" s="162"/>
      <c r="F414" s="897"/>
      <c r="G414" s="694"/>
      <c r="H414" s="695"/>
      <c r="I414" s="696"/>
      <c r="J414" s="697"/>
      <c r="K414" s="697"/>
      <c r="L414" s="697"/>
      <c r="M414" s="697"/>
      <c r="N414" s="697"/>
      <c r="O414" s="895"/>
      <c r="P414" s="162"/>
      <c r="Q414" s="161"/>
      <c r="R414" s="161"/>
      <c r="S414" s="697"/>
      <c r="T414" s="937"/>
      <c r="U414" s="895"/>
      <c r="V414" s="895"/>
      <c r="W414" s="895"/>
      <c r="X414" s="895"/>
      <c r="Y414" s="895"/>
      <c r="Z414" s="895"/>
    </row>
    <row r="415" spans="1:26">
      <c r="A415" s="895"/>
      <c r="B415" s="896"/>
      <c r="C415" s="161"/>
      <c r="D415" s="303"/>
      <c r="E415" s="162"/>
      <c r="F415" s="897"/>
      <c r="G415" s="694"/>
      <c r="H415" s="695"/>
      <c r="I415" s="696"/>
      <c r="J415" s="697"/>
      <c r="K415" s="697"/>
      <c r="L415" s="697"/>
      <c r="M415" s="697"/>
      <c r="N415" s="697"/>
      <c r="O415" s="895"/>
      <c r="P415" s="162"/>
      <c r="Q415" s="161"/>
      <c r="R415" s="161"/>
      <c r="S415" s="697"/>
      <c r="T415" s="937"/>
      <c r="U415" s="895"/>
      <c r="V415" s="895"/>
      <c r="W415" s="895"/>
      <c r="X415" s="895"/>
      <c r="Y415" s="895"/>
      <c r="Z415" s="895"/>
    </row>
    <row r="416" spans="1:26">
      <c r="A416" s="895"/>
      <c r="B416" s="896"/>
      <c r="C416" s="161"/>
      <c r="D416" s="303"/>
      <c r="E416" s="162"/>
      <c r="F416" s="897"/>
      <c r="G416" s="694"/>
      <c r="H416" s="695"/>
      <c r="I416" s="696"/>
      <c r="J416" s="697"/>
      <c r="K416" s="697"/>
      <c r="L416" s="697"/>
      <c r="M416" s="697"/>
      <c r="N416" s="697"/>
      <c r="O416" s="895"/>
      <c r="P416" s="162"/>
      <c r="Q416" s="161"/>
      <c r="R416" s="161"/>
      <c r="S416" s="697"/>
      <c r="T416" s="937"/>
      <c r="U416" s="895"/>
      <c r="V416" s="895"/>
      <c r="W416" s="895"/>
      <c r="X416" s="895"/>
      <c r="Y416" s="895"/>
      <c r="Z416" s="895"/>
    </row>
    <row r="417" spans="1:26">
      <c r="A417" s="895"/>
      <c r="B417" s="896"/>
      <c r="C417" s="161"/>
      <c r="D417" s="303"/>
      <c r="E417" s="162"/>
      <c r="F417" s="897"/>
      <c r="G417" s="694"/>
      <c r="H417" s="695"/>
      <c r="I417" s="696"/>
      <c r="J417" s="697"/>
      <c r="K417" s="697"/>
      <c r="L417" s="697"/>
      <c r="M417" s="697"/>
      <c r="N417" s="697"/>
      <c r="O417" s="895"/>
      <c r="P417" s="162"/>
      <c r="Q417" s="161"/>
      <c r="R417" s="161"/>
      <c r="S417" s="697"/>
      <c r="T417" s="937"/>
      <c r="U417" s="895"/>
      <c r="V417" s="895"/>
      <c r="W417" s="895"/>
      <c r="X417" s="895"/>
      <c r="Y417" s="895"/>
      <c r="Z417" s="895"/>
    </row>
    <row r="418" spans="1:26">
      <c r="A418" s="895"/>
      <c r="B418" s="896"/>
      <c r="C418" s="161"/>
      <c r="D418" s="303"/>
      <c r="E418" s="162"/>
      <c r="F418" s="897"/>
      <c r="G418" s="694"/>
      <c r="H418" s="695"/>
      <c r="I418" s="696"/>
      <c r="J418" s="697"/>
      <c r="K418" s="697"/>
      <c r="L418" s="697"/>
      <c r="M418" s="697"/>
      <c r="N418" s="697"/>
      <c r="O418" s="895"/>
      <c r="P418" s="162"/>
      <c r="Q418" s="161"/>
      <c r="R418" s="161"/>
      <c r="S418" s="697"/>
      <c r="T418" s="937"/>
      <c r="U418" s="895"/>
      <c r="V418" s="895"/>
      <c r="W418" s="895"/>
      <c r="X418" s="895"/>
      <c r="Y418" s="895"/>
      <c r="Z418" s="895"/>
    </row>
    <row r="419" spans="1:26">
      <c r="A419" s="895"/>
      <c r="B419" s="896"/>
      <c r="C419" s="161"/>
      <c r="D419" s="303"/>
      <c r="E419" s="162"/>
      <c r="F419" s="897"/>
      <c r="G419" s="694"/>
      <c r="H419" s="695"/>
      <c r="I419" s="696"/>
      <c r="J419" s="697"/>
      <c r="K419" s="697"/>
      <c r="L419" s="697"/>
      <c r="M419" s="697"/>
      <c r="N419" s="697"/>
      <c r="O419" s="895"/>
      <c r="P419" s="162"/>
      <c r="Q419" s="161"/>
      <c r="R419" s="161"/>
      <c r="S419" s="697"/>
      <c r="T419" s="937"/>
      <c r="U419" s="895"/>
      <c r="V419" s="895"/>
      <c r="W419" s="895"/>
      <c r="X419" s="895"/>
      <c r="Y419" s="895"/>
      <c r="Z419" s="895"/>
    </row>
    <row r="420" spans="1:26">
      <c r="A420" s="895"/>
      <c r="B420" s="896"/>
      <c r="C420" s="161"/>
      <c r="D420" s="303"/>
      <c r="E420" s="162"/>
      <c r="F420" s="897"/>
      <c r="G420" s="694"/>
      <c r="H420" s="695"/>
      <c r="I420" s="696"/>
      <c r="J420" s="697"/>
      <c r="K420" s="697"/>
      <c r="L420" s="697"/>
      <c r="M420" s="697"/>
      <c r="N420" s="697"/>
      <c r="O420" s="895"/>
      <c r="P420" s="162"/>
      <c r="Q420" s="161"/>
      <c r="R420" s="161"/>
      <c r="S420" s="697"/>
      <c r="T420" s="937"/>
      <c r="U420" s="895"/>
      <c r="V420" s="895"/>
      <c r="W420" s="895"/>
      <c r="X420" s="895"/>
      <c r="Y420" s="895"/>
      <c r="Z420" s="895"/>
    </row>
    <row r="421" spans="1:26">
      <c r="A421" s="895"/>
      <c r="B421" s="896"/>
      <c r="C421" s="161"/>
      <c r="D421" s="303"/>
      <c r="E421" s="162"/>
      <c r="F421" s="897"/>
      <c r="G421" s="694"/>
      <c r="H421" s="695"/>
      <c r="I421" s="696"/>
      <c r="J421" s="697"/>
      <c r="K421" s="697"/>
      <c r="L421" s="697"/>
      <c r="M421" s="697"/>
      <c r="N421" s="697"/>
      <c r="O421" s="895"/>
      <c r="P421" s="162"/>
      <c r="Q421" s="161"/>
      <c r="R421" s="161"/>
      <c r="S421" s="697"/>
      <c r="T421" s="937"/>
      <c r="U421" s="895"/>
      <c r="V421" s="895"/>
      <c r="W421" s="895"/>
      <c r="X421" s="895"/>
      <c r="Y421" s="895"/>
      <c r="Z421" s="895"/>
    </row>
    <row r="422" spans="1:26">
      <c r="A422" s="895"/>
      <c r="B422" s="896"/>
      <c r="C422" s="161"/>
      <c r="D422" s="303"/>
      <c r="E422" s="162"/>
      <c r="F422" s="897"/>
      <c r="G422" s="694"/>
      <c r="H422" s="695"/>
      <c r="I422" s="696"/>
      <c r="J422" s="697"/>
      <c r="K422" s="697"/>
      <c r="L422" s="697"/>
      <c r="M422" s="697"/>
      <c r="N422" s="697"/>
      <c r="O422" s="895"/>
      <c r="P422" s="162"/>
      <c r="Q422" s="161"/>
      <c r="R422" s="161"/>
      <c r="S422" s="697"/>
      <c r="T422" s="937"/>
      <c r="U422" s="895"/>
      <c r="V422" s="895"/>
      <c r="W422" s="895"/>
      <c r="X422" s="895"/>
      <c r="Y422" s="895"/>
      <c r="Z422" s="895"/>
    </row>
    <row r="423" spans="1:26">
      <c r="A423" s="895"/>
      <c r="B423" s="896"/>
      <c r="C423" s="161"/>
      <c r="D423" s="303"/>
      <c r="E423" s="162"/>
      <c r="F423" s="897"/>
      <c r="G423" s="694"/>
      <c r="H423" s="695"/>
      <c r="I423" s="696"/>
      <c r="J423" s="697"/>
      <c r="K423" s="697"/>
      <c r="L423" s="697"/>
      <c r="M423" s="697"/>
      <c r="N423" s="697"/>
      <c r="O423" s="895"/>
      <c r="P423" s="162"/>
      <c r="Q423" s="161"/>
      <c r="R423" s="161"/>
      <c r="S423" s="697"/>
      <c r="T423" s="937"/>
      <c r="U423" s="895"/>
      <c r="V423" s="895"/>
      <c r="W423" s="895"/>
      <c r="X423" s="895"/>
      <c r="Y423" s="895"/>
      <c r="Z423" s="895"/>
    </row>
    <row r="424" spans="1:26">
      <c r="A424" s="895"/>
      <c r="B424" s="896"/>
      <c r="C424" s="161"/>
      <c r="D424" s="303"/>
      <c r="E424" s="162"/>
      <c r="F424" s="897"/>
      <c r="G424" s="694"/>
      <c r="H424" s="695"/>
      <c r="I424" s="696"/>
      <c r="J424" s="697"/>
      <c r="K424" s="697"/>
      <c r="L424" s="697"/>
      <c r="M424" s="697"/>
      <c r="N424" s="697"/>
      <c r="O424" s="895"/>
      <c r="P424" s="162"/>
      <c r="Q424" s="161"/>
      <c r="R424" s="161"/>
      <c r="S424" s="697"/>
      <c r="T424" s="937"/>
      <c r="U424" s="895"/>
      <c r="V424" s="895"/>
      <c r="W424" s="895"/>
      <c r="X424" s="895"/>
      <c r="Y424" s="895"/>
      <c r="Z424" s="895"/>
    </row>
    <row r="425" spans="1:26">
      <c r="A425" s="895"/>
      <c r="B425" s="896"/>
      <c r="C425" s="161"/>
      <c r="D425" s="303"/>
      <c r="E425" s="162"/>
      <c r="F425" s="897"/>
      <c r="G425" s="694"/>
      <c r="H425" s="695"/>
      <c r="I425" s="696"/>
      <c r="J425" s="697"/>
      <c r="K425" s="697"/>
      <c r="L425" s="697"/>
      <c r="M425" s="697"/>
      <c r="N425" s="697"/>
      <c r="O425" s="895"/>
      <c r="P425" s="162"/>
      <c r="Q425" s="161"/>
      <c r="R425" s="161"/>
      <c r="S425" s="697"/>
      <c r="T425" s="937"/>
      <c r="U425" s="895"/>
      <c r="V425" s="895"/>
      <c r="W425" s="895"/>
      <c r="X425" s="895"/>
      <c r="Y425" s="895"/>
      <c r="Z425" s="895"/>
    </row>
    <row r="426" spans="1:26">
      <c r="A426" s="895"/>
      <c r="B426" s="896"/>
      <c r="C426" s="161"/>
      <c r="D426" s="303"/>
      <c r="E426" s="162"/>
      <c r="F426" s="897"/>
      <c r="G426" s="694"/>
      <c r="H426" s="695"/>
      <c r="I426" s="696"/>
      <c r="J426" s="697"/>
      <c r="K426" s="697"/>
      <c r="L426" s="697"/>
      <c r="M426" s="697"/>
      <c r="N426" s="697"/>
      <c r="O426" s="895"/>
      <c r="P426" s="162"/>
      <c r="Q426" s="161"/>
      <c r="R426" s="161"/>
      <c r="S426" s="697"/>
      <c r="T426" s="937"/>
      <c r="U426" s="895"/>
      <c r="V426" s="895"/>
      <c r="W426" s="895"/>
      <c r="X426" s="895"/>
      <c r="Y426" s="895"/>
      <c r="Z426" s="895"/>
    </row>
    <row r="427" spans="1:26">
      <c r="A427" s="895"/>
      <c r="B427" s="896"/>
      <c r="C427" s="161"/>
      <c r="D427" s="303"/>
      <c r="E427" s="162"/>
      <c r="F427" s="897"/>
      <c r="G427" s="694"/>
      <c r="H427" s="695"/>
      <c r="I427" s="696"/>
      <c r="J427" s="697"/>
      <c r="K427" s="697"/>
      <c r="L427" s="697"/>
      <c r="M427" s="697"/>
      <c r="N427" s="697"/>
      <c r="O427" s="895"/>
      <c r="P427" s="162"/>
      <c r="Q427" s="161"/>
      <c r="R427" s="161"/>
      <c r="S427" s="697"/>
      <c r="T427" s="937"/>
      <c r="U427" s="895"/>
      <c r="V427" s="895"/>
      <c r="W427" s="895"/>
      <c r="X427" s="895"/>
      <c r="Y427" s="895"/>
      <c r="Z427" s="895"/>
    </row>
    <row r="428" spans="1:26">
      <c r="A428" s="895"/>
      <c r="B428" s="896"/>
      <c r="C428" s="161"/>
      <c r="D428" s="303"/>
      <c r="E428" s="162"/>
      <c r="F428" s="897"/>
      <c r="G428" s="694"/>
      <c r="H428" s="695"/>
      <c r="I428" s="696"/>
      <c r="J428" s="697"/>
      <c r="K428" s="697"/>
      <c r="L428" s="697"/>
      <c r="M428" s="697"/>
      <c r="N428" s="697"/>
      <c r="O428" s="895"/>
      <c r="P428" s="162"/>
      <c r="Q428" s="161"/>
      <c r="R428" s="161"/>
      <c r="S428" s="697"/>
      <c r="T428" s="937"/>
      <c r="U428" s="895"/>
      <c r="V428" s="895"/>
      <c r="W428" s="895"/>
      <c r="X428" s="895"/>
      <c r="Y428" s="895"/>
      <c r="Z428" s="895"/>
    </row>
    <row r="429" spans="1:26">
      <c r="A429" s="895"/>
      <c r="B429" s="896"/>
      <c r="C429" s="161"/>
      <c r="D429" s="303"/>
      <c r="E429" s="162"/>
      <c r="F429" s="897"/>
      <c r="G429" s="694"/>
      <c r="H429" s="695"/>
      <c r="I429" s="696"/>
      <c r="J429" s="697"/>
      <c r="K429" s="697"/>
      <c r="L429" s="697"/>
      <c r="M429" s="697"/>
      <c r="N429" s="697"/>
      <c r="O429" s="895"/>
      <c r="P429" s="162"/>
      <c r="Q429" s="161"/>
      <c r="R429" s="161"/>
      <c r="S429" s="697"/>
      <c r="T429" s="937"/>
      <c r="U429" s="895"/>
      <c r="V429" s="895"/>
      <c r="W429" s="895"/>
      <c r="X429" s="895"/>
      <c r="Y429" s="895"/>
      <c r="Z429" s="895"/>
    </row>
    <row r="430" spans="1:26">
      <c r="A430" s="895"/>
      <c r="B430" s="896"/>
      <c r="C430" s="161"/>
      <c r="D430" s="303"/>
      <c r="E430" s="162"/>
      <c r="F430" s="897"/>
      <c r="G430" s="694"/>
      <c r="H430" s="695"/>
      <c r="I430" s="696"/>
      <c r="J430" s="697"/>
      <c r="K430" s="697"/>
      <c r="L430" s="697"/>
      <c r="M430" s="697"/>
      <c r="N430" s="697"/>
      <c r="O430" s="895"/>
      <c r="P430" s="162"/>
      <c r="Q430" s="161"/>
      <c r="R430" s="161"/>
      <c r="S430" s="697"/>
      <c r="T430" s="937"/>
      <c r="U430" s="895"/>
      <c r="V430" s="895"/>
      <c r="W430" s="895"/>
      <c r="X430" s="895"/>
      <c r="Y430" s="895"/>
      <c r="Z430" s="895"/>
    </row>
    <row r="431" spans="1:26">
      <c r="A431" s="895"/>
      <c r="B431" s="896"/>
      <c r="C431" s="161"/>
      <c r="D431" s="303"/>
      <c r="E431" s="162"/>
      <c r="F431" s="897"/>
      <c r="G431" s="694"/>
      <c r="H431" s="695"/>
      <c r="I431" s="696"/>
      <c r="J431" s="697"/>
      <c r="K431" s="697"/>
      <c r="L431" s="697"/>
      <c r="M431" s="697"/>
      <c r="N431" s="697"/>
      <c r="O431" s="895"/>
      <c r="P431" s="162"/>
      <c r="Q431" s="161"/>
      <c r="R431" s="161"/>
      <c r="S431" s="697"/>
      <c r="T431" s="937"/>
      <c r="U431" s="895"/>
      <c r="V431" s="895"/>
      <c r="W431" s="895"/>
      <c r="X431" s="895"/>
      <c r="Y431" s="895"/>
      <c r="Z431" s="895"/>
    </row>
    <row r="432" spans="1:26">
      <c r="A432" s="895"/>
      <c r="B432" s="896"/>
      <c r="C432" s="161"/>
      <c r="D432" s="303"/>
      <c r="E432" s="162"/>
      <c r="F432" s="897"/>
      <c r="G432" s="694"/>
      <c r="H432" s="695"/>
      <c r="I432" s="696"/>
      <c r="J432" s="697"/>
      <c r="K432" s="697"/>
      <c r="L432" s="697"/>
      <c r="M432" s="697"/>
      <c r="N432" s="697"/>
      <c r="O432" s="895"/>
      <c r="P432" s="162"/>
      <c r="Q432" s="161"/>
      <c r="R432" s="161"/>
      <c r="S432" s="697"/>
      <c r="T432" s="937"/>
      <c r="U432" s="895"/>
      <c r="V432" s="895"/>
      <c r="W432" s="895"/>
      <c r="X432" s="895"/>
      <c r="Y432" s="895"/>
      <c r="Z432" s="895"/>
    </row>
    <row r="433" spans="1:26">
      <c r="A433" s="895"/>
      <c r="B433" s="896"/>
      <c r="C433" s="161"/>
      <c r="D433" s="303"/>
      <c r="E433" s="162"/>
      <c r="F433" s="897"/>
      <c r="G433" s="694"/>
      <c r="H433" s="695"/>
      <c r="I433" s="696"/>
      <c r="J433" s="697"/>
      <c r="K433" s="697"/>
      <c r="L433" s="697"/>
      <c r="M433" s="697"/>
      <c r="N433" s="697"/>
      <c r="O433" s="895"/>
      <c r="P433" s="162"/>
      <c r="Q433" s="161"/>
      <c r="R433" s="161"/>
      <c r="S433" s="697"/>
      <c r="T433" s="937"/>
      <c r="U433" s="895"/>
      <c r="V433" s="895"/>
      <c r="W433" s="895"/>
      <c r="X433" s="895"/>
      <c r="Y433" s="895"/>
      <c r="Z433" s="895"/>
    </row>
    <row r="434" spans="1:26">
      <c r="A434" s="895"/>
      <c r="B434" s="896"/>
      <c r="C434" s="161"/>
      <c r="D434" s="303"/>
      <c r="E434" s="162"/>
      <c r="F434" s="897"/>
      <c r="G434" s="694"/>
      <c r="H434" s="695"/>
      <c r="I434" s="696"/>
      <c r="J434" s="697"/>
      <c r="K434" s="697"/>
      <c r="L434" s="697"/>
      <c r="M434" s="697"/>
      <c r="N434" s="697"/>
      <c r="O434" s="895"/>
      <c r="P434" s="162"/>
      <c r="Q434" s="161"/>
      <c r="R434" s="161"/>
      <c r="S434" s="697"/>
      <c r="T434" s="937"/>
      <c r="U434" s="895"/>
      <c r="V434" s="895"/>
      <c r="W434" s="895"/>
      <c r="X434" s="895"/>
      <c r="Y434" s="895"/>
      <c r="Z434" s="895"/>
    </row>
    <row r="435" spans="1:26">
      <c r="A435" s="895"/>
      <c r="B435" s="896"/>
      <c r="C435" s="161"/>
      <c r="D435" s="303"/>
      <c r="E435" s="162"/>
      <c r="F435" s="897"/>
      <c r="G435" s="694"/>
      <c r="H435" s="695"/>
      <c r="I435" s="696"/>
      <c r="J435" s="697"/>
      <c r="K435" s="697"/>
      <c r="L435" s="697"/>
      <c r="M435" s="697"/>
      <c r="N435" s="697"/>
      <c r="O435" s="895"/>
      <c r="P435" s="162"/>
      <c r="Q435" s="161"/>
      <c r="R435" s="161"/>
      <c r="S435" s="697"/>
      <c r="T435" s="937"/>
      <c r="U435" s="895"/>
      <c r="V435" s="895"/>
      <c r="W435" s="895"/>
      <c r="X435" s="895"/>
      <c r="Y435" s="895"/>
      <c r="Z435" s="895"/>
    </row>
    <row r="436" spans="1:26">
      <c r="A436" s="895"/>
      <c r="B436" s="896"/>
      <c r="C436" s="161"/>
      <c r="D436" s="303"/>
      <c r="E436" s="162"/>
      <c r="F436" s="897"/>
      <c r="G436" s="694"/>
      <c r="H436" s="695"/>
      <c r="I436" s="696"/>
      <c r="J436" s="697"/>
      <c r="K436" s="697"/>
      <c r="L436" s="697"/>
      <c r="M436" s="697"/>
      <c r="N436" s="697"/>
      <c r="O436" s="895"/>
      <c r="P436" s="162"/>
      <c r="Q436" s="161"/>
      <c r="R436" s="161"/>
      <c r="S436" s="697"/>
      <c r="T436" s="937"/>
      <c r="U436" s="895"/>
      <c r="V436" s="895"/>
      <c r="W436" s="895"/>
      <c r="X436" s="895"/>
      <c r="Y436" s="895"/>
      <c r="Z436" s="895"/>
    </row>
    <row r="437" spans="1:26">
      <c r="A437" s="895"/>
      <c r="B437" s="896"/>
      <c r="C437" s="161"/>
      <c r="D437" s="303"/>
      <c r="E437" s="162"/>
      <c r="F437" s="897"/>
      <c r="G437" s="694"/>
      <c r="H437" s="695"/>
      <c r="I437" s="696"/>
      <c r="J437" s="697"/>
      <c r="K437" s="697"/>
      <c r="L437" s="697"/>
      <c r="M437" s="697"/>
      <c r="N437" s="697"/>
      <c r="O437" s="895"/>
      <c r="P437" s="162"/>
      <c r="Q437" s="161"/>
      <c r="R437" s="161"/>
      <c r="S437" s="697"/>
      <c r="T437" s="937"/>
      <c r="U437" s="895"/>
      <c r="V437" s="895"/>
      <c r="W437" s="895"/>
      <c r="X437" s="895"/>
      <c r="Y437" s="895"/>
      <c r="Z437" s="895"/>
    </row>
    <row r="438" spans="1:26">
      <c r="A438" s="895"/>
      <c r="B438" s="896"/>
      <c r="C438" s="161"/>
      <c r="D438" s="303"/>
      <c r="E438" s="162"/>
      <c r="F438" s="897"/>
      <c r="G438" s="694"/>
      <c r="H438" s="695"/>
      <c r="I438" s="696"/>
      <c r="J438" s="697"/>
      <c r="K438" s="697"/>
      <c r="L438" s="697"/>
      <c r="M438" s="697"/>
      <c r="N438" s="697"/>
      <c r="O438" s="895"/>
      <c r="P438" s="162"/>
      <c r="Q438" s="161"/>
      <c r="R438" s="161"/>
      <c r="S438" s="697"/>
      <c r="T438" s="937"/>
      <c r="U438" s="895"/>
      <c r="V438" s="895"/>
      <c r="W438" s="895"/>
      <c r="X438" s="895"/>
      <c r="Y438" s="895"/>
      <c r="Z438" s="895"/>
    </row>
    <row r="439" spans="1:26">
      <c r="A439" s="895"/>
      <c r="B439" s="896"/>
      <c r="C439" s="161"/>
      <c r="D439" s="303"/>
      <c r="E439" s="162"/>
      <c r="F439" s="897"/>
      <c r="G439" s="694"/>
      <c r="H439" s="695"/>
      <c r="I439" s="696"/>
      <c r="J439" s="697"/>
      <c r="K439" s="697"/>
      <c r="L439" s="697"/>
      <c r="M439" s="697"/>
      <c r="N439" s="697"/>
      <c r="O439" s="895"/>
      <c r="P439" s="162"/>
      <c r="Q439" s="161"/>
      <c r="R439" s="161"/>
      <c r="S439" s="697"/>
      <c r="T439" s="937"/>
      <c r="U439" s="895"/>
      <c r="V439" s="895"/>
      <c r="W439" s="895"/>
      <c r="X439" s="895"/>
      <c r="Y439" s="895"/>
      <c r="Z439" s="895"/>
    </row>
    <row r="440" spans="1:26">
      <c r="A440" s="895"/>
      <c r="B440" s="896"/>
      <c r="C440" s="161"/>
      <c r="D440" s="303"/>
      <c r="E440" s="162"/>
      <c r="F440" s="897"/>
      <c r="G440" s="694"/>
      <c r="H440" s="695"/>
      <c r="I440" s="696"/>
      <c r="J440" s="697"/>
      <c r="K440" s="697"/>
      <c r="L440" s="697"/>
      <c r="M440" s="697"/>
      <c r="N440" s="697"/>
      <c r="O440" s="895"/>
      <c r="P440" s="162"/>
      <c r="Q440" s="161"/>
      <c r="R440" s="161"/>
      <c r="S440" s="697"/>
      <c r="T440" s="937"/>
      <c r="U440" s="895"/>
      <c r="V440" s="895"/>
      <c r="W440" s="895"/>
      <c r="X440" s="895"/>
      <c r="Y440" s="895"/>
      <c r="Z440" s="895"/>
    </row>
    <row r="441" spans="1:26">
      <c r="A441" s="895"/>
      <c r="B441" s="896"/>
      <c r="C441" s="161"/>
      <c r="D441" s="303"/>
      <c r="E441" s="162"/>
      <c r="F441" s="897"/>
      <c r="G441" s="694"/>
      <c r="H441" s="695"/>
      <c r="I441" s="696"/>
      <c r="J441" s="697"/>
      <c r="K441" s="697"/>
      <c r="L441" s="697"/>
      <c r="M441" s="697"/>
      <c r="N441" s="697"/>
      <c r="O441" s="895"/>
      <c r="P441" s="162"/>
      <c r="Q441" s="161"/>
      <c r="R441" s="161"/>
      <c r="S441" s="697"/>
      <c r="T441" s="937"/>
      <c r="U441" s="895"/>
      <c r="V441" s="895"/>
      <c r="W441" s="895"/>
      <c r="X441" s="895"/>
      <c r="Y441" s="895"/>
      <c r="Z441" s="895"/>
    </row>
    <row r="442" spans="1:26">
      <c r="A442" s="895"/>
      <c r="B442" s="896"/>
      <c r="C442" s="161"/>
      <c r="D442" s="303"/>
      <c r="E442" s="162"/>
      <c r="F442" s="897"/>
      <c r="G442" s="694"/>
      <c r="H442" s="695"/>
      <c r="I442" s="696"/>
      <c r="J442" s="697"/>
      <c r="K442" s="697"/>
      <c r="L442" s="697"/>
      <c r="M442" s="697"/>
      <c r="N442" s="697"/>
      <c r="O442" s="895"/>
      <c r="P442" s="162"/>
      <c r="Q442" s="161"/>
      <c r="R442" s="161"/>
      <c r="S442" s="697"/>
      <c r="T442" s="937"/>
      <c r="U442" s="895"/>
      <c r="V442" s="895"/>
      <c r="W442" s="895"/>
      <c r="X442" s="895"/>
      <c r="Y442" s="895"/>
      <c r="Z442" s="895"/>
    </row>
    <row r="443" spans="1:26">
      <c r="A443" s="895"/>
      <c r="B443" s="896"/>
      <c r="C443" s="161"/>
      <c r="D443" s="303"/>
      <c r="E443" s="162"/>
      <c r="F443" s="897"/>
      <c r="G443" s="694"/>
      <c r="H443" s="695"/>
      <c r="I443" s="696"/>
      <c r="J443" s="697"/>
      <c r="K443" s="697"/>
      <c r="L443" s="697"/>
      <c r="M443" s="697"/>
      <c r="N443" s="697"/>
      <c r="O443" s="895"/>
      <c r="P443" s="162"/>
      <c r="Q443" s="161"/>
      <c r="R443" s="161"/>
      <c r="S443" s="697"/>
      <c r="T443" s="937"/>
      <c r="U443" s="895"/>
      <c r="V443" s="895"/>
      <c r="W443" s="895"/>
      <c r="X443" s="895"/>
      <c r="Y443" s="895"/>
      <c r="Z443" s="895"/>
    </row>
    <row r="444" spans="1:26">
      <c r="A444" s="895"/>
      <c r="B444" s="896"/>
      <c r="C444" s="161"/>
      <c r="D444" s="303"/>
      <c r="E444" s="162"/>
      <c r="F444" s="897"/>
      <c r="G444" s="694"/>
      <c r="H444" s="695"/>
      <c r="I444" s="696"/>
      <c r="J444" s="697"/>
      <c r="K444" s="697"/>
      <c r="L444" s="697"/>
      <c r="M444" s="697"/>
      <c r="N444" s="697"/>
      <c r="O444" s="895"/>
      <c r="P444" s="162"/>
      <c r="Q444" s="161"/>
      <c r="R444" s="161"/>
      <c r="S444" s="697"/>
      <c r="T444" s="937"/>
      <c r="U444" s="895"/>
      <c r="V444" s="895"/>
      <c r="W444" s="895"/>
      <c r="X444" s="895"/>
      <c r="Y444" s="895"/>
      <c r="Z444" s="895"/>
    </row>
    <row r="445" spans="1:26">
      <c r="A445" s="895"/>
      <c r="B445" s="896"/>
      <c r="C445" s="161"/>
      <c r="D445" s="303"/>
      <c r="E445" s="162"/>
      <c r="F445" s="897"/>
      <c r="G445" s="694"/>
      <c r="H445" s="695"/>
      <c r="I445" s="696"/>
      <c r="J445" s="697"/>
      <c r="K445" s="697"/>
      <c r="L445" s="697"/>
      <c r="M445" s="697"/>
      <c r="N445" s="697"/>
      <c r="O445" s="895"/>
      <c r="P445" s="162"/>
      <c r="Q445" s="161"/>
      <c r="R445" s="161"/>
      <c r="S445" s="697"/>
      <c r="T445" s="937"/>
      <c r="U445" s="895"/>
      <c r="V445" s="895"/>
      <c r="W445" s="895"/>
      <c r="X445" s="895"/>
      <c r="Y445" s="895"/>
      <c r="Z445" s="895"/>
    </row>
    <row r="446" spans="1:26">
      <c r="A446" s="895"/>
      <c r="B446" s="896"/>
      <c r="C446" s="161"/>
      <c r="D446" s="303"/>
      <c r="E446" s="162"/>
      <c r="F446" s="897"/>
      <c r="G446" s="694"/>
      <c r="H446" s="695"/>
      <c r="I446" s="696"/>
      <c r="J446" s="697"/>
      <c r="K446" s="697"/>
      <c r="L446" s="697"/>
      <c r="M446" s="697"/>
      <c r="N446" s="697"/>
      <c r="O446" s="895"/>
      <c r="P446" s="162"/>
      <c r="Q446" s="161"/>
      <c r="R446" s="161"/>
      <c r="S446" s="697"/>
      <c r="T446" s="937"/>
      <c r="U446" s="895"/>
      <c r="V446" s="895"/>
      <c r="W446" s="895"/>
      <c r="X446" s="895"/>
      <c r="Y446" s="895"/>
      <c r="Z446" s="895"/>
    </row>
    <row r="447" spans="1:26">
      <c r="A447" s="895"/>
      <c r="B447" s="896"/>
      <c r="C447" s="161"/>
      <c r="D447" s="303"/>
      <c r="E447" s="162"/>
      <c r="F447" s="897"/>
      <c r="G447" s="694"/>
      <c r="H447" s="695"/>
      <c r="I447" s="696"/>
      <c r="J447" s="697"/>
      <c r="K447" s="697"/>
      <c r="L447" s="697"/>
      <c r="M447" s="697"/>
      <c r="N447" s="697"/>
      <c r="O447" s="895"/>
      <c r="P447" s="162"/>
      <c r="Q447" s="161"/>
      <c r="R447" s="161"/>
      <c r="S447" s="697"/>
      <c r="T447" s="937"/>
      <c r="U447" s="895"/>
      <c r="V447" s="895"/>
      <c r="W447" s="895"/>
      <c r="X447" s="895"/>
      <c r="Y447" s="895"/>
      <c r="Z447" s="895"/>
    </row>
    <row r="448" spans="1:26">
      <c r="A448" s="895"/>
      <c r="B448" s="896"/>
      <c r="C448" s="161"/>
      <c r="D448" s="303"/>
      <c r="E448" s="162"/>
      <c r="F448" s="897"/>
      <c r="G448" s="694"/>
      <c r="H448" s="695"/>
      <c r="I448" s="696"/>
      <c r="J448" s="697"/>
      <c r="K448" s="697"/>
      <c r="L448" s="697"/>
      <c r="M448" s="697"/>
      <c r="N448" s="697"/>
      <c r="O448" s="895"/>
      <c r="P448" s="162"/>
      <c r="Q448" s="161"/>
      <c r="R448" s="161"/>
      <c r="S448" s="697"/>
      <c r="T448" s="937"/>
      <c r="U448" s="895"/>
      <c r="V448" s="895"/>
      <c r="W448" s="895"/>
      <c r="X448" s="895"/>
      <c r="Y448" s="895"/>
      <c r="Z448" s="895"/>
    </row>
    <row r="449" spans="1:26">
      <c r="A449" s="895"/>
      <c r="B449" s="896"/>
      <c r="C449" s="161"/>
      <c r="D449" s="303"/>
      <c r="E449" s="162"/>
      <c r="F449" s="897"/>
      <c r="G449" s="694"/>
      <c r="H449" s="695"/>
      <c r="I449" s="696"/>
      <c r="J449" s="697"/>
      <c r="K449" s="697"/>
      <c r="L449" s="697"/>
      <c r="M449" s="697"/>
      <c r="N449" s="697"/>
      <c r="O449" s="895"/>
      <c r="P449" s="162"/>
      <c r="Q449" s="161"/>
      <c r="R449" s="161"/>
      <c r="S449" s="697"/>
      <c r="T449" s="937"/>
      <c r="U449" s="895"/>
      <c r="V449" s="895"/>
      <c r="W449" s="895"/>
      <c r="X449" s="895"/>
      <c r="Y449" s="895"/>
      <c r="Z449" s="895"/>
    </row>
    <row r="450" spans="1:26">
      <c r="A450" s="895"/>
      <c r="B450" s="896"/>
      <c r="C450" s="161"/>
      <c r="D450" s="303"/>
      <c r="E450" s="162"/>
      <c r="F450" s="897"/>
      <c r="G450" s="694"/>
      <c r="H450" s="695"/>
      <c r="I450" s="696"/>
      <c r="J450" s="697"/>
      <c r="K450" s="697"/>
      <c r="L450" s="697"/>
      <c r="M450" s="697"/>
      <c r="N450" s="697"/>
      <c r="O450" s="895"/>
      <c r="P450" s="162"/>
      <c r="Q450" s="161"/>
      <c r="R450" s="161"/>
      <c r="S450" s="697"/>
      <c r="T450" s="937"/>
      <c r="U450" s="895"/>
      <c r="V450" s="895"/>
      <c r="W450" s="895"/>
      <c r="X450" s="895"/>
      <c r="Y450" s="895"/>
      <c r="Z450" s="895"/>
    </row>
    <row r="451" spans="1:26">
      <c r="A451" s="895"/>
      <c r="B451" s="896"/>
      <c r="C451" s="161"/>
      <c r="D451" s="303"/>
      <c r="E451" s="162"/>
      <c r="F451" s="897"/>
      <c r="G451" s="694"/>
      <c r="H451" s="695"/>
      <c r="I451" s="696"/>
      <c r="J451" s="697"/>
      <c r="K451" s="697"/>
      <c r="L451" s="697"/>
      <c r="M451" s="697"/>
      <c r="N451" s="697"/>
      <c r="O451" s="895"/>
      <c r="P451" s="162"/>
      <c r="Q451" s="161"/>
      <c r="R451" s="161"/>
      <c r="S451" s="697"/>
      <c r="T451" s="937"/>
      <c r="U451" s="895"/>
      <c r="V451" s="895"/>
      <c r="W451" s="895"/>
      <c r="X451" s="895"/>
      <c r="Y451" s="895"/>
      <c r="Z451" s="895"/>
    </row>
    <row r="452" spans="1:26">
      <c r="A452" s="895"/>
      <c r="B452" s="896"/>
      <c r="C452" s="161"/>
      <c r="D452" s="303"/>
      <c r="E452" s="162"/>
      <c r="F452" s="897"/>
      <c r="G452" s="694"/>
      <c r="H452" s="695"/>
      <c r="I452" s="696"/>
      <c r="J452" s="697"/>
      <c r="K452" s="697"/>
      <c r="L452" s="697"/>
      <c r="M452" s="697"/>
      <c r="N452" s="697"/>
      <c r="O452" s="895"/>
      <c r="P452" s="162"/>
      <c r="Q452" s="161"/>
      <c r="R452" s="161"/>
      <c r="S452" s="697"/>
      <c r="T452" s="937"/>
      <c r="U452" s="895"/>
      <c r="V452" s="895"/>
      <c r="W452" s="895"/>
      <c r="X452" s="895"/>
      <c r="Y452" s="895"/>
      <c r="Z452" s="895"/>
    </row>
    <row r="453" spans="1:26">
      <c r="A453" s="895"/>
      <c r="B453" s="896"/>
      <c r="C453" s="161"/>
      <c r="D453" s="303"/>
      <c r="E453" s="162"/>
      <c r="F453" s="897"/>
      <c r="G453" s="694"/>
      <c r="H453" s="695"/>
      <c r="I453" s="696"/>
      <c r="J453" s="697"/>
      <c r="K453" s="697"/>
      <c r="L453" s="697"/>
      <c r="M453" s="697"/>
      <c r="N453" s="697"/>
      <c r="O453" s="895"/>
      <c r="P453" s="162"/>
      <c r="Q453" s="161"/>
      <c r="R453" s="161"/>
      <c r="S453" s="697"/>
      <c r="T453" s="937"/>
      <c r="U453" s="895"/>
      <c r="V453" s="895"/>
      <c r="W453" s="895"/>
      <c r="X453" s="895"/>
      <c r="Y453" s="895"/>
      <c r="Z453" s="895"/>
    </row>
    <row r="454" spans="1:26">
      <c r="A454" s="895"/>
      <c r="B454" s="896"/>
      <c r="C454" s="161"/>
      <c r="D454" s="303"/>
      <c r="E454" s="162"/>
      <c r="F454" s="897"/>
      <c r="G454" s="694"/>
      <c r="H454" s="695"/>
      <c r="I454" s="696"/>
      <c r="J454" s="697"/>
      <c r="K454" s="697"/>
      <c r="L454" s="697"/>
      <c r="M454" s="697"/>
      <c r="N454" s="697"/>
      <c r="O454" s="895"/>
      <c r="P454" s="162"/>
      <c r="Q454" s="161"/>
      <c r="R454" s="161"/>
      <c r="S454" s="697"/>
      <c r="T454" s="937"/>
      <c r="U454" s="895"/>
      <c r="V454" s="895"/>
      <c r="W454" s="895"/>
      <c r="X454" s="895"/>
      <c r="Y454" s="895"/>
      <c r="Z454" s="895"/>
    </row>
    <row r="455" spans="1:26">
      <c r="A455" s="895"/>
      <c r="B455" s="896"/>
      <c r="C455" s="161"/>
      <c r="D455" s="303"/>
      <c r="E455" s="162"/>
      <c r="F455" s="897"/>
      <c r="G455" s="694"/>
      <c r="H455" s="695"/>
      <c r="I455" s="696"/>
      <c r="J455" s="697"/>
      <c r="K455" s="697"/>
      <c r="L455" s="697"/>
      <c r="M455" s="697"/>
      <c r="N455" s="697"/>
      <c r="O455" s="895"/>
      <c r="P455" s="162"/>
      <c r="Q455" s="161"/>
      <c r="R455" s="161"/>
      <c r="S455" s="697"/>
      <c r="T455" s="937"/>
      <c r="U455" s="895"/>
      <c r="V455" s="895"/>
      <c r="W455" s="895"/>
      <c r="X455" s="895"/>
      <c r="Y455" s="895"/>
      <c r="Z455" s="895"/>
    </row>
    <row r="456" spans="1:26">
      <c r="A456" s="895"/>
      <c r="B456" s="896"/>
      <c r="C456" s="161"/>
      <c r="D456" s="303"/>
      <c r="E456" s="162"/>
      <c r="F456" s="897"/>
      <c r="G456" s="694"/>
      <c r="H456" s="695"/>
      <c r="I456" s="696"/>
      <c r="J456" s="697"/>
      <c r="K456" s="697"/>
      <c r="L456" s="697"/>
      <c r="M456" s="697"/>
      <c r="N456" s="697"/>
      <c r="O456" s="895"/>
      <c r="P456" s="162"/>
      <c r="Q456" s="161"/>
      <c r="R456" s="161"/>
      <c r="S456" s="697"/>
      <c r="T456" s="937"/>
      <c r="U456" s="895"/>
      <c r="V456" s="895"/>
      <c r="W456" s="895"/>
      <c r="X456" s="895"/>
      <c r="Y456" s="895"/>
      <c r="Z456" s="895"/>
    </row>
    <row r="457" spans="1:26">
      <c r="A457" s="895"/>
      <c r="B457" s="896"/>
      <c r="C457" s="161"/>
      <c r="D457" s="303"/>
      <c r="E457" s="162"/>
      <c r="F457" s="897"/>
      <c r="G457" s="694"/>
      <c r="H457" s="695"/>
      <c r="I457" s="696"/>
      <c r="J457" s="697"/>
      <c r="K457" s="697"/>
      <c r="L457" s="697"/>
      <c r="M457" s="697"/>
      <c r="N457" s="697"/>
      <c r="O457" s="895"/>
      <c r="P457" s="162"/>
      <c r="Q457" s="161"/>
      <c r="R457" s="161"/>
      <c r="S457" s="697"/>
      <c r="T457" s="937"/>
      <c r="U457" s="895"/>
      <c r="V457" s="895"/>
      <c r="W457" s="895"/>
      <c r="X457" s="895"/>
      <c r="Y457" s="895"/>
      <c r="Z457" s="895"/>
    </row>
    <row r="458" spans="1:26">
      <c r="A458" s="895"/>
      <c r="B458" s="896"/>
      <c r="C458" s="161"/>
      <c r="D458" s="303"/>
      <c r="E458" s="162"/>
      <c r="F458" s="897"/>
      <c r="G458" s="694"/>
      <c r="H458" s="695"/>
      <c r="I458" s="696"/>
      <c r="J458" s="697"/>
      <c r="K458" s="697"/>
      <c r="L458" s="697"/>
      <c r="M458" s="697"/>
      <c r="N458" s="697"/>
      <c r="O458" s="895"/>
      <c r="P458" s="162"/>
      <c r="Q458" s="161"/>
      <c r="R458" s="161"/>
      <c r="S458" s="697"/>
      <c r="T458" s="937"/>
      <c r="U458" s="895"/>
      <c r="V458" s="895"/>
      <c r="W458" s="895"/>
      <c r="X458" s="895"/>
      <c r="Y458" s="895"/>
      <c r="Z458" s="895"/>
    </row>
    <row r="459" spans="1:26">
      <c r="A459" s="895"/>
      <c r="B459" s="896"/>
      <c r="C459" s="161"/>
      <c r="D459" s="303"/>
      <c r="E459" s="162"/>
      <c r="F459" s="897"/>
      <c r="G459" s="694"/>
      <c r="H459" s="695"/>
      <c r="I459" s="696"/>
      <c r="J459" s="697"/>
      <c r="K459" s="697"/>
      <c r="L459" s="697"/>
      <c r="M459" s="697"/>
      <c r="N459" s="697"/>
      <c r="O459" s="895"/>
      <c r="P459" s="162"/>
      <c r="Q459" s="161"/>
      <c r="R459" s="161"/>
      <c r="S459" s="697"/>
      <c r="T459" s="937"/>
      <c r="U459" s="895"/>
      <c r="V459" s="895"/>
      <c r="W459" s="895"/>
      <c r="X459" s="895"/>
      <c r="Y459" s="895"/>
      <c r="Z459" s="895"/>
    </row>
    <row r="460" spans="1:26">
      <c r="A460" s="895"/>
      <c r="B460" s="896"/>
      <c r="C460" s="161"/>
      <c r="D460" s="303"/>
      <c r="E460" s="162"/>
      <c r="F460" s="897"/>
      <c r="G460" s="694"/>
      <c r="H460" s="695"/>
      <c r="I460" s="696"/>
      <c r="J460" s="697"/>
      <c r="K460" s="697"/>
      <c r="L460" s="697"/>
      <c r="M460" s="697"/>
      <c r="N460" s="697"/>
      <c r="O460" s="895"/>
      <c r="P460" s="162"/>
      <c r="Q460" s="161"/>
      <c r="R460" s="161"/>
      <c r="S460" s="697"/>
      <c r="T460" s="937"/>
      <c r="U460" s="895"/>
      <c r="V460" s="895"/>
      <c r="W460" s="895"/>
      <c r="X460" s="895"/>
      <c r="Y460" s="895"/>
      <c r="Z460" s="895"/>
    </row>
    <row r="461" spans="1:26">
      <c r="A461" s="895"/>
      <c r="B461" s="896"/>
      <c r="C461" s="161"/>
      <c r="D461" s="303"/>
      <c r="E461" s="162"/>
      <c r="F461" s="897"/>
      <c r="G461" s="694"/>
      <c r="H461" s="695"/>
      <c r="I461" s="696"/>
      <c r="J461" s="697"/>
      <c r="K461" s="697"/>
      <c r="L461" s="697"/>
      <c r="M461" s="697"/>
      <c r="N461" s="697"/>
      <c r="O461" s="895"/>
      <c r="P461" s="162"/>
      <c r="Q461" s="161"/>
      <c r="R461" s="161"/>
      <c r="S461" s="697"/>
      <c r="T461" s="937"/>
      <c r="U461" s="895"/>
      <c r="V461" s="895"/>
      <c r="W461" s="895"/>
      <c r="X461" s="895"/>
      <c r="Y461" s="895"/>
      <c r="Z461" s="895"/>
    </row>
    <row r="462" spans="1:26">
      <c r="A462" s="895"/>
      <c r="B462" s="896"/>
      <c r="C462" s="161"/>
      <c r="D462" s="303"/>
      <c r="E462" s="162"/>
      <c r="F462" s="897"/>
      <c r="G462" s="694"/>
      <c r="H462" s="695"/>
      <c r="I462" s="696"/>
      <c r="J462" s="697"/>
      <c r="K462" s="697"/>
      <c r="L462" s="697"/>
      <c r="M462" s="697"/>
      <c r="N462" s="697"/>
      <c r="O462" s="895"/>
      <c r="P462" s="162"/>
      <c r="Q462" s="161"/>
      <c r="R462" s="161"/>
      <c r="S462" s="697"/>
      <c r="T462" s="937"/>
      <c r="U462" s="895"/>
      <c r="V462" s="895"/>
      <c r="W462" s="895"/>
      <c r="X462" s="895"/>
      <c r="Y462" s="895"/>
      <c r="Z462" s="895"/>
    </row>
    <row r="463" spans="1:26">
      <c r="A463" s="895"/>
      <c r="B463" s="896"/>
      <c r="C463" s="161"/>
      <c r="D463" s="303"/>
      <c r="E463" s="162"/>
      <c r="F463" s="897"/>
      <c r="G463" s="694"/>
      <c r="H463" s="695"/>
      <c r="I463" s="696"/>
      <c r="J463" s="697"/>
      <c r="K463" s="697"/>
      <c r="L463" s="697"/>
      <c r="M463" s="697"/>
      <c r="N463" s="697"/>
      <c r="O463" s="895"/>
      <c r="P463" s="162"/>
      <c r="Q463" s="161"/>
      <c r="R463" s="161"/>
      <c r="S463" s="697"/>
      <c r="T463" s="937"/>
      <c r="U463" s="895"/>
      <c r="V463" s="895"/>
      <c r="W463" s="895"/>
      <c r="X463" s="895"/>
      <c r="Y463" s="895"/>
      <c r="Z463" s="895"/>
    </row>
    <row r="464" spans="1:26">
      <c r="A464" s="895"/>
      <c r="B464" s="896"/>
      <c r="C464" s="161"/>
      <c r="D464" s="303"/>
      <c r="E464" s="162"/>
      <c r="F464" s="897"/>
      <c r="G464" s="694"/>
      <c r="H464" s="695"/>
      <c r="I464" s="696"/>
      <c r="J464" s="697"/>
      <c r="K464" s="697"/>
      <c r="L464" s="697"/>
      <c r="M464" s="697"/>
      <c r="N464" s="697"/>
      <c r="O464" s="895"/>
      <c r="P464" s="162"/>
      <c r="Q464" s="161"/>
      <c r="R464" s="161"/>
      <c r="S464" s="697"/>
      <c r="T464" s="937"/>
      <c r="U464" s="895"/>
      <c r="V464" s="895"/>
      <c r="W464" s="895"/>
      <c r="X464" s="895"/>
      <c r="Y464" s="895"/>
      <c r="Z464" s="895"/>
    </row>
    <row r="465" spans="1:26">
      <c r="A465" s="895"/>
      <c r="B465" s="896"/>
      <c r="C465" s="161"/>
      <c r="D465" s="303"/>
      <c r="E465" s="162"/>
      <c r="F465" s="897"/>
      <c r="G465" s="694"/>
      <c r="H465" s="695"/>
      <c r="I465" s="696"/>
      <c r="J465" s="697"/>
      <c r="K465" s="697"/>
      <c r="L465" s="697"/>
      <c r="M465" s="697"/>
      <c r="N465" s="697"/>
      <c r="O465" s="895"/>
      <c r="P465" s="162"/>
      <c r="Q465" s="161"/>
      <c r="R465" s="161"/>
      <c r="S465" s="697"/>
      <c r="T465" s="937"/>
      <c r="U465" s="895"/>
      <c r="V465" s="895"/>
      <c r="W465" s="895"/>
      <c r="X465" s="895"/>
      <c r="Y465" s="895"/>
      <c r="Z465" s="895"/>
    </row>
    <row r="466" spans="1:26">
      <c r="A466" s="895"/>
      <c r="B466" s="896"/>
      <c r="C466" s="161"/>
      <c r="D466" s="303"/>
      <c r="E466" s="162"/>
      <c r="F466" s="897"/>
      <c r="G466" s="694"/>
      <c r="H466" s="695"/>
      <c r="I466" s="696"/>
      <c r="J466" s="697"/>
      <c r="K466" s="697"/>
      <c r="L466" s="697"/>
      <c r="M466" s="697"/>
      <c r="N466" s="697"/>
      <c r="O466" s="895"/>
      <c r="P466" s="162"/>
      <c r="Q466" s="161"/>
      <c r="R466" s="161"/>
      <c r="S466" s="697"/>
      <c r="T466" s="937"/>
      <c r="U466" s="895"/>
      <c r="V466" s="895"/>
      <c r="W466" s="895"/>
      <c r="X466" s="895"/>
      <c r="Y466" s="895"/>
      <c r="Z466" s="895"/>
    </row>
    <row r="467" spans="1:26">
      <c r="A467" s="895"/>
      <c r="B467" s="896"/>
      <c r="C467" s="161"/>
      <c r="D467" s="303"/>
      <c r="E467" s="162"/>
      <c r="F467" s="897"/>
      <c r="G467" s="694"/>
      <c r="H467" s="695"/>
      <c r="I467" s="696"/>
      <c r="J467" s="697"/>
      <c r="K467" s="697"/>
      <c r="L467" s="697"/>
      <c r="M467" s="697"/>
      <c r="N467" s="697"/>
      <c r="O467" s="895"/>
      <c r="P467" s="162"/>
      <c r="Q467" s="161"/>
      <c r="R467" s="161"/>
      <c r="S467" s="697"/>
      <c r="T467" s="937"/>
      <c r="U467" s="895"/>
      <c r="V467" s="895"/>
      <c r="W467" s="895"/>
      <c r="X467" s="895"/>
      <c r="Y467" s="895"/>
      <c r="Z467" s="895"/>
    </row>
    <row r="468" spans="1:26">
      <c r="A468" s="895"/>
      <c r="B468" s="896"/>
      <c r="C468" s="161"/>
      <c r="D468" s="303"/>
      <c r="E468" s="162"/>
      <c r="F468" s="897"/>
      <c r="G468" s="694"/>
      <c r="H468" s="695"/>
      <c r="I468" s="696"/>
      <c r="J468" s="697"/>
      <c r="K468" s="697"/>
      <c r="L468" s="697"/>
      <c r="M468" s="697"/>
      <c r="N468" s="697"/>
      <c r="O468" s="895"/>
      <c r="P468" s="162"/>
      <c r="Q468" s="161"/>
      <c r="R468" s="161"/>
      <c r="S468" s="697"/>
      <c r="T468" s="937"/>
      <c r="U468" s="895"/>
      <c r="V468" s="895"/>
      <c r="W468" s="895"/>
      <c r="X468" s="895"/>
      <c r="Y468" s="895"/>
      <c r="Z468" s="895"/>
    </row>
    <row r="469" spans="1:26">
      <c r="A469" s="895"/>
      <c r="B469" s="896"/>
      <c r="C469" s="161"/>
      <c r="D469" s="303"/>
      <c r="E469" s="162"/>
      <c r="F469" s="897"/>
      <c r="G469" s="694"/>
      <c r="H469" s="695"/>
      <c r="I469" s="696"/>
      <c r="J469" s="697"/>
      <c r="K469" s="697"/>
      <c r="L469" s="697"/>
      <c r="M469" s="697"/>
      <c r="N469" s="697"/>
      <c r="O469" s="895"/>
      <c r="P469" s="162"/>
      <c r="Q469" s="161"/>
      <c r="R469" s="161"/>
      <c r="S469" s="697"/>
      <c r="T469" s="937"/>
      <c r="U469" s="895"/>
      <c r="V469" s="895"/>
      <c r="W469" s="895"/>
      <c r="X469" s="895"/>
      <c r="Y469" s="895"/>
      <c r="Z469" s="895"/>
    </row>
    <row r="470" spans="1:26">
      <c r="A470" s="895"/>
      <c r="B470" s="896"/>
      <c r="C470" s="161"/>
      <c r="D470" s="303"/>
      <c r="E470" s="162"/>
      <c r="F470" s="897"/>
      <c r="G470" s="694"/>
      <c r="H470" s="695"/>
      <c r="I470" s="696"/>
      <c r="J470" s="697"/>
      <c r="K470" s="697"/>
      <c r="L470" s="697"/>
      <c r="M470" s="697"/>
      <c r="N470" s="697"/>
      <c r="O470" s="895"/>
      <c r="P470" s="162"/>
      <c r="Q470" s="161"/>
      <c r="R470" s="161"/>
      <c r="S470" s="697"/>
      <c r="T470" s="937"/>
      <c r="U470" s="895"/>
      <c r="V470" s="895"/>
      <c r="W470" s="895"/>
      <c r="X470" s="895"/>
      <c r="Y470" s="895"/>
      <c r="Z470" s="895"/>
    </row>
    <row r="471" spans="1:26">
      <c r="A471" s="895"/>
      <c r="B471" s="896"/>
      <c r="C471" s="161"/>
      <c r="D471" s="303"/>
      <c r="E471" s="162"/>
      <c r="F471" s="897"/>
      <c r="G471" s="694"/>
      <c r="H471" s="695"/>
      <c r="I471" s="696"/>
      <c r="J471" s="697"/>
      <c r="K471" s="697"/>
      <c r="L471" s="697"/>
      <c r="M471" s="697"/>
      <c r="N471" s="697"/>
      <c r="O471" s="895"/>
      <c r="P471" s="162"/>
      <c r="Q471" s="161"/>
      <c r="R471" s="161"/>
      <c r="S471" s="697"/>
      <c r="T471" s="937"/>
      <c r="U471" s="895"/>
      <c r="V471" s="895"/>
      <c r="W471" s="895"/>
      <c r="X471" s="895"/>
      <c r="Y471" s="895"/>
      <c r="Z471" s="895"/>
    </row>
    <row r="472" spans="1:26">
      <c r="A472" s="895"/>
      <c r="B472" s="896"/>
      <c r="C472" s="161"/>
      <c r="D472" s="303"/>
      <c r="E472" s="162"/>
      <c r="F472" s="897"/>
      <c r="G472" s="694"/>
      <c r="H472" s="695"/>
      <c r="I472" s="696"/>
      <c r="J472" s="697"/>
      <c r="K472" s="697"/>
      <c r="L472" s="697"/>
      <c r="M472" s="697"/>
      <c r="N472" s="697"/>
      <c r="O472" s="895"/>
      <c r="P472" s="162"/>
      <c r="Q472" s="161"/>
      <c r="R472" s="161"/>
      <c r="S472" s="697"/>
      <c r="T472" s="937"/>
      <c r="U472" s="895"/>
      <c r="V472" s="895"/>
      <c r="W472" s="895"/>
      <c r="X472" s="895"/>
      <c r="Y472" s="895"/>
      <c r="Z472" s="895"/>
    </row>
    <row r="473" spans="1:26">
      <c r="A473" s="895"/>
      <c r="B473" s="896"/>
      <c r="C473" s="161"/>
      <c r="D473" s="303"/>
      <c r="E473" s="162"/>
      <c r="F473" s="897"/>
      <c r="G473" s="694"/>
      <c r="H473" s="695"/>
      <c r="I473" s="696"/>
      <c r="J473" s="697"/>
      <c r="K473" s="697"/>
      <c r="L473" s="697"/>
      <c r="M473" s="697"/>
      <c r="N473" s="697"/>
      <c r="O473" s="895"/>
      <c r="P473" s="162"/>
      <c r="Q473" s="161"/>
      <c r="R473" s="161"/>
      <c r="S473" s="697"/>
      <c r="T473" s="937"/>
      <c r="U473" s="895"/>
      <c r="V473" s="895"/>
      <c r="W473" s="895"/>
      <c r="X473" s="895"/>
      <c r="Y473" s="895"/>
      <c r="Z473" s="895"/>
    </row>
    <row r="474" spans="1:26">
      <c r="A474" s="895"/>
      <c r="B474" s="896"/>
      <c r="C474" s="161"/>
      <c r="D474" s="303"/>
      <c r="E474" s="162"/>
      <c r="F474" s="897"/>
      <c r="G474" s="694"/>
      <c r="H474" s="695"/>
      <c r="I474" s="696"/>
      <c r="J474" s="697"/>
      <c r="K474" s="697"/>
      <c r="L474" s="697"/>
      <c r="M474" s="697"/>
      <c r="N474" s="697"/>
      <c r="O474" s="895"/>
      <c r="P474" s="162"/>
      <c r="Q474" s="161"/>
      <c r="R474" s="161"/>
      <c r="S474" s="697"/>
      <c r="T474" s="937"/>
      <c r="U474" s="895"/>
      <c r="V474" s="895"/>
      <c r="W474" s="895"/>
      <c r="X474" s="895"/>
      <c r="Y474" s="895"/>
      <c r="Z474" s="895"/>
    </row>
    <row r="475" spans="1:26">
      <c r="A475" s="895"/>
      <c r="B475" s="896"/>
      <c r="C475" s="161"/>
      <c r="D475" s="303"/>
      <c r="E475" s="162"/>
      <c r="F475" s="897"/>
      <c r="G475" s="694"/>
      <c r="H475" s="695"/>
      <c r="I475" s="696"/>
      <c r="J475" s="697"/>
      <c r="K475" s="697"/>
      <c r="L475" s="697"/>
      <c r="M475" s="697"/>
      <c r="N475" s="697"/>
      <c r="O475" s="895"/>
      <c r="P475" s="162"/>
      <c r="Q475" s="161"/>
      <c r="R475" s="161"/>
      <c r="S475" s="697"/>
      <c r="T475" s="937"/>
      <c r="U475" s="895"/>
      <c r="V475" s="895"/>
      <c r="W475" s="895"/>
      <c r="X475" s="895"/>
      <c r="Y475" s="895"/>
      <c r="Z475" s="895"/>
    </row>
    <row r="476" spans="1:26">
      <c r="A476" s="895"/>
      <c r="B476" s="896"/>
      <c r="C476" s="161"/>
      <c r="D476" s="303"/>
      <c r="E476" s="162"/>
      <c r="F476" s="897"/>
      <c r="G476" s="694"/>
      <c r="H476" s="695"/>
      <c r="I476" s="696"/>
      <c r="J476" s="697"/>
      <c r="K476" s="697"/>
      <c r="L476" s="697"/>
      <c r="M476" s="697"/>
      <c r="N476" s="697"/>
      <c r="O476" s="895"/>
      <c r="P476" s="162"/>
      <c r="Q476" s="161"/>
      <c r="R476" s="161"/>
      <c r="S476" s="697"/>
      <c r="T476" s="937"/>
      <c r="U476" s="895"/>
      <c r="V476" s="895"/>
      <c r="W476" s="895"/>
      <c r="X476" s="895"/>
      <c r="Y476" s="895"/>
      <c r="Z476" s="895"/>
    </row>
    <row r="477" spans="1:26">
      <c r="A477" s="895"/>
      <c r="B477" s="896"/>
      <c r="C477" s="161"/>
      <c r="D477" s="303"/>
      <c r="E477" s="162"/>
      <c r="F477" s="897"/>
      <c r="G477" s="694"/>
      <c r="H477" s="695"/>
      <c r="I477" s="696"/>
      <c r="J477" s="697"/>
      <c r="K477" s="697"/>
      <c r="L477" s="697"/>
      <c r="M477" s="697"/>
      <c r="N477" s="697"/>
      <c r="O477" s="895"/>
      <c r="P477" s="162"/>
      <c r="Q477" s="161"/>
      <c r="R477" s="161"/>
      <c r="S477" s="697"/>
      <c r="T477" s="937"/>
      <c r="U477" s="895"/>
      <c r="V477" s="895"/>
      <c r="W477" s="895"/>
      <c r="X477" s="895"/>
      <c r="Y477" s="895"/>
      <c r="Z477" s="895"/>
    </row>
    <row r="478" spans="1:26">
      <c r="A478" s="895"/>
      <c r="B478" s="896"/>
      <c r="C478" s="161"/>
      <c r="D478" s="303"/>
      <c r="E478" s="162"/>
      <c r="F478" s="897"/>
      <c r="G478" s="694"/>
      <c r="H478" s="695"/>
      <c r="I478" s="696"/>
      <c r="J478" s="697"/>
      <c r="K478" s="697"/>
      <c r="L478" s="697"/>
      <c r="M478" s="697"/>
      <c r="N478" s="697"/>
      <c r="O478" s="895"/>
      <c r="P478" s="162"/>
      <c r="Q478" s="161"/>
      <c r="R478" s="161"/>
      <c r="S478" s="697"/>
      <c r="T478" s="937"/>
      <c r="U478" s="895"/>
      <c r="V478" s="895"/>
      <c r="W478" s="895"/>
      <c r="X478" s="895"/>
      <c r="Y478" s="895"/>
      <c r="Z478" s="895"/>
    </row>
    <row r="479" spans="1:26">
      <c r="A479" s="895"/>
      <c r="B479" s="896"/>
      <c r="C479" s="161"/>
      <c r="D479" s="303"/>
      <c r="E479" s="162"/>
      <c r="F479" s="897"/>
      <c r="G479" s="694"/>
      <c r="H479" s="695"/>
      <c r="I479" s="696"/>
      <c r="J479" s="697"/>
      <c r="K479" s="697"/>
      <c r="L479" s="697"/>
      <c r="M479" s="697"/>
      <c r="N479" s="697"/>
      <c r="O479" s="895"/>
      <c r="P479" s="162"/>
      <c r="Q479" s="161"/>
      <c r="R479" s="161"/>
      <c r="S479" s="697"/>
      <c r="T479" s="937"/>
      <c r="U479" s="895"/>
      <c r="V479" s="895"/>
      <c r="W479" s="895"/>
      <c r="X479" s="895"/>
      <c r="Y479" s="895"/>
      <c r="Z479" s="895"/>
    </row>
    <row r="480" spans="1:26">
      <c r="A480" s="895"/>
      <c r="B480" s="896"/>
      <c r="C480" s="161"/>
      <c r="D480" s="303"/>
      <c r="E480" s="162"/>
      <c r="F480" s="897"/>
      <c r="G480" s="694"/>
      <c r="H480" s="695"/>
      <c r="I480" s="696"/>
      <c r="J480" s="697"/>
      <c r="K480" s="697"/>
      <c r="L480" s="697"/>
      <c r="M480" s="697"/>
      <c r="N480" s="697"/>
      <c r="O480" s="895"/>
      <c r="P480" s="162"/>
      <c r="Q480" s="161"/>
      <c r="R480" s="161"/>
      <c r="S480" s="697"/>
      <c r="T480" s="937"/>
      <c r="U480" s="895"/>
      <c r="V480" s="895"/>
      <c r="W480" s="895"/>
      <c r="X480" s="895"/>
      <c r="Y480" s="895"/>
      <c r="Z480" s="895"/>
    </row>
    <row r="481" spans="1:26">
      <c r="A481" s="895"/>
      <c r="B481" s="896"/>
      <c r="C481" s="161"/>
      <c r="D481" s="303"/>
      <c r="E481" s="162"/>
      <c r="F481" s="897"/>
      <c r="G481" s="694"/>
      <c r="H481" s="695"/>
      <c r="I481" s="696"/>
      <c r="J481" s="697"/>
      <c r="K481" s="697"/>
      <c r="L481" s="697"/>
      <c r="M481" s="697"/>
      <c r="N481" s="697"/>
      <c r="O481" s="895"/>
      <c r="P481" s="162"/>
      <c r="Q481" s="161"/>
      <c r="R481" s="161"/>
      <c r="S481" s="697"/>
      <c r="T481" s="937"/>
      <c r="U481" s="895"/>
      <c r="V481" s="895"/>
      <c r="W481" s="895"/>
      <c r="X481" s="895"/>
      <c r="Y481" s="895"/>
      <c r="Z481" s="895"/>
    </row>
    <row r="482" spans="1:26">
      <c r="A482" s="895"/>
      <c r="B482" s="896"/>
      <c r="C482" s="161"/>
      <c r="D482" s="303"/>
      <c r="E482" s="162"/>
      <c r="F482" s="897"/>
      <c r="G482" s="694"/>
      <c r="H482" s="695"/>
      <c r="I482" s="696"/>
      <c r="J482" s="697"/>
      <c r="K482" s="697"/>
      <c r="L482" s="697"/>
      <c r="M482" s="697"/>
      <c r="N482" s="697"/>
      <c r="O482" s="895"/>
      <c r="P482" s="162"/>
      <c r="Q482" s="161"/>
      <c r="R482" s="161"/>
      <c r="S482" s="697"/>
      <c r="T482" s="937"/>
      <c r="U482" s="895"/>
      <c r="V482" s="895"/>
      <c r="W482" s="895"/>
      <c r="X482" s="895"/>
      <c r="Y482" s="895"/>
      <c r="Z482" s="895"/>
    </row>
    <row r="483" spans="1:26">
      <c r="A483" s="895"/>
      <c r="B483" s="896"/>
      <c r="C483" s="161"/>
      <c r="D483" s="303"/>
      <c r="E483" s="162"/>
      <c r="F483" s="897"/>
      <c r="G483" s="694"/>
      <c r="H483" s="695"/>
      <c r="I483" s="696"/>
      <c r="J483" s="697"/>
      <c r="K483" s="697"/>
      <c r="L483" s="697"/>
      <c r="M483" s="697"/>
      <c r="N483" s="697"/>
      <c r="O483" s="895"/>
      <c r="P483" s="162"/>
      <c r="Q483" s="161"/>
      <c r="R483" s="161"/>
      <c r="S483" s="697"/>
      <c r="T483" s="937"/>
      <c r="U483" s="895"/>
      <c r="V483" s="895"/>
      <c r="W483" s="895"/>
      <c r="X483" s="895"/>
      <c r="Y483" s="895"/>
      <c r="Z483" s="895"/>
    </row>
    <row r="484" spans="1:26">
      <c r="A484" s="895"/>
      <c r="B484" s="896"/>
      <c r="C484" s="161"/>
      <c r="D484" s="303"/>
      <c r="E484" s="162"/>
      <c r="F484" s="897"/>
      <c r="G484" s="694"/>
      <c r="H484" s="695"/>
      <c r="I484" s="696"/>
      <c r="J484" s="697"/>
      <c r="K484" s="697"/>
      <c r="L484" s="697"/>
      <c r="M484" s="697"/>
      <c r="N484" s="697"/>
      <c r="O484" s="895"/>
      <c r="P484" s="162"/>
      <c r="Q484" s="161"/>
      <c r="R484" s="161"/>
      <c r="S484" s="697"/>
      <c r="T484" s="937"/>
      <c r="U484" s="895"/>
      <c r="V484" s="895"/>
      <c r="W484" s="895"/>
      <c r="X484" s="895"/>
      <c r="Y484" s="895"/>
      <c r="Z484" s="895"/>
    </row>
    <row r="485" spans="1:26">
      <c r="A485" s="895"/>
      <c r="B485" s="896"/>
      <c r="C485" s="161"/>
      <c r="D485" s="303"/>
      <c r="E485" s="162"/>
      <c r="F485" s="897"/>
      <c r="G485" s="694"/>
      <c r="H485" s="695"/>
      <c r="I485" s="696"/>
      <c r="J485" s="697"/>
      <c r="K485" s="697"/>
      <c r="L485" s="697"/>
      <c r="M485" s="697"/>
      <c r="N485" s="697"/>
      <c r="O485" s="895"/>
      <c r="P485" s="162"/>
      <c r="Q485" s="161"/>
      <c r="R485" s="161"/>
      <c r="S485" s="697"/>
      <c r="T485" s="937"/>
      <c r="U485" s="895"/>
      <c r="V485" s="895"/>
      <c r="W485" s="895"/>
      <c r="X485" s="895"/>
      <c r="Y485" s="895"/>
      <c r="Z485" s="895"/>
    </row>
    <row r="486" spans="1:26">
      <c r="A486" s="895"/>
      <c r="B486" s="896"/>
      <c r="C486" s="161"/>
      <c r="D486" s="303"/>
      <c r="E486" s="162"/>
      <c r="F486" s="897"/>
      <c r="G486" s="694"/>
      <c r="H486" s="695"/>
      <c r="I486" s="696"/>
      <c r="J486" s="697"/>
      <c r="K486" s="697"/>
      <c r="L486" s="697"/>
      <c r="M486" s="697"/>
      <c r="N486" s="697"/>
      <c r="O486" s="895"/>
      <c r="P486" s="162"/>
      <c r="Q486" s="161"/>
      <c r="R486" s="161"/>
      <c r="S486" s="697"/>
      <c r="T486" s="937"/>
      <c r="U486" s="895"/>
      <c r="V486" s="895"/>
      <c r="W486" s="895"/>
      <c r="X486" s="895"/>
      <c r="Y486" s="895"/>
      <c r="Z486" s="895"/>
    </row>
    <row r="487" spans="1:26">
      <c r="A487" s="895"/>
      <c r="B487" s="896"/>
      <c r="C487" s="161"/>
      <c r="D487" s="303"/>
      <c r="E487" s="162"/>
      <c r="F487" s="897"/>
      <c r="G487" s="694"/>
      <c r="H487" s="695"/>
      <c r="I487" s="696"/>
      <c r="J487" s="697"/>
      <c r="K487" s="697"/>
      <c r="L487" s="697"/>
      <c r="M487" s="697"/>
      <c r="N487" s="697"/>
      <c r="O487" s="895"/>
      <c r="P487" s="162"/>
      <c r="Q487" s="161"/>
      <c r="R487" s="161"/>
      <c r="S487" s="697"/>
      <c r="T487" s="937"/>
      <c r="U487" s="895"/>
      <c r="V487" s="895"/>
      <c r="W487" s="895"/>
      <c r="X487" s="895"/>
      <c r="Y487" s="895"/>
      <c r="Z487" s="895"/>
    </row>
    <row r="488" spans="1:26">
      <c r="A488" s="895"/>
      <c r="B488" s="896"/>
      <c r="C488" s="161"/>
      <c r="D488" s="303"/>
      <c r="E488" s="162"/>
      <c r="F488" s="897"/>
      <c r="G488" s="694"/>
      <c r="H488" s="695"/>
      <c r="I488" s="696"/>
      <c r="J488" s="697"/>
      <c r="K488" s="697"/>
      <c r="L488" s="697"/>
      <c r="M488" s="697"/>
      <c r="N488" s="697"/>
      <c r="O488" s="895"/>
      <c r="P488" s="162"/>
      <c r="Q488" s="161"/>
      <c r="R488" s="161"/>
      <c r="S488" s="697"/>
      <c r="T488" s="937"/>
      <c r="U488" s="895"/>
      <c r="V488" s="895"/>
      <c r="W488" s="895"/>
      <c r="X488" s="895"/>
      <c r="Y488" s="895"/>
      <c r="Z488" s="895"/>
    </row>
    <row r="489" spans="1:26">
      <c r="A489" s="895"/>
      <c r="B489" s="896"/>
      <c r="C489" s="161"/>
      <c r="D489" s="303"/>
      <c r="E489" s="162"/>
      <c r="F489" s="897"/>
      <c r="G489" s="694"/>
      <c r="H489" s="695"/>
      <c r="I489" s="696"/>
      <c r="J489" s="697"/>
      <c r="K489" s="697"/>
      <c r="L489" s="697"/>
      <c r="M489" s="697"/>
      <c r="N489" s="697"/>
      <c r="O489" s="895"/>
      <c r="P489" s="162"/>
      <c r="Q489" s="161"/>
      <c r="R489" s="161"/>
      <c r="S489" s="697"/>
      <c r="T489" s="937"/>
      <c r="U489" s="895"/>
      <c r="V489" s="895"/>
      <c r="W489" s="895"/>
      <c r="X489" s="895"/>
      <c r="Y489" s="895"/>
      <c r="Z489" s="895"/>
    </row>
    <row r="490" spans="1:26">
      <c r="A490" s="895"/>
      <c r="B490" s="896"/>
      <c r="C490" s="161"/>
      <c r="D490" s="303"/>
      <c r="E490" s="162"/>
      <c r="F490" s="897"/>
      <c r="G490" s="694"/>
      <c r="H490" s="695"/>
      <c r="I490" s="696"/>
      <c r="J490" s="697"/>
      <c r="K490" s="697"/>
      <c r="L490" s="697"/>
      <c r="M490" s="697"/>
      <c r="N490" s="697"/>
      <c r="O490" s="895"/>
      <c r="P490" s="162"/>
      <c r="Q490" s="161"/>
      <c r="R490" s="161"/>
      <c r="S490" s="697"/>
      <c r="T490" s="937"/>
      <c r="U490" s="895"/>
      <c r="V490" s="895"/>
      <c r="W490" s="895"/>
      <c r="X490" s="895"/>
      <c r="Y490" s="895"/>
      <c r="Z490" s="895"/>
    </row>
    <row r="491" spans="1:26">
      <c r="A491" s="895"/>
      <c r="B491" s="896"/>
      <c r="C491" s="161"/>
      <c r="D491" s="303"/>
      <c r="E491" s="162"/>
      <c r="F491" s="897"/>
      <c r="G491" s="694"/>
      <c r="H491" s="695"/>
      <c r="I491" s="696"/>
      <c r="J491" s="697"/>
      <c r="K491" s="697"/>
      <c r="L491" s="697"/>
      <c r="M491" s="697"/>
      <c r="N491" s="697"/>
      <c r="O491" s="895"/>
      <c r="P491" s="162"/>
      <c r="Q491" s="161"/>
      <c r="R491" s="161"/>
      <c r="S491" s="697"/>
      <c r="T491" s="937"/>
      <c r="U491" s="895"/>
      <c r="V491" s="895"/>
      <c r="W491" s="895"/>
      <c r="X491" s="895"/>
      <c r="Y491" s="895"/>
      <c r="Z491" s="895"/>
    </row>
    <row r="492" spans="1:26">
      <c r="A492" s="895"/>
      <c r="B492" s="896"/>
      <c r="C492" s="161"/>
      <c r="D492" s="303"/>
      <c r="E492" s="162"/>
      <c r="F492" s="897"/>
      <c r="G492" s="694"/>
      <c r="H492" s="695"/>
      <c r="I492" s="696"/>
      <c r="J492" s="697"/>
      <c r="K492" s="697"/>
      <c r="L492" s="697"/>
      <c r="M492" s="697"/>
      <c r="N492" s="697"/>
      <c r="O492" s="895"/>
      <c r="P492" s="162"/>
      <c r="Q492" s="161"/>
      <c r="R492" s="161"/>
      <c r="S492" s="697"/>
      <c r="T492" s="937"/>
      <c r="U492" s="895"/>
      <c r="V492" s="895"/>
      <c r="W492" s="895"/>
      <c r="X492" s="895"/>
      <c r="Y492" s="895"/>
      <c r="Z492" s="895"/>
    </row>
    <row r="493" spans="1:26">
      <c r="A493" s="895"/>
      <c r="B493" s="896"/>
      <c r="C493" s="161"/>
      <c r="D493" s="303"/>
      <c r="E493" s="162"/>
      <c r="F493" s="897"/>
      <c r="G493" s="694"/>
      <c r="H493" s="695"/>
      <c r="I493" s="696"/>
      <c r="J493" s="697"/>
      <c r="K493" s="697"/>
      <c r="L493" s="697"/>
      <c r="M493" s="697"/>
      <c r="N493" s="697"/>
      <c r="O493" s="895"/>
      <c r="P493" s="162"/>
      <c r="Q493" s="161"/>
      <c r="R493" s="161"/>
      <c r="S493" s="697"/>
      <c r="T493" s="937"/>
      <c r="U493" s="895"/>
      <c r="V493" s="895"/>
      <c r="W493" s="895"/>
      <c r="X493" s="895"/>
      <c r="Y493" s="895"/>
      <c r="Z493" s="895"/>
    </row>
    <row r="494" spans="1:26">
      <c r="A494" s="895"/>
      <c r="B494" s="896"/>
      <c r="C494" s="161"/>
      <c r="D494" s="303"/>
      <c r="E494" s="162"/>
      <c r="F494" s="897"/>
      <c r="G494" s="694"/>
      <c r="H494" s="695"/>
      <c r="I494" s="696"/>
      <c r="J494" s="697"/>
      <c r="K494" s="697"/>
      <c r="L494" s="697"/>
      <c r="M494" s="697"/>
      <c r="N494" s="697"/>
      <c r="O494" s="895"/>
      <c r="P494" s="162"/>
      <c r="Q494" s="161"/>
      <c r="R494" s="161"/>
      <c r="S494" s="697"/>
      <c r="T494" s="937"/>
      <c r="U494" s="895"/>
      <c r="V494" s="895"/>
      <c r="W494" s="895"/>
      <c r="X494" s="895"/>
      <c r="Y494" s="895"/>
      <c r="Z494" s="895"/>
    </row>
    <row r="495" spans="1:26">
      <c r="A495" s="895"/>
      <c r="B495" s="896"/>
      <c r="C495" s="161"/>
      <c r="D495" s="303"/>
      <c r="E495" s="162"/>
      <c r="F495" s="897"/>
      <c r="G495" s="694"/>
      <c r="H495" s="695"/>
      <c r="I495" s="696"/>
      <c r="J495" s="697"/>
      <c r="K495" s="697"/>
      <c r="L495" s="697"/>
      <c r="M495" s="697"/>
      <c r="N495" s="697"/>
      <c r="O495" s="895"/>
      <c r="P495" s="162"/>
      <c r="Q495" s="161"/>
      <c r="R495" s="161"/>
      <c r="S495" s="697"/>
      <c r="T495" s="937"/>
      <c r="U495" s="895"/>
      <c r="V495" s="895"/>
      <c r="W495" s="895"/>
      <c r="X495" s="895"/>
      <c r="Y495" s="895"/>
      <c r="Z495" s="895"/>
    </row>
    <row r="496" spans="1:26">
      <c r="A496" s="895"/>
      <c r="B496" s="896"/>
      <c r="C496" s="161"/>
      <c r="D496" s="303"/>
      <c r="E496" s="162"/>
      <c r="F496" s="897"/>
      <c r="G496" s="694"/>
      <c r="H496" s="695"/>
      <c r="I496" s="696"/>
      <c r="J496" s="697"/>
      <c r="K496" s="697"/>
      <c r="L496" s="697"/>
      <c r="M496" s="697"/>
      <c r="N496" s="697"/>
      <c r="O496" s="895"/>
      <c r="P496" s="162"/>
      <c r="Q496" s="161"/>
      <c r="R496" s="161"/>
      <c r="S496" s="697"/>
      <c r="T496" s="937"/>
      <c r="U496" s="895"/>
      <c r="V496" s="895"/>
      <c r="W496" s="895"/>
      <c r="X496" s="895"/>
      <c r="Y496" s="895"/>
      <c r="Z496" s="895"/>
    </row>
    <row r="497" spans="1:26">
      <c r="A497" s="895"/>
      <c r="B497" s="896"/>
      <c r="C497" s="161"/>
      <c r="D497" s="303"/>
      <c r="E497" s="162"/>
      <c r="F497" s="897"/>
      <c r="G497" s="694"/>
      <c r="H497" s="695"/>
      <c r="I497" s="696"/>
      <c r="J497" s="697"/>
      <c r="K497" s="697"/>
      <c r="L497" s="697"/>
      <c r="M497" s="697"/>
      <c r="N497" s="697"/>
      <c r="O497" s="895"/>
      <c r="P497" s="162"/>
      <c r="Q497" s="161"/>
      <c r="R497" s="161"/>
      <c r="S497" s="697"/>
      <c r="T497" s="937"/>
      <c r="U497" s="895"/>
      <c r="V497" s="895"/>
      <c r="W497" s="895"/>
      <c r="X497" s="895"/>
      <c r="Y497" s="895"/>
      <c r="Z497" s="895"/>
    </row>
    <row r="498" spans="1:26">
      <c r="A498" s="895"/>
      <c r="B498" s="896"/>
      <c r="C498" s="161"/>
      <c r="D498" s="303"/>
      <c r="E498" s="162"/>
      <c r="F498" s="897"/>
      <c r="G498" s="694"/>
      <c r="H498" s="695"/>
      <c r="I498" s="696"/>
      <c r="J498" s="697"/>
      <c r="K498" s="697"/>
      <c r="L498" s="697"/>
      <c r="M498" s="697"/>
      <c r="N498" s="697"/>
      <c r="O498" s="895"/>
      <c r="P498" s="162"/>
      <c r="Q498" s="161"/>
      <c r="R498" s="161"/>
      <c r="S498" s="697"/>
      <c r="T498" s="937"/>
      <c r="U498" s="895"/>
      <c r="V498" s="895"/>
      <c r="W498" s="895"/>
      <c r="X498" s="895"/>
      <c r="Y498" s="895"/>
      <c r="Z498" s="895"/>
    </row>
    <row r="499" spans="1:26">
      <c r="A499" s="895"/>
      <c r="B499" s="896"/>
      <c r="C499" s="161"/>
      <c r="D499" s="303"/>
      <c r="E499" s="162"/>
      <c r="F499" s="897"/>
      <c r="G499" s="694"/>
      <c r="H499" s="695"/>
      <c r="I499" s="696"/>
      <c r="J499" s="697"/>
      <c r="K499" s="697"/>
      <c r="L499" s="697"/>
      <c r="M499" s="697"/>
      <c r="N499" s="697"/>
      <c r="O499" s="895"/>
      <c r="P499" s="162"/>
      <c r="Q499" s="161"/>
      <c r="R499" s="161"/>
      <c r="S499" s="697"/>
      <c r="T499" s="937"/>
      <c r="U499" s="895"/>
      <c r="V499" s="895"/>
      <c r="W499" s="895"/>
      <c r="X499" s="895"/>
      <c r="Y499" s="895"/>
      <c r="Z499" s="895"/>
    </row>
    <row r="500" spans="1:26">
      <c r="A500" s="895"/>
      <c r="B500" s="896"/>
      <c r="C500" s="161"/>
      <c r="D500" s="303"/>
      <c r="E500" s="162"/>
      <c r="F500" s="897"/>
      <c r="G500" s="694"/>
      <c r="H500" s="695"/>
      <c r="I500" s="696"/>
      <c r="J500" s="697"/>
      <c r="K500" s="697"/>
      <c r="L500" s="697"/>
      <c r="M500" s="697"/>
      <c r="N500" s="697"/>
      <c r="O500" s="895"/>
      <c r="P500" s="162"/>
      <c r="Q500" s="161"/>
      <c r="R500" s="161"/>
      <c r="S500" s="697"/>
      <c r="T500" s="937"/>
      <c r="U500" s="895"/>
      <c r="V500" s="895"/>
      <c r="W500" s="895"/>
      <c r="X500" s="895"/>
      <c r="Y500" s="895"/>
      <c r="Z500" s="895"/>
    </row>
    <row r="501" spans="1:26">
      <c r="A501" s="895"/>
      <c r="B501" s="896"/>
      <c r="C501" s="161"/>
      <c r="D501" s="303"/>
      <c r="E501" s="162"/>
      <c r="F501" s="897"/>
      <c r="G501" s="694"/>
      <c r="H501" s="695"/>
      <c r="I501" s="696"/>
      <c r="J501" s="697"/>
      <c r="K501" s="697"/>
      <c r="L501" s="697"/>
      <c r="M501" s="697"/>
      <c r="N501" s="697"/>
      <c r="O501" s="895"/>
      <c r="P501" s="162"/>
      <c r="Q501" s="161"/>
      <c r="R501" s="161"/>
      <c r="S501" s="697"/>
      <c r="T501" s="937"/>
      <c r="U501" s="895"/>
      <c r="V501" s="895"/>
      <c r="W501" s="895"/>
      <c r="X501" s="895"/>
      <c r="Y501" s="895"/>
      <c r="Z501" s="895"/>
    </row>
    <row r="502" spans="1:26">
      <c r="A502" s="895"/>
      <c r="B502" s="896"/>
      <c r="C502" s="161"/>
      <c r="D502" s="303"/>
      <c r="E502" s="162"/>
      <c r="F502" s="897"/>
      <c r="G502" s="694"/>
      <c r="H502" s="695"/>
      <c r="I502" s="696"/>
      <c r="J502" s="697"/>
      <c r="K502" s="697"/>
      <c r="L502" s="697"/>
      <c r="M502" s="697"/>
      <c r="N502" s="697"/>
      <c r="O502" s="895"/>
      <c r="P502" s="162"/>
      <c r="Q502" s="161"/>
      <c r="R502" s="161"/>
      <c r="S502" s="697"/>
      <c r="T502" s="937"/>
      <c r="U502" s="895"/>
      <c r="V502" s="895"/>
      <c r="W502" s="895"/>
      <c r="X502" s="895"/>
      <c r="Y502" s="895"/>
      <c r="Z502" s="895"/>
    </row>
    <row r="503" spans="1:26">
      <c r="A503" s="895"/>
      <c r="B503" s="896"/>
      <c r="C503" s="161"/>
      <c r="D503" s="303"/>
      <c r="E503" s="162"/>
      <c r="F503" s="897"/>
      <c r="G503" s="694"/>
      <c r="H503" s="695"/>
      <c r="I503" s="696"/>
      <c r="J503" s="697"/>
      <c r="K503" s="697"/>
      <c r="L503" s="697"/>
      <c r="M503" s="697"/>
      <c r="N503" s="697"/>
      <c r="O503" s="895"/>
      <c r="P503" s="162"/>
      <c r="Q503" s="161"/>
      <c r="R503" s="161"/>
      <c r="S503" s="697"/>
      <c r="T503" s="937"/>
      <c r="U503" s="895"/>
      <c r="V503" s="895"/>
      <c r="W503" s="895"/>
      <c r="X503" s="895"/>
      <c r="Y503" s="895"/>
      <c r="Z503" s="895"/>
    </row>
    <row r="504" spans="1:26">
      <c r="A504" s="895"/>
      <c r="B504" s="896"/>
      <c r="C504" s="161"/>
      <c r="D504" s="303"/>
      <c r="E504" s="162"/>
      <c r="F504" s="897"/>
      <c r="G504" s="694"/>
      <c r="H504" s="695"/>
      <c r="I504" s="696"/>
      <c r="J504" s="697"/>
      <c r="K504" s="697"/>
      <c r="L504" s="697"/>
      <c r="M504" s="697"/>
      <c r="N504" s="697"/>
      <c r="O504" s="895"/>
      <c r="P504" s="162"/>
      <c r="Q504" s="161"/>
      <c r="R504" s="161"/>
      <c r="S504" s="697"/>
      <c r="T504" s="937"/>
      <c r="U504" s="895"/>
      <c r="V504" s="895"/>
      <c r="W504" s="895"/>
      <c r="X504" s="895"/>
      <c r="Y504" s="895"/>
      <c r="Z504" s="895"/>
    </row>
    <row r="505" spans="1:26">
      <c r="A505" s="895"/>
      <c r="B505" s="896"/>
      <c r="C505" s="161"/>
      <c r="D505" s="303"/>
      <c r="E505" s="162"/>
      <c r="F505" s="897"/>
      <c r="G505" s="694"/>
      <c r="H505" s="695"/>
      <c r="I505" s="696"/>
      <c r="J505" s="697"/>
      <c r="K505" s="697"/>
      <c r="L505" s="697"/>
      <c r="M505" s="697"/>
      <c r="N505" s="697"/>
      <c r="O505" s="895"/>
      <c r="P505" s="162"/>
      <c r="Q505" s="161"/>
      <c r="R505" s="161"/>
      <c r="S505" s="697"/>
      <c r="T505" s="937"/>
      <c r="U505" s="895"/>
      <c r="V505" s="895"/>
      <c r="W505" s="895"/>
      <c r="X505" s="895"/>
      <c r="Y505" s="895"/>
      <c r="Z505" s="895"/>
    </row>
    <row r="506" spans="1:26">
      <c r="A506" s="895"/>
      <c r="B506" s="896"/>
      <c r="C506" s="161"/>
      <c r="D506" s="303"/>
      <c r="E506" s="162"/>
      <c r="F506" s="897"/>
      <c r="G506" s="694"/>
      <c r="H506" s="695"/>
      <c r="I506" s="696"/>
      <c r="J506" s="697"/>
      <c r="K506" s="697"/>
      <c r="L506" s="697"/>
      <c r="M506" s="697"/>
      <c r="N506" s="697"/>
      <c r="O506" s="895"/>
      <c r="P506" s="162"/>
      <c r="Q506" s="161"/>
      <c r="R506" s="161"/>
      <c r="S506" s="697"/>
      <c r="T506" s="937"/>
      <c r="U506" s="895"/>
      <c r="V506" s="895"/>
      <c r="W506" s="895"/>
      <c r="X506" s="895"/>
      <c r="Y506" s="895"/>
      <c r="Z506" s="895"/>
    </row>
    <row r="507" spans="1:26">
      <c r="A507" s="895"/>
      <c r="B507" s="896"/>
      <c r="C507" s="161"/>
      <c r="D507" s="303"/>
      <c r="E507" s="162"/>
      <c r="F507" s="897"/>
      <c r="G507" s="694"/>
      <c r="H507" s="695"/>
      <c r="I507" s="696"/>
      <c r="J507" s="697"/>
      <c r="K507" s="697"/>
      <c r="L507" s="697"/>
      <c r="M507" s="697"/>
      <c r="N507" s="697"/>
      <c r="O507" s="895"/>
      <c r="P507" s="162"/>
      <c r="Q507" s="161"/>
      <c r="R507" s="161"/>
      <c r="S507" s="697"/>
      <c r="T507" s="937"/>
      <c r="U507" s="895"/>
      <c r="V507" s="895"/>
      <c r="W507" s="895"/>
      <c r="X507" s="895"/>
      <c r="Y507" s="895"/>
      <c r="Z507" s="895"/>
    </row>
    <row r="508" spans="1:26">
      <c r="A508" s="895"/>
      <c r="B508" s="896"/>
      <c r="C508" s="161"/>
      <c r="D508" s="303"/>
      <c r="E508" s="162"/>
      <c r="F508" s="897"/>
      <c r="G508" s="694"/>
      <c r="H508" s="695"/>
      <c r="I508" s="696"/>
      <c r="J508" s="697"/>
      <c r="K508" s="697"/>
      <c r="L508" s="697"/>
      <c r="M508" s="697"/>
      <c r="N508" s="697"/>
      <c r="O508" s="895"/>
      <c r="P508" s="162"/>
      <c r="Q508" s="161"/>
      <c r="R508" s="161"/>
      <c r="S508" s="697"/>
      <c r="T508" s="937"/>
      <c r="U508" s="895"/>
      <c r="V508" s="895"/>
      <c r="W508" s="895"/>
      <c r="X508" s="895"/>
      <c r="Y508" s="895"/>
      <c r="Z508" s="895"/>
    </row>
    <row r="509" spans="1:26">
      <c r="A509" s="895"/>
      <c r="B509" s="896"/>
      <c r="C509" s="161"/>
      <c r="D509" s="303"/>
      <c r="E509" s="162"/>
      <c r="F509" s="897"/>
      <c r="G509" s="694"/>
      <c r="H509" s="695"/>
      <c r="I509" s="696"/>
      <c r="J509" s="697"/>
      <c r="K509" s="697"/>
      <c r="L509" s="697"/>
      <c r="M509" s="697"/>
      <c r="N509" s="697"/>
      <c r="O509" s="895"/>
      <c r="P509" s="162"/>
      <c r="Q509" s="161"/>
      <c r="R509" s="161"/>
      <c r="S509" s="697"/>
      <c r="T509" s="937"/>
      <c r="U509" s="895"/>
      <c r="V509" s="895"/>
      <c r="W509" s="895"/>
      <c r="X509" s="895"/>
      <c r="Y509" s="895"/>
      <c r="Z509" s="895"/>
    </row>
    <row r="510" spans="1:26">
      <c r="A510" s="895"/>
      <c r="B510" s="896"/>
      <c r="C510" s="161"/>
      <c r="D510" s="303"/>
      <c r="E510" s="162"/>
      <c r="F510" s="897"/>
      <c r="G510" s="694"/>
      <c r="H510" s="695"/>
      <c r="I510" s="696"/>
      <c r="J510" s="697"/>
      <c r="K510" s="697"/>
      <c r="L510" s="697"/>
      <c r="M510" s="697"/>
      <c r="N510" s="697"/>
      <c r="O510" s="895"/>
      <c r="P510" s="162"/>
      <c r="Q510" s="161"/>
      <c r="R510" s="161"/>
      <c r="S510" s="697"/>
      <c r="T510" s="937"/>
      <c r="U510" s="895"/>
      <c r="V510" s="895"/>
      <c r="W510" s="895"/>
      <c r="X510" s="895"/>
      <c r="Y510" s="895"/>
      <c r="Z510" s="895"/>
    </row>
    <row r="511" spans="1:26">
      <c r="A511" s="895"/>
      <c r="B511" s="896"/>
      <c r="C511" s="161"/>
      <c r="D511" s="303"/>
      <c r="E511" s="162"/>
      <c r="F511" s="897"/>
      <c r="G511" s="694"/>
      <c r="H511" s="695"/>
      <c r="I511" s="696"/>
      <c r="J511" s="697"/>
      <c r="K511" s="697"/>
      <c r="L511" s="697"/>
      <c r="M511" s="697"/>
      <c r="N511" s="697"/>
      <c r="O511" s="895"/>
      <c r="P511" s="162"/>
      <c r="Q511" s="161"/>
      <c r="R511" s="161"/>
      <c r="S511" s="697"/>
      <c r="T511" s="937"/>
      <c r="U511" s="895"/>
      <c r="V511" s="895"/>
      <c r="W511" s="895"/>
      <c r="X511" s="895"/>
      <c r="Y511" s="895"/>
      <c r="Z511" s="895"/>
    </row>
    <row r="512" spans="1:26">
      <c r="A512" s="895"/>
      <c r="B512" s="896"/>
      <c r="C512" s="161"/>
      <c r="D512" s="303"/>
      <c r="E512" s="162"/>
      <c r="F512" s="897"/>
      <c r="G512" s="694"/>
      <c r="H512" s="695"/>
      <c r="I512" s="696"/>
      <c r="J512" s="697"/>
      <c r="K512" s="697"/>
      <c r="L512" s="697"/>
      <c r="M512" s="697"/>
      <c r="N512" s="697"/>
      <c r="O512" s="895"/>
      <c r="P512" s="162"/>
      <c r="Q512" s="161"/>
      <c r="R512" s="161"/>
      <c r="S512" s="697"/>
      <c r="T512" s="937"/>
      <c r="U512" s="895"/>
      <c r="V512" s="895"/>
      <c r="W512" s="895"/>
      <c r="X512" s="895"/>
      <c r="Y512" s="895"/>
      <c r="Z512" s="895"/>
    </row>
    <row r="513" spans="1:26">
      <c r="A513" s="895"/>
      <c r="B513" s="896"/>
      <c r="C513" s="161"/>
      <c r="D513" s="303"/>
      <c r="E513" s="162"/>
      <c r="F513" s="897"/>
      <c r="G513" s="694"/>
      <c r="H513" s="695"/>
      <c r="I513" s="696"/>
      <c r="J513" s="697"/>
      <c r="K513" s="697"/>
      <c r="L513" s="697"/>
      <c r="M513" s="697"/>
      <c r="N513" s="697"/>
      <c r="O513" s="895"/>
      <c r="P513" s="162"/>
      <c r="Q513" s="161"/>
      <c r="R513" s="161"/>
      <c r="S513" s="697"/>
      <c r="T513" s="937"/>
      <c r="U513" s="895"/>
      <c r="V513" s="895"/>
      <c r="W513" s="895"/>
      <c r="X513" s="895"/>
      <c r="Y513" s="895"/>
      <c r="Z513" s="895"/>
    </row>
    <row r="514" spans="1:26">
      <c r="A514" s="895"/>
      <c r="B514" s="896"/>
      <c r="C514" s="161"/>
      <c r="D514" s="303"/>
      <c r="E514" s="162"/>
      <c r="F514" s="897"/>
      <c r="G514" s="694"/>
      <c r="H514" s="695"/>
      <c r="I514" s="696"/>
      <c r="J514" s="697"/>
      <c r="K514" s="697"/>
      <c r="L514" s="697"/>
      <c r="M514" s="697"/>
      <c r="N514" s="697"/>
      <c r="O514" s="895"/>
      <c r="P514" s="162"/>
      <c r="Q514" s="161"/>
      <c r="R514" s="161"/>
      <c r="S514" s="697"/>
      <c r="T514" s="937"/>
      <c r="U514" s="895"/>
      <c r="V514" s="895"/>
      <c r="W514" s="895"/>
      <c r="X514" s="895"/>
      <c r="Y514" s="895"/>
      <c r="Z514" s="895"/>
    </row>
    <row r="515" spans="1:26">
      <c r="A515" s="895"/>
      <c r="B515" s="896"/>
      <c r="C515" s="161"/>
      <c r="D515" s="303"/>
      <c r="E515" s="162"/>
      <c r="F515" s="897"/>
      <c r="G515" s="694"/>
      <c r="H515" s="695"/>
      <c r="I515" s="696"/>
      <c r="J515" s="697"/>
      <c r="K515" s="697"/>
      <c r="L515" s="697"/>
      <c r="M515" s="697"/>
      <c r="N515" s="697"/>
      <c r="O515" s="895"/>
      <c r="P515" s="162"/>
      <c r="Q515" s="161"/>
      <c r="R515" s="161"/>
      <c r="S515" s="697"/>
      <c r="T515" s="937"/>
      <c r="U515" s="895"/>
      <c r="V515" s="895"/>
      <c r="W515" s="895"/>
      <c r="X515" s="895"/>
      <c r="Y515" s="895"/>
      <c r="Z515" s="895"/>
    </row>
    <row r="516" spans="1:26">
      <c r="A516" s="895"/>
      <c r="B516" s="896"/>
      <c r="C516" s="161"/>
      <c r="D516" s="303"/>
      <c r="E516" s="162"/>
      <c r="F516" s="897"/>
      <c r="G516" s="694"/>
      <c r="H516" s="695"/>
      <c r="I516" s="696"/>
      <c r="J516" s="697"/>
      <c r="K516" s="697"/>
      <c r="L516" s="697"/>
      <c r="M516" s="697"/>
      <c r="N516" s="697"/>
      <c r="O516" s="895"/>
      <c r="P516" s="162"/>
      <c r="Q516" s="161"/>
      <c r="R516" s="161"/>
      <c r="S516" s="697"/>
      <c r="T516" s="937"/>
      <c r="U516" s="895"/>
      <c r="V516" s="895"/>
      <c r="W516" s="895"/>
      <c r="X516" s="895"/>
      <c r="Y516" s="895"/>
      <c r="Z516" s="895"/>
    </row>
    <row r="517" spans="1:26">
      <c r="A517" s="895"/>
      <c r="B517" s="896"/>
      <c r="C517" s="161"/>
      <c r="D517" s="303"/>
      <c r="E517" s="162"/>
      <c r="F517" s="897"/>
      <c r="G517" s="694"/>
      <c r="H517" s="695"/>
      <c r="I517" s="696"/>
      <c r="J517" s="697"/>
      <c r="K517" s="697"/>
      <c r="L517" s="697"/>
      <c r="M517" s="697"/>
      <c r="N517" s="697"/>
      <c r="O517" s="895"/>
      <c r="P517" s="162"/>
      <c r="Q517" s="161"/>
      <c r="R517" s="161"/>
      <c r="S517" s="697"/>
      <c r="T517" s="937"/>
      <c r="U517" s="895"/>
      <c r="V517" s="895"/>
      <c r="W517" s="895"/>
      <c r="X517" s="895"/>
      <c r="Y517" s="895"/>
      <c r="Z517" s="895"/>
    </row>
    <row r="518" spans="1:26">
      <c r="A518" s="895"/>
      <c r="B518" s="896"/>
      <c r="C518" s="161"/>
      <c r="D518" s="303"/>
      <c r="E518" s="162"/>
      <c r="F518" s="897"/>
      <c r="G518" s="694"/>
      <c r="H518" s="695"/>
      <c r="I518" s="696"/>
      <c r="J518" s="697"/>
      <c r="K518" s="697"/>
      <c r="L518" s="697"/>
      <c r="M518" s="697"/>
      <c r="N518" s="697"/>
      <c r="O518" s="895"/>
      <c r="P518" s="162"/>
      <c r="Q518" s="161"/>
      <c r="R518" s="161"/>
      <c r="S518" s="697"/>
      <c r="T518" s="937"/>
      <c r="U518" s="895"/>
      <c r="V518" s="895"/>
      <c r="W518" s="895"/>
      <c r="X518" s="895"/>
      <c r="Y518" s="895"/>
      <c r="Z518" s="895"/>
    </row>
    <row r="519" spans="1:26">
      <c r="A519" s="895"/>
      <c r="B519" s="896"/>
      <c r="C519" s="161"/>
      <c r="D519" s="303"/>
      <c r="E519" s="162"/>
      <c r="F519" s="897"/>
      <c r="G519" s="694"/>
      <c r="H519" s="695"/>
      <c r="I519" s="696"/>
      <c r="J519" s="697"/>
      <c r="K519" s="697"/>
      <c r="L519" s="697"/>
      <c r="M519" s="697"/>
      <c r="N519" s="697"/>
      <c r="O519" s="895"/>
      <c r="P519" s="162"/>
      <c r="Q519" s="161"/>
      <c r="R519" s="161"/>
      <c r="S519" s="697"/>
      <c r="T519" s="937"/>
      <c r="U519" s="895"/>
      <c r="V519" s="895"/>
      <c r="W519" s="895"/>
      <c r="X519" s="895"/>
      <c r="Y519" s="895"/>
      <c r="Z519" s="895"/>
    </row>
    <row r="520" spans="1:26">
      <c r="A520" s="895"/>
      <c r="B520" s="896"/>
      <c r="C520" s="161"/>
      <c r="D520" s="303"/>
      <c r="E520" s="162"/>
      <c r="F520" s="897"/>
      <c r="G520" s="694"/>
      <c r="H520" s="695"/>
      <c r="I520" s="696"/>
      <c r="J520" s="697"/>
      <c r="K520" s="697"/>
      <c r="L520" s="697"/>
      <c r="M520" s="697"/>
      <c r="N520" s="697"/>
      <c r="O520" s="895"/>
      <c r="P520" s="162"/>
      <c r="Q520" s="161"/>
      <c r="R520" s="161"/>
      <c r="S520" s="697"/>
      <c r="T520" s="937"/>
      <c r="U520" s="895"/>
      <c r="V520" s="895"/>
      <c r="W520" s="895"/>
      <c r="X520" s="895"/>
      <c r="Y520" s="895"/>
      <c r="Z520" s="895"/>
    </row>
    <row r="521" spans="1:26">
      <c r="A521" s="895"/>
      <c r="B521" s="896"/>
      <c r="C521" s="161"/>
      <c r="D521" s="303"/>
      <c r="E521" s="162"/>
      <c r="F521" s="897"/>
      <c r="G521" s="694"/>
      <c r="H521" s="695"/>
      <c r="I521" s="696"/>
      <c r="J521" s="697"/>
      <c r="K521" s="697"/>
      <c r="L521" s="697"/>
      <c r="M521" s="697"/>
      <c r="N521" s="697"/>
      <c r="O521" s="895"/>
      <c r="P521" s="162"/>
      <c r="Q521" s="161"/>
      <c r="R521" s="161"/>
      <c r="S521" s="697"/>
      <c r="T521" s="937"/>
      <c r="U521" s="895"/>
      <c r="V521" s="895"/>
      <c r="W521" s="895"/>
      <c r="X521" s="895"/>
      <c r="Y521" s="895"/>
      <c r="Z521" s="895"/>
    </row>
    <row r="522" spans="1:26">
      <c r="A522" s="895"/>
      <c r="B522" s="896"/>
      <c r="C522" s="161"/>
      <c r="D522" s="303"/>
      <c r="E522" s="162"/>
      <c r="F522" s="897"/>
      <c r="G522" s="694"/>
      <c r="H522" s="695"/>
      <c r="I522" s="696"/>
      <c r="J522" s="697"/>
      <c r="K522" s="697"/>
      <c r="L522" s="697"/>
      <c r="M522" s="697"/>
      <c r="N522" s="697"/>
      <c r="O522" s="895"/>
      <c r="P522" s="162"/>
      <c r="Q522" s="161"/>
      <c r="R522" s="161"/>
      <c r="S522" s="697"/>
      <c r="T522" s="937"/>
      <c r="U522" s="895"/>
      <c r="V522" s="895"/>
      <c r="W522" s="895"/>
      <c r="X522" s="895"/>
      <c r="Y522" s="895"/>
      <c r="Z522" s="895"/>
    </row>
    <row r="523" spans="1:26">
      <c r="A523" s="895"/>
      <c r="B523" s="896"/>
      <c r="C523" s="161"/>
      <c r="D523" s="303"/>
      <c r="E523" s="162"/>
      <c r="F523" s="897"/>
      <c r="G523" s="694"/>
      <c r="H523" s="695"/>
      <c r="I523" s="696"/>
      <c r="J523" s="697"/>
      <c r="K523" s="697"/>
      <c r="L523" s="697"/>
      <c r="M523" s="697"/>
      <c r="N523" s="697"/>
      <c r="O523" s="895"/>
      <c r="P523" s="162"/>
      <c r="Q523" s="161"/>
      <c r="R523" s="161"/>
      <c r="S523" s="697"/>
      <c r="T523" s="937"/>
      <c r="U523" s="895"/>
      <c r="V523" s="895"/>
      <c r="W523" s="895"/>
      <c r="X523" s="895"/>
      <c r="Y523" s="895"/>
      <c r="Z523" s="895"/>
    </row>
    <row r="524" spans="1:26">
      <c r="A524" s="895"/>
      <c r="B524" s="896"/>
      <c r="C524" s="161"/>
      <c r="D524" s="303"/>
      <c r="E524" s="162"/>
      <c r="F524" s="897"/>
      <c r="G524" s="694"/>
      <c r="H524" s="695"/>
      <c r="I524" s="696"/>
      <c r="J524" s="697"/>
      <c r="K524" s="697"/>
      <c r="L524" s="697"/>
      <c r="M524" s="697"/>
      <c r="N524" s="697"/>
      <c r="O524" s="895"/>
      <c r="P524" s="162"/>
      <c r="Q524" s="161"/>
      <c r="R524" s="161"/>
      <c r="S524" s="697"/>
      <c r="T524" s="937"/>
      <c r="U524" s="895"/>
      <c r="V524" s="895"/>
      <c r="W524" s="895"/>
      <c r="X524" s="895"/>
      <c r="Y524" s="895"/>
      <c r="Z524" s="895"/>
    </row>
    <row r="525" spans="1:26">
      <c r="A525" s="895"/>
      <c r="B525" s="896"/>
      <c r="C525" s="161"/>
      <c r="D525" s="303"/>
      <c r="E525" s="162"/>
      <c r="F525" s="897"/>
      <c r="G525" s="694"/>
      <c r="H525" s="695"/>
      <c r="I525" s="696"/>
      <c r="J525" s="697"/>
      <c r="K525" s="697"/>
      <c r="L525" s="697"/>
      <c r="M525" s="697"/>
      <c r="N525" s="697"/>
      <c r="O525" s="895"/>
      <c r="P525" s="162"/>
      <c r="Q525" s="161"/>
      <c r="R525" s="161"/>
      <c r="S525" s="697"/>
      <c r="T525" s="937"/>
      <c r="U525" s="895"/>
      <c r="V525" s="895"/>
      <c r="W525" s="895"/>
      <c r="X525" s="895"/>
      <c r="Y525" s="895"/>
      <c r="Z525" s="895"/>
    </row>
    <row r="526" spans="1:26">
      <c r="A526" s="895"/>
      <c r="B526" s="896"/>
      <c r="C526" s="161"/>
      <c r="D526" s="303"/>
      <c r="E526" s="162"/>
      <c r="F526" s="897"/>
      <c r="G526" s="694"/>
      <c r="H526" s="695"/>
      <c r="I526" s="696"/>
      <c r="J526" s="697"/>
      <c r="K526" s="697"/>
      <c r="L526" s="697"/>
      <c r="M526" s="697"/>
      <c r="N526" s="697"/>
      <c r="O526" s="895"/>
      <c r="P526" s="162"/>
      <c r="Q526" s="161"/>
      <c r="R526" s="161"/>
      <c r="S526" s="697"/>
      <c r="T526" s="937"/>
      <c r="U526" s="895"/>
      <c r="V526" s="895"/>
      <c r="W526" s="895"/>
      <c r="X526" s="895"/>
      <c r="Y526" s="895"/>
      <c r="Z526" s="895"/>
    </row>
    <row r="527" spans="1:26">
      <c r="A527" s="895"/>
      <c r="B527" s="896"/>
      <c r="C527" s="161"/>
      <c r="D527" s="303"/>
      <c r="E527" s="162"/>
      <c r="F527" s="897"/>
      <c r="G527" s="694"/>
      <c r="H527" s="695"/>
      <c r="I527" s="696"/>
      <c r="J527" s="697"/>
      <c r="K527" s="697"/>
      <c r="L527" s="697"/>
      <c r="M527" s="697"/>
      <c r="N527" s="697"/>
      <c r="O527" s="895"/>
      <c r="P527" s="162"/>
      <c r="Q527" s="161"/>
      <c r="R527" s="161"/>
      <c r="S527" s="697"/>
      <c r="T527" s="937"/>
      <c r="U527" s="895"/>
      <c r="V527" s="895"/>
      <c r="W527" s="895"/>
      <c r="X527" s="895"/>
      <c r="Y527" s="895"/>
      <c r="Z527" s="895"/>
    </row>
    <row r="528" spans="1:26">
      <c r="A528" s="895"/>
      <c r="B528" s="896"/>
      <c r="C528" s="161"/>
      <c r="D528" s="303"/>
      <c r="E528" s="162"/>
      <c r="F528" s="897"/>
      <c r="G528" s="694"/>
      <c r="H528" s="695"/>
      <c r="I528" s="696"/>
      <c r="J528" s="697"/>
      <c r="K528" s="697"/>
      <c r="L528" s="697"/>
      <c r="M528" s="697"/>
      <c r="N528" s="697"/>
      <c r="O528" s="895"/>
      <c r="P528" s="162"/>
      <c r="Q528" s="161"/>
      <c r="R528" s="161"/>
      <c r="S528" s="697"/>
      <c r="T528" s="937"/>
      <c r="U528" s="895"/>
      <c r="V528" s="895"/>
      <c r="W528" s="895"/>
      <c r="X528" s="895"/>
      <c r="Y528" s="895"/>
      <c r="Z528" s="895"/>
    </row>
    <row r="529" spans="1:26">
      <c r="A529" s="895"/>
      <c r="B529" s="896"/>
      <c r="C529" s="161"/>
      <c r="D529" s="303"/>
      <c r="E529" s="162"/>
      <c r="F529" s="897"/>
      <c r="G529" s="694"/>
      <c r="H529" s="695"/>
      <c r="I529" s="696"/>
      <c r="J529" s="697"/>
      <c r="K529" s="697"/>
      <c r="L529" s="697"/>
      <c r="M529" s="697"/>
      <c r="N529" s="697"/>
      <c r="O529" s="895"/>
      <c r="P529" s="162"/>
      <c r="Q529" s="161"/>
      <c r="R529" s="161"/>
      <c r="S529" s="697"/>
      <c r="T529" s="937"/>
      <c r="U529" s="895"/>
      <c r="V529" s="895"/>
      <c r="W529" s="895"/>
      <c r="X529" s="895"/>
      <c r="Y529" s="895"/>
      <c r="Z529" s="895"/>
    </row>
    <row r="530" spans="1:26">
      <c r="A530" s="895"/>
      <c r="B530" s="896"/>
      <c r="C530" s="161"/>
      <c r="D530" s="303"/>
      <c r="E530" s="162"/>
      <c r="F530" s="897"/>
      <c r="G530" s="694"/>
      <c r="H530" s="695"/>
      <c r="I530" s="696"/>
      <c r="J530" s="697"/>
      <c r="K530" s="697"/>
      <c r="L530" s="697"/>
      <c r="M530" s="697"/>
      <c r="N530" s="697"/>
      <c r="O530" s="895"/>
      <c r="P530" s="162"/>
      <c r="Q530" s="161"/>
      <c r="R530" s="161"/>
      <c r="S530" s="697"/>
      <c r="T530" s="937"/>
      <c r="U530" s="895"/>
      <c r="V530" s="895"/>
      <c r="W530" s="895"/>
      <c r="X530" s="895"/>
      <c r="Y530" s="895"/>
      <c r="Z530" s="895"/>
    </row>
    <row r="531" spans="1:26">
      <c r="A531" s="895"/>
      <c r="B531" s="896"/>
      <c r="C531" s="161"/>
      <c r="D531" s="303"/>
      <c r="E531" s="162"/>
      <c r="F531" s="897"/>
      <c r="G531" s="694"/>
      <c r="H531" s="695"/>
      <c r="I531" s="696"/>
      <c r="J531" s="697"/>
      <c r="K531" s="697"/>
      <c r="L531" s="697"/>
      <c r="M531" s="697"/>
      <c r="N531" s="697"/>
      <c r="O531" s="895"/>
      <c r="P531" s="162"/>
      <c r="Q531" s="161"/>
      <c r="R531" s="161"/>
      <c r="S531" s="697"/>
      <c r="T531" s="937"/>
      <c r="U531" s="895"/>
      <c r="V531" s="895"/>
      <c r="W531" s="895"/>
      <c r="X531" s="895"/>
      <c r="Y531" s="895"/>
      <c r="Z531" s="895"/>
    </row>
    <row r="532" spans="1:26">
      <c r="A532" s="895"/>
      <c r="B532" s="896"/>
      <c r="C532" s="161"/>
      <c r="D532" s="303"/>
      <c r="E532" s="162"/>
      <c r="F532" s="897"/>
      <c r="G532" s="694"/>
      <c r="H532" s="695"/>
      <c r="I532" s="696"/>
      <c r="J532" s="697"/>
      <c r="K532" s="697"/>
      <c r="L532" s="697"/>
      <c r="M532" s="697"/>
      <c r="N532" s="697"/>
      <c r="O532" s="895"/>
      <c r="P532" s="162"/>
      <c r="Q532" s="161"/>
      <c r="R532" s="161"/>
      <c r="S532" s="697"/>
      <c r="T532" s="937"/>
      <c r="U532" s="895"/>
      <c r="V532" s="895"/>
      <c r="W532" s="895"/>
      <c r="X532" s="895"/>
      <c r="Y532" s="895"/>
      <c r="Z532" s="895"/>
    </row>
    <row r="533" spans="1:26">
      <c r="A533" s="895"/>
      <c r="B533" s="896"/>
      <c r="C533" s="161"/>
      <c r="D533" s="303"/>
      <c r="E533" s="162"/>
      <c r="F533" s="897"/>
      <c r="G533" s="694"/>
      <c r="H533" s="695"/>
      <c r="I533" s="696"/>
      <c r="J533" s="697"/>
      <c r="K533" s="697"/>
      <c r="L533" s="697"/>
      <c r="M533" s="697"/>
      <c r="N533" s="697"/>
      <c r="O533" s="895"/>
      <c r="P533" s="162"/>
      <c r="Q533" s="161"/>
      <c r="R533" s="161"/>
      <c r="S533" s="697"/>
      <c r="T533" s="937"/>
      <c r="U533" s="895"/>
      <c r="V533" s="895"/>
      <c r="W533" s="895"/>
      <c r="X533" s="895"/>
      <c r="Y533" s="895"/>
      <c r="Z533" s="895"/>
    </row>
    <row r="534" spans="1:26">
      <c r="A534" s="895"/>
      <c r="B534" s="896"/>
      <c r="C534" s="161"/>
      <c r="D534" s="303"/>
      <c r="E534" s="162"/>
      <c r="F534" s="897"/>
      <c r="G534" s="694"/>
      <c r="H534" s="695"/>
      <c r="I534" s="696"/>
      <c r="J534" s="697"/>
      <c r="K534" s="697"/>
      <c r="L534" s="697"/>
      <c r="M534" s="697"/>
      <c r="N534" s="697"/>
      <c r="O534" s="895"/>
      <c r="P534" s="162"/>
      <c r="Q534" s="161"/>
      <c r="R534" s="161"/>
      <c r="S534" s="697"/>
      <c r="T534" s="937"/>
      <c r="U534" s="895"/>
      <c r="V534" s="895"/>
      <c r="W534" s="895"/>
      <c r="X534" s="895"/>
      <c r="Y534" s="895"/>
      <c r="Z534" s="895"/>
    </row>
    <row r="535" spans="1:26">
      <c r="A535" s="895"/>
      <c r="B535" s="896"/>
      <c r="C535" s="161"/>
      <c r="D535" s="303"/>
      <c r="E535" s="162"/>
      <c r="F535" s="897"/>
      <c r="G535" s="694"/>
      <c r="H535" s="695"/>
      <c r="I535" s="696"/>
      <c r="J535" s="697"/>
      <c r="K535" s="697"/>
      <c r="L535" s="697"/>
      <c r="M535" s="697"/>
      <c r="N535" s="697"/>
      <c r="O535" s="895"/>
      <c r="P535" s="162"/>
      <c r="Q535" s="161"/>
      <c r="R535" s="161"/>
      <c r="S535" s="697"/>
      <c r="T535" s="937"/>
      <c r="U535" s="895"/>
      <c r="V535" s="895"/>
      <c r="W535" s="895"/>
      <c r="X535" s="895"/>
      <c r="Y535" s="895"/>
      <c r="Z535" s="895"/>
    </row>
    <row r="536" spans="1:26">
      <c r="A536" s="895"/>
      <c r="B536" s="896"/>
      <c r="C536" s="161"/>
      <c r="D536" s="303"/>
      <c r="E536" s="162"/>
      <c r="F536" s="897"/>
      <c r="G536" s="694"/>
      <c r="H536" s="695"/>
      <c r="I536" s="696"/>
      <c r="J536" s="697"/>
      <c r="K536" s="697"/>
      <c r="L536" s="697"/>
      <c r="M536" s="697"/>
      <c r="N536" s="697"/>
      <c r="O536" s="895"/>
      <c r="P536" s="162"/>
      <c r="Q536" s="161"/>
      <c r="R536" s="161"/>
      <c r="S536" s="697"/>
      <c r="T536" s="937"/>
      <c r="U536" s="895"/>
      <c r="V536" s="895"/>
      <c r="W536" s="895"/>
      <c r="X536" s="895"/>
      <c r="Y536" s="895"/>
      <c r="Z536" s="895"/>
    </row>
    <row r="537" spans="1:26">
      <c r="A537" s="895"/>
      <c r="B537" s="896"/>
      <c r="C537" s="161"/>
      <c r="D537" s="303"/>
      <c r="E537" s="162"/>
      <c r="F537" s="897"/>
      <c r="G537" s="694"/>
      <c r="H537" s="695"/>
      <c r="I537" s="696"/>
      <c r="J537" s="697"/>
      <c r="K537" s="697"/>
      <c r="L537" s="697"/>
      <c r="M537" s="697"/>
      <c r="N537" s="697"/>
      <c r="O537" s="895"/>
      <c r="P537" s="162"/>
      <c r="Q537" s="161"/>
      <c r="R537" s="161"/>
      <c r="S537" s="697"/>
      <c r="T537" s="937"/>
      <c r="U537" s="895"/>
      <c r="V537" s="895"/>
      <c r="W537" s="895"/>
      <c r="X537" s="895"/>
      <c r="Y537" s="895"/>
      <c r="Z537" s="895"/>
    </row>
    <row r="538" spans="1:26">
      <c r="A538" s="895"/>
      <c r="B538" s="896"/>
      <c r="C538" s="161"/>
      <c r="D538" s="303"/>
      <c r="E538" s="162"/>
      <c r="F538" s="897"/>
      <c r="G538" s="694"/>
      <c r="H538" s="695"/>
      <c r="I538" s="696"/>
      <c r="J538" s="697"/>
      <c r="K538" s="697"/>
      <c r="L538" s="697"/>
      <c r="M538" s="697"/>
      <c r="N538" s="697"/>
      <c r="O538" s="895"/>
      <c r="P538" s="162"/>
      <c r="Q538" s="161"/>
      <c r="R538" s="161"/>
      <c r="S538" s="697"/>
      <c r="T538" s="937"/>
      <c r="U538" s="895"/>
      <c r="V538" s="895"/>
      <c r="W538" s="895"/>
      <c r="X538" s="895"/>
      <c r="Y538" s="895"/>
      <c r="Z538" s="895"/>
    </row>
    <row r="539" spans="1:26">
      <c r="A539" s="895"/>
      <c r="B539" s="896"/>
      <c r="C539" s="161"/>
      <c r="D539" s="303"/>
      <c r="E539" s="162"/>
      <c r="F539" s="897"/>
      <c r="G539" s="694"/>
      <c r="H539" s="695"/>
      <c r="I539" s="696"/>
      <c r="J539" s="697"/>
      <c r="K539" s="697"/>
      <c r="L539" s="697"/>
      <c r="M539" s="697"/>
      <c r="N539" s="697"/>
      <c r="O539" s="895"/>
      <c r="P539" s="162"/>
      <c r="Q539" s="161"/>
      <c r="R539" s="161"/>
      <c r="S539" s="697"/>
      <c r="T539" s="937"/>
      <c r="U539" s="895"/>
      <c r="V539" s="895"/>
      <c r="W539" s="895"/>
      <c r="X539" s="895"/>
      <c r="Y539" s="895"/>
      <c r="Z539" s="895"/>
    </row>
    <row r="540" spans="1:26">
      <c r="A540" s="895"/>
      <c r="B540" s="896"/>
      <c r="C540" s="161"/>
      <c r="D540" s="303"/>
      <c r="E540" s="162"/>
      <c r="F540" s="897"/>
      <c r="G540" s="694"/>
      <c r="H540" s="695"/>
      <c r="I540" s="696"/>
      <c r="J540" s="697"/>
      <c r="K540" s="697"/>
      <c r="L540" s="697"/>
      <c r="M540" s="697"/>
      <c r="N540" s="697"/>
      <c r="O540" s="895"/>
      <c r="P540" s="162"/>
      <c r="Q540" s="161"/>
      <c r="R540" s="161"/>
      <c r="S540" s="697"/>
      <c r="T540" s="937"/>
      <c r="U540" s="895"/>
      <c r="V540" s="895"/>
      <c r="W540" s="895"/>
      <c r="X540" s="895"/>
      <c r="Y540" s="895"/>
      <c r="Z540" s="895"/>
    </row>
    <row r="541" spans="1:26">
      <c r="A541" s="895"/>
      <c r="B541" s="896"/>
      <c r="C541" s="161"/>
      <c r="D541" s="303"/>
      <c r="E541" s="162"/>
      <c r="F541" s="897"/>
      <c r="G541" s="694"/>
      <c r="H541" s="695"/>
      <c r="I541" s="696"/>
      <c r="J541" s="697"/>
      <c r="K541" s="697"/>
      <c r="L541" s="697"/>
      <c r="M541" s="697"/>
      <c r="N541" s="697"/>
      <c r="O541" s="895"/>
      <c r="P541" s="162"/>
      <c r="Q541" s="161"/>
      <c r="R541" s="161"/>
      <c r="S541" s="697"/>
      <c r="T541" s="937"/>
      <c r="U541" s="895"/>
      <c r="V541" s="895"/>
      <c r="W541" s="895"/>
      <c r="X541" s="895"/>
      <c r="Y541" s="895"/>
      <c r="Z541" s="895"/>
    </row>
    <row r="542" spans="1:26">
      <c r="A542" s="895"/>
      <c r="B542" s="896"/>
      <c r="C542" s="161"/>
      <c r="D542" s="303"/>
      <c r="E542" s="162"/>
      <c r="F542" s="897"/>
      <c r="G542" s="694"/>
      <c r="H542" s="695"/>
      <c r="I542" s="696"/>
      <c r="J542" s="697"/>
      <c r="K542" s="697"/>
      <c r="L542" s="697"/>
      <c r="M542" s="697"/>
      <c r="N542" s="697"/>
      <c r="O542" s="895"/>
      <c r="P542" s="162"/>
      <c r="Q542" s="161"/>
      <c r="R542" s="161"/>
      <c r="S542" s="697"/>
      <c r="T542" s="937"/>
      <c r="U542" s="895"/>
      <c r="V542" s="895"/>
      <c r="W542" s="895"/>
      <c r="X542" s="895"/>
      <c r="Y542" s="895"/>
      <c r="Z542" s="895"/>
    </row>
    <row r="543" spans="1:26">
      <c r="A543" s="895"/>
      <c r="B543" s="896"/>
      <c r="C543" s="161"/>
      <c r="D543" s="303"/>
      <c r="E543" s="162"/>
      <c r="F543" s="897"/>
      <c r="G543" s="694"/>
      <c r="H543" s="695"/>
      <c r="I543" s="696"/>
      <c r="J543" s="697"/>
      <c r="K543" s="697"/>
      <c r="L543" s="697"/>
      <c r="M543" s="697"/>
      <c r="N543" s="697"/>
      <c r="O543" s="895"/>
      <c r="P543" s="162"/>
      <c r="Q543" s="161"/>
      <c r="R543" s="161"/>
      <c r="S543" s="697"/>
      <c r="T543" s="937"/>
      <c r="U543" s="895"/>
      <c r="V543" s="895"/>
      <c r="W543" s="895"/>
      <c r="X543" s="895"/>
      <c r="Y543" s="895"/>
      <c r="Z543" s="895"/>
    </row>
    <row r="544" spans="1:26">
      <c r="A544" s="895"/>
      <c r="B544" s="896"/>
      <c r="C544" s="161"/>
      <c r="D544" s="303"/>
      <c r="E544" s="162"/>
      <c r="F544" s="897"/>
      <c r="G544" s="694"/>
      <c r="H544" s="695"/>
      <c r="I544" s="696"/>
      <c r="J544" s="697"/>
      <c r="K544" s="697"/>
      <c r="L544" s="697"/>
      <c r="M544" s="697"/>
      <c r="N544" s="697"/>
      <c r="O544" s="895"/>
      <c r="P544" s="162"/>
      <c r="Q544" s="161"/>
      <c r="R544" s="161"/>
      <c r="S544" s="697"/>
      <c r="T544" s="937"/>
      <c r="U544" s="895"/>
      <c r="V544" s="895"/>
      <c r="W544" s="895"/>
      <c r="X544" s="895"/>
      <c r="Y544" s="895"/>
      <c r="Z544" s="895"/>
    </row>
    <row r="545" spans="1:26">
      <c r="A545" s="895"/>
      <c r="B545" s="896"/>
      <c r="C545" s="161"/>
      <c r="D545" s="303"/>
      <c r="E545" s="162"/>
      <c r="F545" s="897"/>
      <c r="G545" s="694"/>
      <c r="H545" s="695"/>
      <c r="I545" s="696"/>
      <c r="J545" s="697"/>
      <c r="K545" s="697"/>
      <c r="L545" s="697"/>
      <c r="M545" s="697"/>
      <c r="N545" s="697"/>
      <c r="O545" s="895"/>
      <c r="P545" s="162"/>
      <c r="Q545" s="161"/>
      <c r="R545" s="161"/>
      <c r="S545" s="697"/>
      <c r="T545" s="937"/>
      <c r="U545" s="895"/>
      <c r="V545" s="895"/>
      <c r="W545" s="895"/>
      <c r="X545" s="895"/>
      <c r="Y545" s="895"/>
      <c r="Z545" s="895"/>
    </row>
    <row r="546" spans="1:26">
      <c r="A546" s="895"/>
      <c r="B546" s="896"/>
      <c r="C546" s="161"/>
      <c r="D546" s="303"/>
      <c r="E546" s="162"/>
      <c r="F546" s="897"/>
      <c r="G546" s="694"/>
      <c r="H546" s="695"/>
      <c r="I546" s="696"/>
      <c r="J546" s="697"/>
      <c r="K546" s="697"/>
      <c r="L546" s="697"/>
      <c r="M546" s="697"/>
      <c r="N546" s="697"/>
      <c r="O546" s="895"/>
      <c r="P546" s="162"/>
      <c r="Q546" s="161"/>
      <c r="R546" s="161"/>
      <c r="S546" s="697"/>
      <c r="T546" s="937"/>
      <c r="U546" s="895"/>
      <c r="V546" s="895"/>
      <c r="W546" s="895"/>
      <c r="X546" s="895"/>
      <c r="Y546" s="895"/>
      <c r="Z546" s="895"/>
    </row>
    <row r="547" spans="1:26">
      <c r="A547" s="895"/>
      <c r="B547" s="896"/>
      <c r="C547" s="161"/>
      <c r="D547" s="303"/>
      <c r="E547" s="162"/>
      <c r="F547" s="897"/>
      <c r="G547" s="694"/>
      <c r="H547" s="695"/>
      <c r="I547" s="696"/>
      <c r="J547" s="697"/>
      <c r="K547" s="697"/>
      <c r="L547" s="697"/>
      <c r="M547" s="697"/>
      <c r="N547" s="697"/>
      <c r="O547" s="895"/>
      <c r="P547" s="162"/>
      <c r="Q547" s="161"/>
      <c r="R547" s="161"/>
      <c r="S547" s="697"/>
      <c r="T547" s="937"/>
      <c r="U547" s="895"/>
      <c r="V547" s="895"/>
      <c r="W547" s="895"/>
      <c r="X547" s="895"/>
      <c r="Y547" s="895"/>
      <c r="Z547" s="895"/>
    </row>
    <row r="548" spans="1:26">
      <c r="A548" s="895"/>
      <c r="B548" s="896"/>
      <c r="C548" s="161"/>
      <c r="D548" s="303"/>
      <c r="E548" s="162"/>
      <c r="F548" s="897"/>
      <c r="G548" s="694"/>
      <c r="H548" s="695"/>
      <c r="I548" s="696"/>
      <c r="J548" s="697"/>
      <c r="K548" s="697"/>
      <c r="L548" s="697"/>
      <c r="M548" s="697"/>
      <c r="N548" s="697"/>
      <c r="O548" s="895"/>
      <c r="P548" s="162"/>
      <c r="Q548" s="161"/>
      <c r="R548" s="161"/>
      <c r="S548" s="697"/>
      <c r="T548" s="937"/>
      <c r="U548" s="895"/>
      <c r="V548" s="895"/>
      <c r="W548" s="895"/>
      <c r="X548" s="895"/>
      <c r="Y548" s="895"/>
      <c r="Z548" s="895"/>
    </row>
    <row r="549" spans="1:26">
      <c r="A549" s="895"/>
      <c r="B549" s="896"/>
      <c r="C549" s="161"/>
      <c r="D549" s="303"/>
      <c r="E549" s="162"/>
      <c r="F549" s="897"/>
      <c r="G549" s="694"/>
      <c r="H549" s="695"/>
      <c r="I549" s="696"/>
      <c r="J549" s="697"/>
      <c r="K549" s="697"/>
      <c r="L549" s="697"/>
      <c r="M549" s="697"/>
      <c r="N549" s="697"/>
      <c r="O549" s="895"/>
      <c r="P549" s="162"/>
      <c r="Q549" s="161"/>
      <c r="R549" s="161"/>
      <c r="S549" s="697"/>
      <c r="T549" s="937"/>
      <c r="U549" s="895"/>
      <c r="V549" s="895"/>
      <c r="W549" s="895"/>
      <c r="X549" s="895"/>
      <c r="Y549" s="895"/>
      <c r="Z549" s="895"/>
    </row>
    <row r="550" spans="1:26">
      <c r="A550" s="895"/>
      <c r="B550" s="896"/>
      <c r="C550" s="161"/>
      <c r="D550" s="303"/>
      <c r="E550" s="162"/>
      <c r="F550" s="897"/>
      <c r="G550" s="694"/>
      <c r="H550" s="695"/>
      <c r="I550" s="696"/>
      <c r="J550" s="697"/>
      <c r="K550" s="697"/>
      <c r="L550" s="697"/>
      <c r="M550" s="697"/>
      <c r="N550" s="697"/>
      <c r="O550" s="895"/>
      <c r="P550" s="162"/>
      <c r="Q550" s="161"/>
      <c r="R550" s="161"/>
      <c r="S550" s="697"/>
      <c r="T550" s="937"/>
      <c r="U550" s="895"/>
      <c r="V550" s="895"/>
      <c r="W550" s="895"/>
      <c r="X550" s="895"/>
      <c r="Y550" s="895"/>
      <c r="Z550" s="895"/>
    </row>
    <row r="551" spans="1:26">
      <c r="A551" s="895"/>
      <c r="B551" s="896"/>
      <c r="C551" s="161"/>
      <c r="D551" s="303"/>
      <c r="E551" s="162"/>
      <c r="F551" s="897"/>
      <c r="G551" s="694"/>
      <c r="H551" s="695"/>
      <c r="I551" s="696"/>
      <c r="J551" s="697"/>
      <c r="K551" s="697"/>
      <c r="L551" s="697"/>
      <c r="M551" s="697"/>
      <c r="N551" s="697"/>
      <c r="O551" s="895"/>
      <c r="P551" s="162"/>
      <c r="Q551" s="161"/>
      <c r="R551" s="161"/>
      <c r="S551" s="697"/>
      <c r="T551" s="937"/>
      <c r="U551" s="895"/>
      <c r="V551" s="895"/>
      <c r="W551" s="895"/>
      <c r="X551" s="895"/>
      <c r="Y551" s="895"/>
      <c r="Z551" s="895"/>
    </row>
    <row r="552" spans="1:26">
      <c r="A552" s="895"/>
      <c r="B552" s="896"/>
      <c r="C552" s="161"/>
      <c r="D552" s="303"/>
      <c r="E552" s="162"/>
      <c r="F552" s="897"/>
      <c r="G552" s="694"/>
      <c r="H552" s="695"/>
      <c r="I552" s="696"/>
      <c r="J552" s="697"/>
      <c r="K552" s="697"/>
      <c r="L552" s="697"/>
      <c r="M552" s="697"/>
      <c r="N552" s="697"/>
      <c r="O552" s="895"/>
      <c r="P552" s="162"/>
      <c r="Q552" s="161"/>
      <c r="R552" s="161"/>
      <c r="S552" s="697"/>
      <c r="T552" s="937"/>
      <c r="U552" s="895"/>
      <c r="V552" s="895"/>
      <c r="W552" s="895"/>
      <c r="X552" s="895"/>
      <c r="Y552" s="895"/>
      <c r="Z552" s="895"/>
    </row>
    <row r="553" spans="1:26">
      <c r="A553" s="895"/>
      <c r="B553" s="896"/>
      <c r="C553" s="161"/>
      <c r="D553" s="303"/>
      <c r="E553" s="162"/>
      <c r="F553" s="897"/>
      <c r="G553" s="694"/>
      <c r="H553" s="695"/>
      <c r="I553" s="696"/>
      <c r="J553" s="697"/>
      <c r="K553" s="697"/>
      <c r="L553" s="697"/>
      <c r="M553" s="697"/>
      <c r="N553" s="697"/>
      <c r="O553" s="895"/>
      <c r="P553" s="162"/>
      <c r="Q553" s="161"/>
      <c r="R553" s="161"/>
      <c r="S553" s="697"/>
      <c r="T553" s="937"/>
      <c r="U553" s="895"/>
      <c r="V553" s="895"/>
      <c r="W553" s="895"/>
      <c r="X553" s="895"/>
      <c r="Y553" s="895"/>
      <c r="Z553" s="895"/>
    </row>
    <row r="554" spans="1:26">
      <c r="A554" s="895"/>
      <c r="B554" s="896"/>
      <c r="C554" s="161"/>
      <c r="D554" s="303"/>
      <c r="E554" s="162"/>
      <c r="F554" s="897"/>
      <c r="G554" s="694"/>
      <c r="H554" s="695"/>
      <c r="I554" s="696"/>
      <c r="J554" s="697"/>
      <c r="K554" s="697"/>
      <c r="L554" s="697"/>
      <c r="M554" s="697"/>
      <c r="N554" s="697"/>
      <c r="O554" s="895"/>
      <c r="P554" s="162"/>
      <c r="Q554" s="161"/>
      <c r="R554" s="161"/>
      <c r="S554" s="697"/>
      <c r="T554" s="937"/>
      <c r="U554" s="895"/>
      <c r="V554" s="895"/>
      <c r="W554" s="895"/>
      <c r="X554" s="895"/>
      <c r="Y554" s="895"/>
      <c r="Z554" s="895"/>
    </row>
    <row r="555" spans="1:26">
      <c r="A555" s="895"/>
      <c r="B555" s="896"/>
      <c r="C555" s="161"/>
      <c r="D555" s="303"/>
      <c r="E555" s="162"/>
      <c r="F555" s="897"/>
      <c r="G555" s="694"/>
      <c r="H555" s="695"/>
      <c r="I555" s="696"/>
      <c r="J555" s="697"/>
      <c r="K555" s="697"/>
      <c r="L555" s="697"/>
      <c r="M555" s="697"/>
      <c r="N555" s="697"/>
      <c r="O555" s="895"/>
      <c r="P555" s="162"/>
      <c r="Q555" s="161"/>
      <c r="R555" s="161"/>
      <c r="S555" s="697"/>
      <c r="T555" s="937"/>
      <c r="U555" s="895"/>
      <c r="V555" s="895"/>
      <c r="W555" s="895"/>
      <c r="X555" s="895"/>
      <c r="Y555" s="895"/>
      <c r="Z555" s="895"/>
    </row>
    <row r="556" spans="1:26">
      <c r="A556" s="895"/>
      <c r="B556" s="896"/>
      <c r="C556" s="161"/>
      <c r="D556" s="303"/>
      <c r="E556" s="162"/>
      <c r="F556" s="897"/>
      <c r="G556" s="694"/>
      <c r="H556" s="695"/>
      <c r="I556" s="696"/>
      <c r="J556" s="697"/>
      <c r="K556" s="697"/>
      <c r="L556" s="697"/>
      <c r="M556" s="697"/>
      <c r="N556" s="697"/>
      <c r="O556" s="895"/>
      <c r="P556" s="162"/>
      <c r="Q556" s="161"/>
      <c r="R556" s="161"/>
      <c r="S556" s="697"/>
      <c r="T556" s="937"/>
      <c r="U556" s="895"/>
      <c r="V556" s="895"/>
      <c r="W556" s="895"/>
      <c r="X556" s="895"/>
      <c r="Y556" s="895"/>
      <c r="Z556" s="895"/>
    </row>
    <row r="557" spans="1:26">
      <c r="A557" s="895"/>
      <c r="B557" s="896"/>
      <c r="C557" s="161"/>
      <c r="D557" s="303"/>
      <c r="E557" s="162"/>
      <c r="F557" s="897"/>
      <c r="G557" s="694"/>
      <c r="H557" s="695"/>
      <c r="I557" s="696"/>
      <c r="J557" s="697"/>
      <c r="K557" s="697"/>
      <c r="L557" s="697"/>
      <c r="M557" s="697"/>
      <c r="N557" s="697"/>
      <c r="O557" s="895"/>
      <c r="P557" s="162"/>
      <c r="Q557" s="161"/>
      <c r="R557" s="161"/>
      <c r="S557" s="697"/>
      <c r="T557" s="937"/>
      <c r="U557" s="895"/>
      <c r="V557" s="895"/>
      <c r="W557" s="895"/>
      <c r="X557" s="895"/>
      <c r="Y557" s="895"/>
      <c r="Z557" s="895"/>
    </row>
    <row r="558" spans="1:26">
      <c r="A558" s="895"/>
      <c r="B558" s="896"/>
      <c r="C558" s="161"/>
      <c r="D558" s="303"/>
      <c r="E558" s="162"/>
      <c r="F558" s="897"/>
      <c r="G558" s="694"/>
      <c r="H558" s="695"/>
      <c r="I558" s="696"/>
      <c r="J558" s="697"/>
      <c r="K558" s="697"/>
      <c r="L558" s="697"/>
      <c r="M558" s="697"/>
      <c r="N558" s="697"/>
      <c r="O558" s="895"/>
      <c r="P558" s="162"/>
      <c r="Q558" s="161"/>
      <c r="R558" s="161"/>
      <c r="S558" s="697"/>
      <c r="T558" s="937"/>
      <c r="U558" s="895"/>
      <c r="V558" s="895"/>
      <c r="W558" s="895"/>
      <c r="X558" s="895"/>
      <c r="Y558" s="895"/>
      <c r="Z558" s="895"/>
    </row>
    <row r="559" spans="1:26">
      <c r="A559" s="895"/>
      <c r="B559" s="896"/>
      <c r="C559" s="161"/>
      <c r="D559" s="303"/>
      <c r="E559" s="162"/>
      <c r="F559" s="897"/>
      <c r="G559" s="694"/>
      <c r="H559" s="695"/>
      <c r="I559" s="696"/>
      <c r="J559" s="697"/>
      <c r="K559" s="697"/>
      <c r="L559" s="697"/>
      <c r="M559" s="697"/>
      <c r="N559" s="697"/>
      <c r="O559" s="895"/>
      <c r="P559" s="162"/>
      <c r="Q559" s="161"/>
      <c r="R559" s="161"/>
      <c r="S559" s="697"/>
      <c r="T559" s="937"/>
      <c r="U559" s="895"/>
      <c r="V559" s="895"/>
      <c r="W559" s="895"/>
      <c r="X559" s="895"/>
      <c r="Y559" s="895"/>
      <c r="Z559" s="895"/>
    </row>
    <row r="560" spans="1:26">
      <c r="A560" s="895"/>
      <c r="B560" s="896"/>
      <c r="C560" s="161"/>
      <c r="D560" s="303"/>
      <c r="E560" s="162"/>
      <c r="F560" s="897"/>
      <c r="G560" s="694"/>
      <c r="H560" s="695"/>
      <c r="I560" s="696"/>
      <c r="J560" s="697"/>
      <c r="K560" s="697"/>
      <c r="L560" s="697"/>
      <c r="M560" s="697"/>
      <c r="N560" s="697"/>
      <c r="O560" s="895"/>
      <c r="P560" s="162"/>
      <c r="Q560" s="161"/>
      <c r="R560" s="161"/>
      <c r="S560" s="697"/>
      <c r="T560" s="937"/>
      <c r="U560" s="895"/>
      <c r="V560" s="895"/>
      <c r="W560" s="895"/>
      <c r="X560" s="895"/>
      <c r="Y560" s="895"/>
      <c r="Z560" s="895"/>
    </row>
    <row r="561" spans="1:26">
      <c r="A561" s="895"/>
      <c r="B561" s="896"/>
      <c r="C561" s="161"/>
      <c r="D561" s="303"/>
      <c r="E561" s="162"/>
      <c r="F561" s="897"/>
      <c r="G561" s="694"/>
      <c r="H561" s="695"/>
      <c r="I561" s="696"/>
      <c r="J561" s="697"/>
      <c r="K561" s="697"/>
      <c r="L561" s="697"/>
      <c r="M561" s="697"/>
      <c r="N561" s="697"/>
      <c r="O561" s="895"/>
      <c r="P561" s="162"/>
      <c r="Q561" s="161"/>
      <c r="R561" s="161"/>
      <c r="S561" s="697"/>
      <c r="T561" s="937"/>
      <c r="U561" s="895"/>
      <c r="V561" s="895"/>
      <c r="W561" s="895"/>
      <c r="X561" s="895"/>
      <c r="Y561" s="895"/>
      <c r="Z561" s="895"/>
    </row>
    <row r="562" spans="1:26">
      <c r="A562" s="895"/>
      <c r="B562" s="896"/>
      <c r="C562" s="161"/>
      <c r="D562" s="303"/>
      <c r="E562" s="162"/>
      <c r="F562" s="897"/>
      <c r="G562" s="694"/>
      <c r="H562" s="695"/>
      <c r="I562" s="696"/>
      <c r="J562" s="697"/>
      <c r="K562" s="697"/>
      <c r="L562" s="697"/>
      <c r="M562" s="697"/>
      <c r="N562" s="697"/>
      <c r="O562" s="895"/>
      <c r="P562" s="162"/>
      <c r="Q562" s="161"/>
      <c r="R562" s="161"/>
      <c r="S562" s="697"/>
      <c r="T562" s="937"/>
      <c r="U562" s="895"/>
      <c r="V562" s="895"/>
      <c r="W562" s="895"/>
      <c r="X562" s="895"/>
      <c r="Y562" s="895"/>
      <c r="Z562" s="895"/>
    </row>
    <row r="563" spans="1:26">
      <c r="A563" s="895"/>
      <c r="B563" s="896"/>
      <c r="C563" s="161"/>
      <c r="D563" s="303"/>
      <c r="E563" s="162"/>
      <c r="F563" s="897"/>
      <c r="G563" s="694"/>
      <c r="H563" s="695"/>
      <c r="I563" s="696"/>
      <c r="J563" s="697"/>
      <c r="K563" s="697"/>
      <c r="L563" s="697"/>
      <c r="M563" s="697"/>
      <c r="N563" s="697"/>
      <c r="O563" s="895"/>
      <c r="P563" s="162"/>
      <c r="Q563" s="161"/>
      <c r="R563" s="161"/>
      <c r="S563" s="697"/>
      <c r="T563" s="937"/>
      <c r="U563" s="895"/>
      <c r="V563" s="895"/>
      <c r="W563" s="895"/>
      <c r="X563" s="895"/>
      <c r="Y563" s="895"/>
      <c r="Z563" s="895"/>
    </row>
    <row r="564" spans="1:26">
      <c r="A564" s="895"/>
      <c r="B564" s="896"/>
      <c r="C564" s="161"/>
      <c r="D564" s="303"/>
      <c r="E564" s="162"/>
      <c r="F564" s="897"/>
      <c r="G564" s="694"/>
      <c r="H564" s="695"/>
      <c r="I564" s="696"/>
      <c r="J564" s="697"/>
      <c r="K564" s="697"/>
      <c r="L564" s="697"/>
      <c r="M564" s="697"/>
      <c r="N564" s="697"/>
      <c r="O564" s="895"/>
      <c r="P564" s="162"/>
      <c r="Q564" s="161"/>
      <c r="R564" s="161"/>
      <c r="S564" s="697"/>
      <c r="T564" s="937"/>
      <c r="U564" s="895"/>
      <c r="V564" s="895"/>
      <c r="W564" s="895"/>
      <c r="X564" s="895"/>
      <c r="Y564" s="895"/>
      <c r="Z564" s="895"/>
    </row>
    <row r="565" spans="1:26">
      <c r="A565" s="895"/>
      <c r="B565" s="896"/>
      <c r="C565" s="161"/>
      <c r="D565" s="303"/>
      <c r="E565" s="162"/>
      <c r="F565" s="897"/>
      <c r="G565" s="694"/>
      <c r="H565" s="695"/>
      <c r="I565" s="696"/>
      <c r="J565" s="697"/>
      <c r="K565" s="697"/>
      <c r="L565" s="697"/>
      <c r="M565" s="697"/>
      <c r="N565" s="697"/>
      <c r="O565" s="895"/>
      <c r="P565" s="162"/>
      <c r="Q565" s="161"/>
      <c r="R565" s="161"/>
      <c r="S565" s="697"/>
      <c r="T565" s="937"/>
      <c r="U565" s="895"/>
      <c r="V565" s="895"/>
      <c r="W565" s="895"/>
      <c r="X565" s="895"/>
      <c r="Y565" s="895"/>
      <c r="Z565" s="895"/>
    </row>
    <row r="566" spans="1:26">
      <c r="A566" s="895"/>
      <c r="B566" s="896"/>
      <c r="C566" s="161"/>
      <c r="D566" s="303"/>
      <c r="E566" s="162"/>
      <c r="F566" s="897"/>
      <c r="G566" s="694"/>
      <c r="H566" s="695"/>
      <c r="I566" s="696"/>
      <c r="J566" s="697"/>
      <c r="K566" s="697"/>
      <c r="L566" s="697"/>
      <c r="M566" s="697"/>
      <c r="N566" s="697"/>
      <c r="O566" s="895"/>
      <c r="P566" s="162"/>
      <c r="Q566" s="161"/>
      <c r="R566" s="161"/>
      <c r="S566" s="697"/>
      <c r="T566" s="937"/>
      <c r="U566" s="895"/>
      <c r="V566" s="895"/>
      <c r="W566" s="895"/>
      <c r="X566" s="895"/>
      <c r="Y566" s="895"/>
      <c r="Z566" s="895"/>
    </row>
    <row r="567" spans="1:26">
      <c r="A567" s="895"/>
      <c r="B567" s="896"/>
      <c r="C567" s="161"/>
      <c r="D567" s="303"/>
      <c r="E567" s="162"/>
      <c r="F567" s="897"/>
      <c r="G567" s="694"/>
      <c r="H567" s="695"/>
      <c r="I567" s="696"/>
      <c r="J567" s="697"/>
      <c r="K567" s="697"/>
      <c r="L567" s="697"/>
      <c r="M567" s="697"/>
      <c r="N567" s="697"/>
      <c r="O567" s="895"/>
      <c r="P567" s="162"/>
      <c r="Q567" s="161"/>
      <c r="R567" s="161"/>
      <c r="S567" s="697"/>
      <c r="T567" s="937"/>
      <c r="U567" s="895"/>
      <c r="V567" s="895"/>
      <c r="W567" s="895"/>
      <c r="X567" s="895"/>
      <c r="Y567" s="895"/>
      <c r="Z567" s="895"/>
    </row>
    <row r="568" spans="1:26">
      <c r="A568" s="895"/>
      <c r="B568" s="896"/>
      <c r="C568" s="161"/>
      <c r="D568" s="303"/>
      <c r="E568" s="162"/>
      <c r="F568" s="897"/>
      <c r="G568" s="694"/>
      <c r="H568" s="695"/>
      <c r="I568" s="696"/>
      <c r="J568" s="697"/>
      <c r="K568" s="697"/>
      <c r="L568" s="697"/>
      <c r="M568" s="697"/>
      <c r="N568" s="697"/>
      <c r="O568" s="895"/>
      <c r="P568" s="162"/>
      <c r="Q568" s="161"/>
      <c r="R568" s="161"/>
      <c r="S568" s="697"/>
      <c r="T568" s="937"/>
      <c r="U568" s="895"/>
      <c r="V568" s="895"/>
      <c r="W568" s="895"/>
      <c r="X568" s="895"/>
      <c r="Y568" s="895"/>
      <c r="Z568" s="895"/>
    </row>
    <row r="569" spans="1:26">
      <c r="A569" s="895"/>
      <c r="B569" s="896"/>
      <c r="C569" s="161"/>
      <c r="D569" s="303"/>
      <c r="E569" s="162"/>
      <c r="F569" s="897"/>
      <c r="G569" s="694"/>
      <c r="H569" s="695"/>
      <c r="I569" s="696"/>
      <c r="J569" s="697"/>
      <c r="K569" s="697"/>
      <c r="L569" s="697"/>
      <c r="M569" s="697"/>
      <c r="N569" s="697"/>
      <c r="O569" s="895"/>
      <c r="P569" s="162"/>
      <c r="Q569" s="161"/>
      <c r="R569" s="161"/>
      <c r="S569" s="697"/>
      <c r="T569" s="937"/>
      <c r="U569" s="895"/>
      <c r="V569" s="895"/>
      <c r="W569" s="895"/>
      <c r="X569" s="895"/>
      <c r="Y569" s="895"/>
      <c r="Z569" s="895"/>
    </row>
    <row r="570" spans="1:26">
      <c r="A570" s="895"/>
      <c r="B570" s="896"/>
      <c r="C570" s="161"/>
      <c r="D570" s="303"/>
      <c r="E570" s="162"/>
      <c r="F570" s="897"/>
      <c r="G570" s="694"/>
      <c r="H570" s="695"/>
      <c r="I570" s="696"/>
      <c r="J570" s="697"/>
      <c r="K570" s="697"/>
      <c r="L570" s="697"/>
      <c r="M570" s="697"/>
      <c r="N570" s="697"/>
      <c r="O570" s="895"/>
      <c r="P570" s="162"/>
      <c r="Q570" s="161"/>
      <c r="R570" s="161"/>
      <c r="S570" s="697"/>
      <c r="T570" s="937"/>
      <c r="U570" s="895"/>
      <c r="V570" s="895"/>
      <c r="W570" s="895"/>
      <c r="X570" s="895"/>
      <c r="Y570" s="895"/>
      <c r="Z570" s="895"/>
    </row>
    <row r="571" spans="1:26">
      <c r="A571" s="895"/>
      <c r="B571" s="896"/>
      <c r="C571" s="161"/>
      <c r="D571" s="303"/>
      <c r="E571" s="162"/>
      <c r="F571" s="897"/>
      <c r="G571" s="694"/>
      <c r="H571" s="695"/>
      <c r="I571" s="696"/>
      <c r="J571" s="697"/>
      <c r="K571" s="697"/>
      <c r="L571" s="697"/>
      <c r="M571" s="697"/>
      <c r="N571" s="697"/>
      <c r="O571" s="895"/>
      <c r="P571" s="162"/>
      <c r="Q571" s="161"/>
      <c r="R571" s="161"/>
      <c r="S571" s="697"/>
      <c r="T571" s="937"/>
      <c r="U571" s="895"/>
      <c r="V571" s="895"/>
      <c r="W571" s="895"/>
      <c r="X571" s="895"/>
      <c r="Y571" s="895"/>
      <c r="Z571" s="895"/>
    </row>
    <row r="572" spans="1:26">
      <c r="A572" s="895"/>
      <c r="B572" s="896"/>
      <c r="C572" s="161"/>
      <c r="D572" s="303"/>
      <c r="E572" s="162"/>
      <c r="F572" s="897"/>
      <c r="G572" s="694"/>
      <c r="H572" s="695"/>
      <c r="I572" s="696"/>
      <c r="J572" s="697"/>
      <c r="K572" s="697"/>
      <c r="L572" s="697"/>
      <c r="M572" s="697"/>
      <c r="N572" s="697"/>
      <c r="O572" s="895"/>
      <c r="P572" s="162"/>
      <c r="Q572" s="161"/>
      <c r="R572" s="161"/>
      <c r="S572" s="697"/>
      <c r="T572" s="937"/>
      <c r="U572" s="895"/>
      <c r="V572" s="895"/>
      <c r="W572" s="895"/>
      <c r="X572" s="895"/>
      <c r="Y572" s="895"/>
      <c r="Z572" s="895"/>
    </row>
    <row r="573" spans="1:26">
      <c r="A573" s="895"/>
      <c r="B573" s="896"/>
      <c r="C573" s="161"/>
      <c r="D573" s="303"/>
      <c r="E573" s="162"/>
      <c r="F573" s="897"/>
      <c r="G573" s="694"/>
      <c r="H573" s="695"/>
      <c r="I573" s="696"/>
      <c r="J573" s="697"/>
      <c r="K573" s="697"/>
      <c r="L573" s="697"/>
      <c r="M573" s="697"/>
      <c r="N573" s="697"/>
      <c r="O573" s="895"/>
      <c r="P573" s="162"/>
      <c r="Q573" s="161"/>
      <c r="R573" s="161"/>
      <c r="S573" s="697"/>
      <c r="T573" s="937"/>
      <c r="U573" s="895"/>
      <c r="V573" s="895"/>
      <c r="W573" s="895"/>
      <c r="X573" s="895"/>
      <c r="Y573" s="895"/>
      <c r="Z573" s="895"/>
    </row>
    <row r="574" spans="1:26">
      <c r="A574" s="895"/>
      <c r="B574" s="896"/>
      <c r="C574" s="161"/>
      <c r="D574" s="303"/>
      <c r="E574" s="162"/>
      <c r="F574" s="897"/>
      <c r="G574" s="694"/>
      <c r="H574" s="695"/>
      <c r="I574" s="696"/>
      <c r="J574" s="697"/>
      <c r="K574" s="697"/>
      <c r="L574" s="697"/>
      <c r="M574" s="697"/>
      <c r="N574" s="697"/>
      <c r="O574" s="895"/>
      <c r="P574" s="162"/>
      <c r="Q574" s="161"/>
      <c r="R574" s="161"/>
      <c r="S574" s="697"/>
      <c r="T574" s="937"/>
      <c r="U574" s="895"/>
      <c r="V574" s="895"/>
      <c r="W574" s="895"/>
      <c r="X574" s="895"/>
      <c r="Y574" s="895"/>
      <c r="Z574" s="895"/>
    </row>
    <row r="575" spans="1:26">
      <c r="A575" s="895"/>
      <c r="B575" s="896"/>
      <c r="C575" s="161"/>
      <c r="D575" s="303"/>
      <c r="E575" s="162"/>
      <c r="F575" s="897"/>
      <c r="G575" s="694"/>
      <c r="H575" s="695"/>
      <c r="I575" s="696"/>
      <c r="J575" s="697"/>
      <c r="K575" s="697"/>
      <c r="L575" s="697"/>
      <c r="M575" s="697"/>
      <c r="N575" s="697"/>
      <c r="O575" s="895"/>
      <c r="P575" s="162"/>
      <c r="Q575" s="161"/>
      <c r="R575" s="161"/>
      <c r="S575" s="697"/>
      <c r="T575" s="937"/>
      <c r="U575" s="895"/>
      <c r="V575" s="895"/>
      <c r="W575" s="895"/>
      <c r="X575" s="895"/>
      <c r="Y575" s="895"/>
      <c r="Z575" s="895"/>
    </row>
    <row r="576" spans="1:26">
      <c r="A576" s="895"/>
      <c r="B576" s="896"/>
      <c r="C576" s="161"/>
      <c r="D576" s="303"/>
      <c r="E576" s="162"/>
      <c r="F576" s="897"/>
      <c r="G576" s="694"/>
      <c r="H576" s="695"/>
      <c r="I576" s="696"/>
      <c r="J576" s="697"/>
      <c r="K576" s="697"/>
      <c r="L576" s="697"/>
      <c r="M576" s="697"/>
      <c r="N576" s="697"/>
      <c r="O576" s="895"/>
      <c r="P576" s="162"/>
      <c r="Q576" s="161"/>
      <c r="R576" s="161"/>
      <c r="S576" s="697"/>
      <c r="T576" s="937"/>
      <c r="U576" s="895"/>
      <c r="V576" s="895"/>
      <c r="W576" s="895"/>
      <c r="X576" s="895"/>
      <c r="Y576" s="895"/>
      <c r="Z576" s="895"/>
    </row>
    <row r="577" spans="1:26">
      <c r="A577" s="895"/>
      <c r="B577" s="896"/>
      <c r="C577" s="161"/>
      <c r="D577" s="303"/>
      <c r="E577" s="162"/>
      <c r="F577" s="897"/>
      <c r="G577" s="694"/>
      <c r="H577" s="695"/>
      <c r="I577" s="696"/>
      <c r="J577" s="697"/>
      <c r="K577" s="697"/>
      <c r="L577" s="697"/>
      <c r="M577" s="697"/>
      <c r="N577" s="697"/>
      <c r="O577" s="895"/>
      <c r="P577" s="162"/>
      <c r="Q577" s="161"/>
      <c r="R577" s="161"/>
      <c r="S577" s="697"/>
      <c r="T577" s="937"/>
      <c r="U577" s="895"/>
      <c r="V577" s="895"/>
      <c r="W577" s="895"/>
      <c r="X577" s="895"/>
      <c r="Y577" s="895"/>
      <c r="Z577" s="895"/>
    </row>
    <row r="578" spans="1:26">
      <c r="A578" s="895"/>
      <c r="B578" s="896"/>
      <c r="C578" s="161"/>
      <c r="D578" s="303"/>
      <c r="E578" s="162"/>
      <c r="F578" s="897"/>
      <c r="G578" s="694"/>
      <c r="H578" s="695"/>
      <c r="I578" s="696"/>
      <c r="J578" s="697"/>
      <c r="K578" s="697"/>
      <c r="L578" s="697"/>
      <c r="M578" s="697"/>
      <c r="N578" s="697"/>
      <c r="O578" s="895"/>
      <c r="P578" s="162"/>
      <c r="Q578" s="161"/>
      <c r="R578" s="161"/>
      <c r="S578" s="697"/>
      <c r="T578" s="937"/>
      <c r="U578" s="895"/>
      <c r="V578" s="895"/>
      <c r="W578" s="895"/>
      <c r="X578" s="895"/>
      <c r="Y578" s="895"/>
      <c r="Z578" s="895"/>
    </row>
    <row r="579" spans="1:26">
      <c r="A579" s="895"/>
      <c r="B579" s="896"/>
      <c r="C579" s="161"/>
      <c r="D579" s="303"/>
      <c r="E579" s="162"/>
      <c r="F579" s="897"/>
      <c r="G579" s="694"/>
      <c r="H579" s="695"/>
      <c r="I579" s="696"/>
      <c r="J579" s="697"/>
      <c r="K579" s="697"/>
      <c r="L579" s="697"/>
      <c r="M579" s="697"/>
      <c r="N579" s="697"/>
      <c r="O579" s="895"/>
      <c r="P579" s="162"/>
      <c r="Q579" s="161"/>
      <c r="R579" s="161"/>
      <c r="S579" s="697"/>
      <c r="T579" s="937"/>
      <c r="U579" s="895"/>
      <c r="V579" s="895"/>
      <c r="W579" s="895"/>
      <c r="X579" s="895"/>
      <c r="Y579" s="895"/>
      <c r="Z579" s="895"/>
    </row>
    <row r="580" spans="1:26">
      <c r="A580" s="895"/>
      <c r="B580" s="896"/>
      <c r="C580" s="161"/>
      <c r="D580" s="303"/>
      <c r="E580" s="162"/>
      <c r="F580" s="897"/>
      <c r="G580" s="694"/>
      <c r="H580" s="695"/>
      <c r="I580" s="696"/>
      <c r="J580" s="697"/>
      <c r="K580" s="697"/>
      <c r="L580" s="697"/>
      <c r="M580" s="697"/>
      <c r="N580" s="697"/>
      <c r="O580" s="895"/>
      <c r="P580" s="162"/>
      <c r="Q580" s="161"/>
      <c r="R580" s="161"/>
      <c r="S580" s="697"/>
      <c r="T580" s="937"/>
      <c r="U580" s="895"/>
      <c r="V580" s="895"/>
      <c r="W580" s="895"/>
      <c r="X580" s="895"/>
      <c r="Y580" s="895"/>
      <c r="Z580" s="895"/>
    </row>
    <row r="581" spans="1:26">
      <c r="A581" s="895"/>
      <c r="B581" s="896"/>
      <c r="C581" s="161"/>
      <c r="D581" s="303"/>
      <c r="E581" s="162"/>
      <c r="F581" s="897"/>
      <c r="G581" s="694"/>
      <c r="H581" s="695"/>
      <c r="I581" s="696"/>
      <c r="J581" s="697"/>
      <c r="K581" s="697"/>
      <c r="L581" s="697"/>
      <c r="M581" s="697"/>
      <c r="N581" s="697"/>
      <c r="O581" s="895"/>
      <c r="P581" s="162"/>
      <c r="Q581" s="161"/>
      <c r="R581" s="161"/>
      <c r="S581" s="697"/>
      <c r="T581" s="937"/>
      <c r="U581" s="895"/>
      <c r="V581" s="895"/>
      <c r="W581" s="895"/>
      <c r="X581" s="895"/>
      <c r="Y581" s="895"/>
      <c r="Z581" s="895"/>
    </row>
    <row r="582" spans="1:26">
      <c r="A582" s="895"/>
      <c r="B582" s="896"/>
      <c r="C582" s="161"/>
      <c r="D582" s="303"/>
      <c r="E582" s="162"/>
      <c r="F582" s="897"/>
      <c r="G582" s="694"/>
      <c r="H582" s="695"/>
      <c r="I582" s="696"/>
      <c r="J582" s="697"/>
      <c r="K582" s="697"/>
      <c r="L582" s="697"/>
      <c r="M582" s="697"/>
      <c r="N582" s="697"/>
      <c r="O582" s="895"/>
      <c r="P582" s="162"/>
      <c r="Q582" s="161"/>
      <c r="R582" s="161"/>
      <c r="S582" s="697"/>
      <c r="T582" s="937"/>
      <c r="U582" s="895"/>
      <c r="V582" s="895"/>
      <c r="W582" s="895"/>
      <c r="X582" s="895"/>
      <c r="Y582" s="895"/>
      <c r="Z582" s="895"/>
    </row>
    <row r="583" spans="1:26">
      <c r="A583" s="895"/>
      <c r="B583" s="896"/>
      <c r="C583" s="161"/>
      <c r="D583" s="303"/>
      <c r="E583" s="162"/>
      <c r="F583" s="897"/>
      <c r="G583" s="694"/>
      <c r="H583" s="695"/>
      <c r="I583" s="696"/>
      <c r="J583" s="697"/>
      <c r="K583" s="697"/>
      <c r="L583" s="697"/>
      <c r="M583" s="697"/>
      <c r="N583" s="697"/>
      <c r="O583" s="895"/>
      <c r="P583" s="162"/>
      <c r="Q583" s="161"/>
      <c r="R583" s="161"/>
      <c r="S583" s="697"/>
      <c r="T583" s="937"/>
      <c r="U583" s="895"/>
      <c r="V583" s="895"/>
      <c r="W583" s="895"/>
      <c r="X583" s="895"/>
      <c r="Y583" s="895"/>
      <c r="Z583" s="895"/>
    </row>
    <row r="584" spans="1:26">
      <c r="A584" s="895"/>
      <c r="B584" s="896"/>
      <c r="C584" s="161"/>
      <c r="D584" s="303"/>
      <c r="E584" s="162"/>
      <c r="F584" s="897"/>
      <c r="G584" s="694"/>
      <c r="H584" s="695"/>
      <c r="I584" s="696"/>
      <c r="J584" s="697"/>
      <c r="K584" s="697"/>
      <c r="L584" s="697"/>
      <c r="M584" s="697"/>
      <c r="N584" s="697"/>
      <c r="O584" s="895"/>
      <c r="P584" s="162"/>
      <c r="Q584" s="161"/>
      <c r="R584" s="161"/>
      <c r="S584" s="697"/>
      <c r="T584" s="937"/>
      <c r="U584" s="895"/>
      <c r="V584" s="895"/>
      <c r="W584" s="895"/>
      <c r="X584" s="895"/>
      <c r="Y584" s="895"/>
      <c r="Z584" s="895"/>
    </row>
    <row r="585" spans="1:26">
      <c r="A585" s="895"/>
      <c r="B585" s="896"/>
      <c r="C585" s="161"/>
      <c r="D585" s="303"/>
      <c r="E585" s="162"/>
      <c r="F585" s="897"/>
      <c r="G585" s="694"/>
      <c r="H585" s="695"/>
      <c r="I585" s="696"/>
      <c r="J585" s="697"/>
      <c r="K585" s="697"/>
      <c r="L585" s="697"/>
      <c r="M585" s="697"/>
      <c r="N585" s="697"/>
      <c r="O585" s="895"/>
      <c r="P585" s="162"/>
      <c r="Q585" s="161"/>
      <c r="R585" s="161"/>
      <c r="S585" s="697"/>
      <c r="T585" s="937"/>
      <c r="U585" s="895"/>
      <c r="V585" s="895"/>
      <c r="W585" s="895"/>
      <c r="X585" s="895"/>
      <c r="Y585" s="895"/>
      <c r="Z585" s="895"/>
    </row>
    <row r="586" spans="1:26">
      <c r="A586" s="895"/>
      <c r="B586" s="896"/>
      <c r="C586" s="161"/>
      <c r="D586" s="303"/>
      <c r="E586" s="162"/>
      <c r="F586" s="897"/>
      <c r="G586" s="694"/>
      <c r="H586" s="695"/>
      <c r="I586" s="696"/>
      <c r="J586" s="697"/>
      <c r="K586" s="697"/>
      <c r="L586" s="697"/>
      <c r="M586" s="697"/>
      <c r="N586" s="697"/>
      <c r="O586" s="895"/>
      <c r="P586" s="162"/>
      <c r="Q586" s="161"/>
      <c r="R586" s="161"/>
      <c r="S586" s="697"/>
      <c r="T586" s="937"/>
      <c r="U586" s="895"/>
      <c r="V586" s="895"/>
      <c r="W586" s="895"/>
      <c r="X586" s="895"/>
      <c r="Y586" s="895"/>
      <c r="Z586" s="895"/>
    </row>
    <row r="587" spans="1:26">
      <c r="A587" s="895"/>
      <c r="B587" s="896"/>
      <c r="C587" s="161"/>
      <c r="D587" s="303"/>
      <c r="E587" s="162"/>
      <c r="F587" s="897"/>
      <c r="G587" s="694"/>
      <c r="H587" s="695"/>
      <c r="I587" s="696"/>
      <c r="J587" s="697"/>
      <c r="K587" s="697"/>
      <c r="L587" s="697"/>
      <c r="M587" s="697"/>
      <c r="N587" s="697"/>
      <c r="O587" s="895"/>
      <c r="P587" s="162"/>
      <c r="Q587" s="161"/>
      <c r="R587" s="161"/>
      <c r="S587" s="697"/>
      <c r="T587" s="937"/>
      <c r="U587" s="895"/>
      <c r="V587" s="895"/>
      <c r="W587" s="895"/>
      <c r="X587" s="895"/>
      <c r="Y587" s="895"/>
      <c r="Z587" s="895"/>
    </row>
    <row r="588" spans="1:26">
      <c r="A588" s="895"/>
      <c r="B588" s="896"/>
      <c r="C588" s="161"/>
      <c r="D588" s="303"/>
      <c r="E588" s="162"/>
      <c r="F588" s="897"/>
      <c r="G588" s="694"/>
      <c r="H588" s="695"/>
      <c r="I588" s="696"/>
      <c r="J588" s="697"/>
      <c r="K588" s="697"/>
      <c r="L588" s="697"/>
      <c r="M588" s="697"/>
      <c r="N588" s="697"/>
      <c r="O588" s="895"/>
      <c r="P588" s="162"/>
      <c r="Q588" s="161"/>
      <c r="R588" s="161"/>
      <c r="S588" s="697"/>
      <c r="T588" s="937"/>
      <c r="U588" s="895"/>
      <c r="V588" s="895"/>
      <c r="W588" s="895"/>
      <c r="X588" s="895"/>
      <c r="Y588" s="895"/>
      <c r="Z588" s="895"/>
    </row>
    <row r="589" spans="1:26">
      <c r="A589" s="895"/>
      <c r="B589" s="896"/>
      <c r="C589" s="161"/>
      <c r="D589" s="303"/>
      <c r="E589" s="162"/>
      <c r="F589" s="897"/>
      <c r="G589" s="694"/>
      <c r="H589" s="695"/>
      <c r="I589" s="696"/>
      <c r="J589" s="697"/>
      <c r="K589" s="697"/>
      <c r="L589" s="697"/>
      <c r="M589" s="697"/>
      <c r="N589" s="697"/>
      <c r="O589" s="895"/>
      <c r="P589" s="162"/>
      <c r="Q589" s="161"/>
      <c r="R589" s="161"/>
      <c r="S589" s="697"/>
      <c r="T589" s="937"/>
      <c r="U589" s="895"/>
      <c r="V589" s="895"/>
      <c r="W589" s="895"/>
      <c r="X589" s="895"/>
      <c r="Y589" s="895"/>
      <c r="Z589" s="895"/>
    </row>
    <row r="590" spans="1:26">
      <c r="A590" s="895"/>
      <c r="B590" s="896"/>
      <c r="C590" s="161"/>
      <c r="D590" s="303"/>
      <c r="E590" s="162"/>
      <c r="F590" s="897"/>
      <c r="G590" s="694"/>
      <c r="H590" s="695"/>
      <c r="I590" s="696"/>
      <c r="J590" s="697"/>
      <c r="K590" s="697"/>
      <c r="L590" s="697"/>
      <c r="M590" s="697"/>
      <c r="N590" s="697"/>
      <c r="O590" s="895"/>
      <c r="P590" s="162"/>
      <c r="Q590" s="161"/>
      <c r="R590" s="161"/>
      <c r="S590" s="697"/>
      <c r="T590" s="937"/>
      <c r="U590" s="895"/>
      <c r="V590" s="895"/>
      <c r="W590" s="895"/>
      <c r="X590" s="895"/>
      <c r="Y590" s="895"/>
      <c r="Z590" s="895"/>
    </row>
    <row r="591" spans="1:26">
      <c r="A591" s="895"/>
      <c r="B591" s="896"/>
      <c r="C591" s="161"/>
      <c r="D591" s="303"/>
      <c r="E591" s="162"/>
      <c r="F591" s="897"/>
      <c r="G591" s="694"/>
      <c r="H591" s="695"/>
      <c r="I591" s="696"/>
      <c r="J591" s="697"/>
      <c r="K591" s="697"/>
      <c r="L591" s="697"/>
      <c r="M591" s="697"/>
      <c r="N591" s="697"/>
      <c r="O591" s="895"/>
      <c r="P591" s="162"/>
      <c r="Q591" s="161"/>
      <c r="R591" s="161"/>
      <c r="S591" s="697"/>
      <c r="T591" s="937"/>
      <c r="U591" s="895"/>
      <c r="V591" s="895"/>
      <c r="W591" s="895"/>
      <c r="X591" s="895"/>
      <c r="Y591" s="895"/>
      <c r="Z591" s="895"/>
    </row>
    <row r="592" spans="1:26">
      <c r="A592" s="895"/>
      <c r="B592" s="896"/>
      <c r="C592" s="161"/>
      <c r="D592" s="303"/>
      <c r="E592" s="162"/>
      <c r="F592" s="897"/>
      <c r="G592" s="694"/>
      <c r="H592" s="695"/>
      <c r="I592" s="696"/>
      <c r="J592" s="697"/>
      <c r="K592" s="697"/>
      <c r="L592" s="697"/>
      <c r="M592" s="697"/>
      <c r="N592" s="697"/>
      <c r="O592" s="895"/>
      <c r="P592" s="162"/>
      <c r="Q592" s="161"/>
      <c r="R592" s="161"/>
      <c r="S592" s="697"/>
      <c r="T592" s="937"/>
      <c r="U592" s="895"/>
      <c r="V592" s="895"/>
      <c r="W592" s="895"/>
      <c r="X592" s="895"/>
      <c r="Y592" s="895"/>
      <c r="Z592" s="895"/>
    </row>
    <row r="593" spans="1:26">
      <c r="A593" s="895"/>
      <c r="B593" s="896"/>
      <c r="C593" s="161"/>
      <c r="D593" s="303"/>
      <c r="E593" s="162"/>
      <c r="F593" s="897"/>
      <c r="G593" s="694"/>
      <c r="H593" s="695"/>
      <c r="I593" s="696"/>
      <c r="J593" s="697"/>
      <c r="K593" s="697"/>
      <c r="L593" s="697"/>
      <c r="M593" s="697"/>
      <c r="N593" s="697"/>
      <c r="O593" s="895"/>
      <c r="P593" s="162"/>
      <c r="Q593" s="161"/>
      <c r="R593" s="161"/>
      <c r="S593" s="697"/>
      <c r="T593" s="937"/>
      <c r="U593" s="895"/>
      <c r="V593" s="895"/>
      <c r="W593" s="895"/>
      <c r="X593" s="895"/>
      <c r="Y593" s="895"/>
      <c r="Z593" s="895"/>
    </row>
    <row r="594" spans="1:26">
      <c r="A594" s="895"/>
      <c r="B594" s="896"/>
      <c r="C594" s="161"/>
      <c r="D594" s="303"/>
      <c r="E594" s="162"/>
      <c r="F594" s="897"/>
      <c r="G594" s="694"/>
      <c r="H594" s="695"/>
      <c r="I594" s="696"/>
      <c r="J594" s="697"/>
      <c r="K594" s="697"/>
      <c r="L594" s="697"/>
      <c r="M594" s="697"/>
      <c r="N594" s="697"/>
      <c r="O594" s="895"/>
      <c r="P594" s="162"/>
      <c r="Q594" s="161"/>
      <c r="R594" s="161"/>
      <c r="S594" s="697"/>
      <c r="T594" s="937"/>
      <c r="U594" s="895"/>
      <c r="V594" s="895"/>
      <c r="W594" s="895"/>
      <c r="X594" s="895"/>
      <c r="Y594" s="895"/>
      <c r="Z594" s="895"/>
    </row>
    <row r="595" spans="1:26">
      <c r="A595" s="895"/>
      <c r="B595" s="896"/>
      <c r="C595" s="161"/>
      <c r="D595" s="303"/>
      <c r="E595" s="162"/>
      <c r="F595" s="897"/>
      <c r="G595" s="694"/>
      <c r="H595" s="695"/>
      <c r="I595" s="696"/>
      <c r="J595" s="697"/>
      <c r="K595" s="697"/>
      <c r="L595" s="697"/>
      <c r="M595" s="697"/>
      <c r="N595" s="697"/>
      <c r="O595" s="895"/>
      <c r="P595" s="162"/>
      <c r="Q595" s="161"/>
      <c r="R595" s="161"/>
      <c r="S595" s="697"/>
      <c r="T595" s="937"/>
      <c r="U595" s="895"/>
      <c r="V595" s="895"/>
      <c r="W595" s="895"/>
      <c r="X595" s="895"/>
      <c r="Y595" s="895"/>
      <c r="Z595" s="895"/>
    </row>
    <row r="596" spans="1:26">
      <c r="A596" s="895"/>
      <c r="B596" s="896"/>
      <c r="C596" s="161"/>
      <c r="D596" s="303"/>
      <c r="E596" s="162"/>
      <c r="F596" s="897"/>
      <c r="G596" s="694"/>
      <c r="H596" s="695"/>
      <c r="I596" s="696"/>
      <c r="J596" s="697"/>
      <c r="K596" s="697"/>
      <c r="L596" s="697"/>
      <c r="M596" s="697"/>
      <c r="N596" s="697"/>
      <c r="O596" s="895"/>
      <c r="P596" s="162"/>
      <c r="Q596" s="161"/>
      <c r="R596" s="161"/>
      <c r="S596" s="697"/>
      <c r="T596" s="937"/>
      <c r="U596" s="895"/>
      <c r="V596" s="895"/>
      <c r="W596" s="895"/>
      <c r="X596" s="895"/>
      <c r="Y596" s="895"/>
      <c r="Z596" s="895"/>
    </row>
    <row r="597" spans="1:26">
      <c r="A597" s="895"/>
      <c r="B597" s="896"/>
      <c r="C597" s="161"/>
      <c r="D597" s="303"/>
      <c r="E597" s="162"/>
      <c r="F597" s="897"/>
      <c r="G597" s="694"/>
      <c r="H597" s="695"/>
      <c r="I597" s="696"/>
      <c r="J597" s="697"/>
      <c r="K597" s="697"/>
      <c r="L597" s="697"/>
      <c r="M597" s="697"/>
      <c r="N597" s="697"/>
      <c r="O597" s="895"/>
      <c r="P597" s="162"/>
      <c r="Q597" s="161"/>
      <c r="R597" s="161"/>
      <c r="S597" s="697"/>
      <c r="T597" s="937"/>
      <c r="U597" s="895"/>
      <c r="V597" s="895"/>
      <c r="W597" s="895"/>
      <c r="X597" s="895"/>
      <c r="Y597" s="895"/>
      <c r="Z597" s="895"/>
    </row>
    <row r="598" spans="1:26">
      <c r="A598" s="895"/>
      <c r="B598" s="896"/>
      <c r="C598" s="161"/>
      <c r="D598" s="303"/>
      <c r="E598" s="162"/>
      <c r="F598" s="897"/>
      <c r="G598" s="694"/>
      <c r="H598" s="695"/>
      <c r="I598" s="696"/>
      <c r="J598" s="697"/>
      <c r="K598" s="697"/>
      <c r="L598" s="697"/>
      <c r="M598" s="697"/>
      <c r="N598" s="697"/>
      <c r="O598" s="895"/>
      <c r="P598" s="162"/>
      <c r="Q598" s="161"/>
      <c r="R598" s="161"/>
      <c r="S598" s="697"/>
      <c r="T598" s="937"/>
      <c r="U598" s="895"/>
      <c r="V598" s="895"/>
      <c r="W598" s="895"/>
      <c r="X598" s="895"/>
      <c r="Y598" s="895"/>
      <c r="Z598" s="895"/>
    </row>
    <row r="599" spans="1:26">
      <c r="A599" s="895"/>
      <c r="B599" s="896"/>
      <c r="C599" s="161"/>
      <c r="D599" s="303"/>
      <c r="E599" s="162"/>
      <c r="F599" s="897"/>
      <c r="G599" s="694"/>
      <c r="H599" s="695"/>
      <c r="I599" s="696"/>
      <c r="J599" s="697"/>
      <c r="K599" s="697"/>
      <c r="L599" s="697"/>
      <c r="M599" s="697"/>
      <c r="N599" s="697"/>
      <c r="O599" s="895"/>
      <c r="P599" s="162"/>
      <c r="Q599" s="161"/>
      <c r="R599" s="161"/>
      <c r="S599" s="697"/>
      <c r="T599" s="937"/>
      <c r="U599" s="895"/>
      <c r="V599" s="895"/>
      <c r="W599" s="895"/>
      <c r="X599" s="895"/>
      <c r="Y599" s="895"/>
      <c r="Z599" s="895"/>
    </row>
    <row r="600" spans="1:26">
      <c r="A600" s="895"/>
      <c r="B600" s="896"/>
      <c r="C600" s="161"/>
      <c r="D600" s="303"/>
      <c r="E600" s="162"/>
      <c r="F600" s="897"/>
      <c r="G600" s="694"/>
      <c r="H600" s="695"/>
      <c r="I600" s="696"/>
      <c r="J600" s="697"/>
      <c r="K600" s="697"/>
      <c r="L600" s="697"/>
      <c r="M600" s="697"/>
      <c r="N600" s="697"/>
      <c r="O600" s="895"/>
      <c r="P600" s="162"/>
      <c r="Q600" s="161"/>
      <c r="R600" s="161"/>
      <c r="S600" s="697"/>
      <c r="T600" s="937"/>
      <c r="U600" s="895"/>
      <c r="V600" s="895"/>
      <c r="W600" s="895"/>
      <c r="X600" s="895"/>
      <c r="Y600" s="895"/>
      <c r="Z600" s="895"/>
    </row>
    <row r="601" spans="1:26">
      <c r="A601" s="895"/>
      <c r="B601" s="896"/>
      <c r="C601" s="161"/>
      <c r="D601" s="303"/>
      <c r="E601" s="162"/>
      <c r="F601" s="897"/>
      <c r="G601" s="694"/>
      <c r="H601" s="695"/>
      <c r="I601" s="696"/>
      <c r="J601" s="697"/>
      <c r="K601" s="697"/>
      <c r="L601" s="697"/>
      <c r="M601" s="697"/>
      <c r="N601" s="697"/>
      <c r="O601" s="895"/>
      <c r="P601" s="162"/>
      <c r="Q601" s="161"/>
      <c r="R601" s="161"/>
      <c r="S601" s="697"/>
      <c r="T601" s="937"/>
      <c r="U601" s="895"/>
      <c r="V601" s="895"/>
      <c r="W601" s="895"/>
      <c r="X601" s="895"/>
      <c r="Y601" s="895"/>
      <c r="Z601" s="895"/>
    </row>
    <row r="602" spans="1:26">
      <c r="A602" s="895"/>
      <c r="B602" s="896"/>
      <c r="C602" s="161"/>
      <c r="D602" s="303"/>
      <c r="E602" s="162"/>
      <c r="F602" s="897"/>
      <c r="G602" s="694"/>
      <c r="H602" s="695"/>
      <c r="I602" s="696"/>
      <c r="J602" s="697"/>
      <c r="K602" s="697"/>
      <c r="L602" s="697"/>
      <c r="M602" s="697"/>
      <c r="N602" s="697"/>
      <c r="O602" s="895"/>
      <c r="P602" s="162"/>
      <c r="Q602" s="161"/>
      <c r="R602" s="161"/>
      <c r="S602" s="697"/>
      <c r="T602" s="937"/>
      <c r="U602" s="895"/>
      <c r="V602" s="895"/>
      <c r="W602" s="895"/>
      <c r="X602" s="895"/>
      <c r="Y602" s="895"/>
      <c r="Z602" s="895"/>
    </row>
    <row r="603" spans="1:26">
      <c r="A603" s="895"/>
      <c r="B603" s="896"/>
      <c r="C603" s="161"/>
      <c r="D603" s="303"/>
      <c r="E603" s="162"/>
      <c r="F603" s="897"/>
      <c r="G603" s="694"/>
      <c r="H603" s="695"/>
      <c r="I603" s="696"/>
      <c r="J603" s="697"/>
      <c r="K603" s="697"/>
      <c r="L603" s="697"/>
      <c r="M603" s="697"/>
      <c r="N603" s="697"/>
      <c r="O603" s="895"/>
      <c r="P603" s="162"/>
      <c r="Q603" s="161"/>
      <c r="R603" s="161"/>
      <c r="S603" s="697"/>
      <c r="T603" s="937"/>
      <c r="U603" s="895"/>
      <c r="V603" s="895"/>
      <c r="W603" s="895"/>
      <c r="X603" s="895"/>
      <c r="Y603" s="895"/>
      <c r="Z603" s="895"/>
    </row>
    <row r="604" spans="1:26">
      <c r="A604" s="895"/>
      <c r="B604" s="896"/>
      <c r="C604" s="161"/>
      <c r="D604" s="303"/>
      <c r="E604" s="162"/>
      <c r="F604" s="897"/>
      <c r="G604" s="694"/>
      <c r="H604" s="695"/>
      <c r="I604" s="696"/>
      <c r="J604" s="697"/>
      <c r="K604" s="697"/>
      <c r="L604" s="697"/>
      <c r="M604" s="697"/>
      <c r="N604" s="697"/>
      <c r="O604" s="895"/>
      <c r="P604" s="162"/>
      <c r="Q604" s="161"/>
      <c r="R604" s="161"/>
      <c r="S604" s="697"/>
      <c r="T604" s="937"/>
      <c r="U604" s="895"/>
      <c r="V604" s="895"/>
      <c r="W604" s="895"/>
      <c r="X604" s="895"/>
      <c r="Y604" s="895"/>
      <c r="Z604" s="895"/>
    </row>
    <row r="605" spans="1:26">
      <c r="A605" s="895"/>
      <c r="B605" s="896"/>
      <c r="C605" s="161"/>
      <c r="D605" s="303"/>
      <c r="E605" s="162"/>
      <c r="F605" s="897"/>
      <c r="G605" s="694"/>
      <c r="H605" s="695"/>
      <c r="I605" s="696"/>
      <c r="J605" s="697"/>
      <c r="K605" s="697"/>
      <c r="L605" s="697"/>
      <c r="M605" s="697"/>
      <c r="N605" s="697"/>
      <c r="O605" s="895"/>
      <c r="P605" s="162"/>
      <c r="Q605" s="161"/>
      <c r="R605" s="161"/>
      <c r="S605" s="697"/>
      <c r="T605" s="937"/>
      <c r="U605" s="895"/>
      <c r="V605" s="895"/>
      <c r="W605" s="895"/>
      <c r="X605" s="895"/>
      <c r="Y605" s="895"/>
      <c r="Z605" s="895"/>
    </row>
    <row r="606" spans="1:26">
      <c r="A606" s="895"/>
      <c r="B606" s="896"/>
      <c r="C606" s="161"/>
      <c r="D606" s="303"/>
      <c r="E606" s="162"/>
      <c r="F606" s="897"/>
      <c r="G606" s="694"/>
      <c r="H606" s="695"/>
      <c r="I606" s="696"/>
      <c r="J606" s="697"/>
      <c r="K606" s="697"/>
      <c r="L606" s="697"/>
      <c r="M606" s="697"/>
      <c r="N606" s="697"/>
      <c r="O606" s="895"/>
      <c r="P606" s="162"/>
      <c r="Q606" s="161"/>
      <c r="R606" s="161"/>
      <c r="S606" s="697"/>
      <c r="T606" s="937"/>
      <c r="U606" s="895"/>
      <c r="V606" s="895"/>
      <c r="W606" s="895"/>
      <c r="X606" s="895"/>
      <c r="Y606" s="895"/>
      <c r="Z606" s="895"/>
    </row>
    <row r="607" spans="1:26">
      <c r="A607" s="895"/>
      <c r="B607" s="896"/>
      <c r="C607" s="161"/>
      <c r="D607" s="303"/>
      <c r="E607" s="162"/>
      <c r="F607" s="897"/>
      <c r="G607" s="694"/>
      <c r="H607" s="695"/>
      <c r="I607" s="696"/>
      <c r="J607" s="697"/>
      <c r="K607" s="697"/>
      <c r="L607" s="697"/>
      <c r="M607" s="697"/>
      <c r="N607" s="697"/>
      <c r="O607" s="895"/>
      <c r="P607" s="162"/>
      <c r="Q607" s="161"/>
      <c r="R607" s="161"/>
      <c r="S607" s="697"/>
      <c r="T607" s="937"/>
      <c r="U607" s="895"/>
      <c r="V607" s="895"/>
      <c r="W607" s="895"/>
      <c r="X607" s="895"/>
      <c r="Y607" s="895"/>
      <c r="Z607" s="895"/>
    </row>
    <row r="608" spans="1:26">
      <c r="A608" s="895"/>
      <c r="B608" s="896"/>
      <c r="C608" s="161"/>
      <c r="D608" s="303"/>
      <c r="E608" s="162"/>
      <c r="F608" s="897"/>
      <c r="G608" s="694"/>
      <c r="H608" s="695"/>
      <c r="I608" s="696"/>
      <c r="J608" s="697"/>
      <c r="K608" s="697"/>
      <c r="L608" s="697"/>
      <c r="M608" s="697"/>
      <c r="N608" s="697"/>
      <c r="O608" s="895"/>
      <c r="P608" s="162"/>
      <c r="Q608" s="161"/>
      <c r="R608" s="161"/>
      <c r="S608" s="697"/>
      <c r="T608" s="937"/>
      <c r="U608" s="895"/>
      <c r="V608" s="895"/>
      <c r="W608" s="895"/>
      <c r="X608" s="895"/>
      <c r="Y608" s="895"/>
      <c r="Z608" s="895"/>
    </row>
    <row r="609" spans="1:26">
      <c r="A609" s="895"/>
      <c r="B609" s="896"/>
      <c r="C609" s="161"/>
      <c r="D609" s="303"/>
      <c r="E609" s="162"/>
      <c r="F609" s="897"/>
      <c r="G609" s="694"/>
      <c r="H609" s="695"/>
      <c r="I609" s="696"/>
      <c r="J609" s="697"/>
      <c r="K609" s="697"/>
      <c r="L609" s="697"/>
      <c r="M609" s="697"/>
      <c r="N609" s="697"/>
      <c r="O609" s="895"/>
      <c r="P609" s="162"/>
      <c r="Q609" s="161"/>
      <c r="R609" s="161"/>
      <c r="S609" s="697"/>
      <c r="T609" s="937"/>
      <c r="U609" s="895"/>
      <c r="V609" s="895"/>
      <c r="W609" s="895"/>
      <c r="X609" s="895"/>
      <c r="Y609" s="895"/>
      <c r="Z609" s="895"/>
    </row>
    <row r="610" spans="1:26">
      <c r="A610" s="895"/>
      <c r="B610" s="896"/>
      <c r="C610" s="161"/>
      <c r="D610" s="303"/>
      <c r="E610" s="162"/>
      <c r="F610" s="897"/>
      <c r="G610" s="694"/>
      <c r="H610" s="695"/>
      <c r="I610" s="696"/>
      <c r="J610" s="697"/>
      <c r="K610" s="697"/>
      <c r="L610" s="697"/>
      <c r="M610" s="697"/>
      <c r="N610" s="697"/>
      <c r="O610" s="895"/>
      <c r="P610" s="162"/>
      <c r="Q610" s="161"/>
      <c r="R610" s="161"/>
      <c r="S610" s="697"/>
      <c r="T610" s="937"/>
      <c r="U610" s="895"/>
      <c r="V610" s="895"/>
      <c r="W610" s="895"/>
      <c r="X610" s="895"/>
      <c r="Y610" s="895"/>
      <c r="Z610" s="895"/>
    </row>
    <row r="611" spans="1:26">
      <c r="A611" s="895"/>
      <c r="B611" s="896"/>
      <c r="C611" s="161"/>
      <c r="D611" s="303"/>
      <c r="E611" s="162"/>
      <c r="F611" s="897"/>
      <c r="G611" s="694"/>
      <c r="H611" s="695"/>
      <c r="I611" s="696"/>
      <c r="J611" s="697"/>
      <c r="K611" s="697"/>
      <c r="L611" s="697"/>
      <c r="M611" s="697"/>
      <c r="N611" s="697"/>
      <c r="O611" s="895"/>
      <c r="P611" s="162"/>
      <c r="Q611" s="161"/>
      <c r="R611" s="161"/>
      <c r="S611" s="697"/>
      <c r="T611" s="937"/>
      <c r="U611" s="895"/>
      <c r="V611" s="895"/>
      <c r="W611" s="895"/>
      <c r="X611" s="895"/>
      <c r="Y611" s="895"/>
      <c r="Z611" s="895"/>
    </row>
    <row r="612" spans="1:26">
      <c r="A612" s="895"/>
      <c r="B612" s="896"/>
      <c r="C612" s="161"/>
      <c r="D612" s="303"/>
      <c r="E612" s="162"/>
      <c r="F612" s="897"/>
      <c r="G612" s="694"/>
      <c r="H612" s="695"/>
      <c r="I612" s="696"/>
      <c r="J612" s="697"/>
      <c r="K612" s="697"/>
      <c r="L612" s="697"/>
      <c r="M612" s="697"/>
      <c r="N612" s="697"/>
      <c r="O612" s="895"/>
      <c r="P612" s="162"/>
      <c r="Q612" s="161"/>
      <c r="R612" s="161"/>
      <c r="S612" s="697"/>
      <c r="T612" s="937"/>
      <c r="U612" s="895"/>
      <c r="V612" s="895"/>
      <c r="W612" s="895"/>
      <c r="X612" s="895"/>
      <c r="Y612" s="895"/>
      <c r="Z612" s="895"/>
    </row>
    <row r="613" spans="1:26">
      <c r="A613" s="895"/>
      <c r="B613" s="896"/>
      <c r="C613" s="161"/>
      <c r="D613" s="303"/>
      <c r="E613" s="162"/>
      <c r="F613" s="897"/>
      <c r="G613" s="694"/>
      <c r="H613" s="695"/>
      <c r="I613" s="696"/>
      <c r="J613" s="697"/>
      <c r="K613" s="697"/>
      <c r="L613" s="697"/>
      <c r="M613" s="697"/>
      <c r="N613" s="697"/>
      <c r="O613" s="895"/>
      <c r="P613" s="162"/>
      <c r="Q613" s="161"/>
      <c r="R613" s="161"/>
      <c r="S613" s="697"/>
      <c r="T613" s="937"/>
      <c r="U613" s="895"/>
      <c r="V613" s="895"/>
      <c r="W613" s="895"/>
      <c r="X613" s="895"/>
      <c r="Y613" s="895"/>
      <c r="Z613" s="895"/>
    </row>
    <row r="614" spans="1:26">
      <c r="A614" s="895"/>
      <c r="B614" s="896"/>
      <c r="C614" s="161"/>
      <c r="D614" s="303"/>
      <c r="E614" s="162"/>
      <c r="F614" s="897"/>
      <c r="G614" s="694"/>
      <c r="H614" s="695"/>
      <c r="I614" s="696"/>
      <c r="J614" s="697"/>
      <c r="K614" s="697"/>
      <c r="L614" s="697"/>
      <c r="M614" s="697"/>
      <c r="N614" s="697"/>
      <c r="O614" s="895"/>
      <c r="P614" s="162"/>
      <c r="Q614" s="161"/>
      <c r="R614" s="161"/>
      <c r="S614" s="697"/>
      <c r="T614" s="937"/>
      <c r="U614" s="895"/>
      <c r="V614" s="895"/>
      <c r="W614" s="895"/>
      <c r="X614" s="895"/>
      <c r="Y614" s="895"/>
      <c r="Z614" s="895"/>
    </row>
    <row r="615" spans="1:26">
      <c r="A615" s="895"/>
      <c r="B615" s="896"/>
      <c r="C615" s="161"/>
      <c r="D615" s="303"/>
      <c r="E615" s="162"/>
      <c r="F615" s="897"/>
      <c r="G615" s="694"/>
      <c r="H615" s="695"/>
      <c r="I615" s="696"/>
      <c r="J615" s="697"/>
      <c r="K615" s="697"/>
      <c r="L615" s="697"/>
      <c r="M615" s="697"/>
      <c r="N615" s="697"/>
      <c r="O615" s="895"/>
      <c r="P615" s="162"/>
      <c r="Q615" s="161"/>
      <c r="R615" s="161"/>
      <c r="S615" s="697"/>
      <c r="T615" s="937"/>
      <c r="U615" s="895"/>
      <c r="V615" s="895"/>
      <c r="W615" s="895"/>
      <c r="X615" s="895"/>
      <c r="Y615" s="895"/>
      <c r="Z615" s="895"/>
    </row>
    <row r="616" spans="1:26">
      <c r="A616" s="895"/>
      <c r="B616" s="896"/>
      <c r="C616" s="161"/>
      <c r="D616" s="303"/>
      <c r="E616" s="162"/>
      <c r="F616" s="897"/>
      <c r="G616" s="694"/>
      <c r="H616" s="695"/>
      <c r="I616" s="696"/>
      <c r="J616" s="697"/>
      <c r="K616" s="697"/>
      <c r="L616" s="697"/>
      <c r="M616" s="697"/>
      <c r="N616" s="697"/>
      <c r="O616" s="895"/>
      <c r="P616" s="162"/>
      <c r="Q616" s="161"/>
      <c r="R616" s="161"/>
      <c r="S616" s="697"/>
      <c r="T616" s="937"/>
      <c r="U616" s="895"/>
      <c r="V616" s="895"/>
      <c r="W616" s="895"/>
      <c r="X616" s="895"/>
      <c r="Y616" s="895"/>
      <c r="Z616" s="895"/>
    </row>
    <row r="617" spans="1:26">
      <c r="A617" s="895"/>
      <c r="B617" s="896"/>
      <c r="C617" s="161"/>
      <c r="D617" s="303"/>
      <c r="E617" s="162"/>
      <c r="F617" s="897"/>
      <c r="G617" s="694"/>
      <c r="H617" s="695"/>
      <c r="I617" s="696"/>
      <c r="J617" s="697"/>
      <c r="K617" s="697"/>
      <c r="L617" s="697"/>
      <c r="M617" s="697"/>
      <c r="N617" s="697"/>
      <c r="O617" s="895"/>
      <c r="P617" s="162"/>
      <c r="Q617" s="161"/>
      <c r="R617" s="161"/>
      <c r="S617" s="697"/>
      <c r="T617" s="937"/>
      <c r="U617" s="895"/>
      <c r="V617" s="895"/>
      <c r="W617" s="895"/>
      <c r="X617" s="895"/>
      <c r="Y617" s="895"/>
      <c r="Z617" s="895"/>
    </row>
    <row r="618" spans="1:26">
      <c r="A618" s="895"/>
      <c r="B618" s="896"/>
      <c r="C618" s="161"/>
      <c r="D618" s="303"/>
      <c r="E618" s="162"/>
      <c r="F618" s="897"/>
      <c r="G618" s="694"/>
      <c r="H618" s="695"/>
      <c r="I618" s="696"/>
      <c r="J618" s="697"/>
      <c r="K618" s="697"/>
      <c r="L618" s="697"/>
      <c r="M618" s="697"/>
      <c r="N618" s="697"/>
      <c r="O618" s="895"/>
      <c r="P618" s="162"/>
      <c r="Q618" s="161"/>
      <c r="R618" s="161"/>
      <c r="S618" s="697"/>
      <c r="T618" s="937"/>
      <c r="U618" s="895"/>
      <c r="V618" s="895"/>
      <c r="W618" s="895"/>
      <c r="X618" s="895"/>
      <c r="Y618" s="895"/>
      <c r="Z618" s="895"/>
    </row>
    <row r="619" spans="1:26">
      <c r="A619" s="895"/>
      <c r="B619" s="896"/>
      <c r="C619" s="161"/>
      <c r="D619" s="303"/>
      <c r="E619" s="162"/>
      <c r="F619" s="897"/>
      <c r="G619" s="694"/>
      <c r="H619" s="695"/>
      <c r="I619" s="696"/>
      <c r="J619" s="697"/>
      <c r="K619" s="697"/>
      <c r="L619" s="697"/>
      <c r="M619" s="697"/>
      <c r="N619" s="697"/>
      <c r="O619" s="895"/>
      <c r="P619" s="162"/>
      <c r="Q619" s="161"/>
      <c r="R619" s="161"/>
      <c r="S619" s="697"/>
      <c r="T619" s="937"/>
      <c r="U619" s="895"/>
      <c r="V619" s="895"/>
      <c r="W619" s="895"/>
      <c r="X619" s="895"/>
      <c r="Y619" s="895"/>
      <c r="Z619" s="895"/>
    </row>
    <row r="620" spans="1:26">
      <c r="A620" s="895"/>
      <c r="B620" s="896"/>
      <c r="C620" s="161"/>
      <c r="D620" s="303"/>
      <c r="E620" s="162"/>
      <c r="F620" s="897"/>
      <c r="G620" s="694"/>
      <c r="H620" s="695"/>
      <c r="I620" s="696"/>
      <c r="J620" s="697"/>
      <c r="K620" s="697"/>
      <c r="L620" s="697"/>
      <c r="M620" s="697"/>
      <c r="N620" s="697"/>
      <c r="O620" s="895"/>
      <c r="P620" s="162"/>
      <c r="Q620" s="161"/>
      <c r="R620" s="161"/>
      <c r="S620" s="697"/>
      <c r="T620" s="937"/>
      <c r="U620" s="895"/>
      <c r="V620" s="895"/>
      <c r="W620" s="895"/>
      <c r="X620" s="895"/>
      <c r="Y620" s="895"/>
      <c r="Z620" s="895"/>
    </row>
    <row r="621" spans="1:26">
      <c r="A621" s="895"/>
      <c r="B621" s="896"/>
      <c r="C621" s="161"/>
      <c r="D621" s="303"/>
      <c r="E621" s="162"/>
      <c r="F621" s="897"/>
      <c r="G621" s="694"/>
      <c r="H621" s="695"/>
      <c r="I621" s="696"/>
      <c r="J621" s="697"/>
      <c r="K621" s="697"/>
      <c r="L621" s="697"/>
      <c r="M621" s="697"/>
      <c r="N621" s="697"/>
      <c r="O621" s="895"/>
      <c r="P621" s="162"/>
      <c r="Q621" s="161"/>
      <c r="R621" s="161"/>
      <c r="S621" s="697"/>
      <c r="T621" s="937"/>
      <c r="U621" s="895"/>
      <c r="V621" s="895"/>
      <c r="W621" s="895"/>
      <c r="X621" s="895"/>
      <c r="Y621" s="895"/>
      <c r="Z621" s="895"/>
    </row>
    <row r="622" spans="1:26">
      <c r="A622" s="895"/>
      <c r="B622" s="896"/>
      <c r="C622" s="161"/>
      <c r="D622" s="303"/>
      <c r="E622" s="162"/>
      <c r="F622" s="897"/>
      <c r="G622" s="694"/>
      <c r="H622" s="695"/>
      <c r="I622" s="696"/>
      <c r="J622" s="697"/>
      <c r="K622" s="697"/>
      <c r="L622" s="697"/>
      <c r="M622" s="697"/>
      <c r="N622" s="697"/>
      <c r="O622" s="895"/>
      <c r="P622" s="162"/>
      <c r="Q622" s="161"/>
      <c r="R622" s="161"/>
      <c r="S622" s="697"/>
      <c r="T622" s="937"/>
      <c r="U622" s="895"/>
      <c r="V622" s="895"/>
      <c r="W622" s="895"/>
      <c r="X622" s="895"/>
      <c r="Y622" s="895"/>
      <c r="Z622" s="895"/>
    </row>
    <row r="623" spans="1:26">
      <c r="A623" s="895"/>
      <c r="B623" s="896"/>
      <c r="C623" s="161"/>
      <c r="D623" s="303"/>
      <c r="E623" s="162"/>
      <c r="F623" s="897"/>
      <c r="G623" s="694"/>
      <c r="H623" s="695"/>
      <c r="I623" s="696"/>
      <c r="J623" s="697"/>
      <c r="K623" s="697"/>
      <c r="L623" s="697"/>
      <c r="M623" s="697"/>
      <c r="N623" s="697"/>
      <c r="O623" s="895"/>
      <c r="P623" s="162"/>
      <c r="Q623" s="161"/>
      <c r="R623" s="161"/>
      <c r="S623" s="697"/>
      <c r="T623" s="937"/>
      <c r="U623" s="895"/>
      <c r="V623" s="895"/>
      <c r="W623" s="895"/>
      <c r="X623" s="895"/>
      <c r="Y623" s="895"/>
      <c r="Z623" s="895"/>
    </row>
    <row r="624" spans="1:26">
      <c r="A624" s="895"/>
      <c r="B624" s="896"/>
      <c r="C624" s="161"/>
      <c r="D624" s="303"/>
      <c r="E624" s="162"/>
      <c r="F624" s="897"/>
      <c r="G624" s="694"/>
      <c r="H624" s="695"/>
      <c r="I624" s="696"/>
      <c r="J624" s="697"/>
      <c r="K624" s="697"/>
      <c r="L624" s="697"/>
      <c r="M624" s="697"/>
      <c r="N624" s="697"/>
      <c r="O624" s="895"/>
      <c r="P624" s="162"/>
      <c r="Q624" s="161"/>
      <c r="R624" s="161"/>
      <c r="S624" s="697"/>
      <c r="T624" s="937"/>
      <c r="U624" s="895"/>
      <c r="V624" s="895"/>
      <c r="W624" s="895"/>
      <c r="X624" s="895"/>
      <c r="Y624" s="895"/>
      <c r="Z624" s="895"/>
    </row>
    <row r="625" spans="1:26">
      <c r="A625" s="895"/>
      <c r="B625" s="896"/>
      <c r="C625" s="161"/>
      <c r="D625" s="303"/>
      <c r="E625" s="162"/>
      <c r="F625" s="897"/>
      <c r="G625" s="694"/>
      <c r="H625" s="695"/>
      <c r="I625" s="696"/>
      <c r="J625" s="697"/>
      <c r="K625" s="697"/>
      <c r="L625" s="697"/>
      <c r="M625" s="697"/>
      <c r="N625" s="697"/>
      <c r="O625" s="895"/>
      <c r="P625" s="162"/>
      <c r="Q625" s="161"/>
      <c r="R625" s="161"/>
      <c r="S625" s="697"/>
      <c r="T625" s="937"/>
      <c r="U625" s="895"/>
      <c r="V625" s="895"/>
      <c r="W625" s="895"/>
      <c r="X625" s="895"/>
      <c r="Y625" s="895"/>
      <c r="Z625" s="895"/>
    </row>
    <row r="626" spans="1:26">
      <c r="A626" s="895"/>
      <c r="B626" s="896"/>
      <c r="C626" s="161"/>
      <c r="D626" s="303"/>
      <c r="E626" s="162"/>
      <c r="F626" s="897"/>
      <c r="G626" s="694"/>
      <c r="H626" s="695"/>
      <c r="I626" s="696"/>
      <c r="J626" s="697"/>
      <c r="K626" s="697"/>
      <c r="L626" s="697"/>
      <c r="M626" s="697"/>
      <c r="N626" s="697"/>
      <c r="O626" s="895"/>
      <c r="P626" s="162"/>
      <c r="Q626" s="161"/>
      <c r="R626" s="161"/>
      <c r="S626" s="697"/>
      <c r="T626" s="937"/>
      <c r="U626" s="895"/>
      <c r="V626" s="895"/>
      <c r="W626" s="895"/>
      <c r="X626" s="895"/>
      <c r="Y626" s="895"/>
      <c r="Z626" s="895"/>
    </row>
    <row r="627" spans="1:26">
      <c r="A627" s="895"/>
      <c r="B627" s="896"/>
      <c r="C627" s="161"/>
      <c r="D627" s="303"/>
      <c r="E627" s="162"/>
      <c r="F627" s="897"/>
      <c r="G627" s="694"/>
      <c r="H627" s="695"/>
      <c r="I627" s="696"/>
      <c r="J627" s="697"/>
      <c r="K627" s="697"/>
      <c r="L627" s="697"/>
      <c r="M627" s="697"/>
      <c r="N627" s="697"/>
      <c r="O627" s="895"/>
      <c r="P627" s="162"/>
      <c r="Q627" s="161"/>
      <c r="R627" s="161"/>
      <c r="S627" s="697"/>
      <c r="T627" s="937"/>
      <c r="U627" s="895"/>
      <c r="V627" s="895"/>
      <c r="W627" s="895"/>
      <c r="X627" s="895"/>
      <c r="Y627" s="895"/>
      <c r="Z627" s="895"/>
    </row>
    <row r="628" spans="1:26">
      <c r="A628" s="895"/>
      <c r="B628" s="896"/>
      <c r="C628" s="161"/>
      <c r="D628" s="303"/>
      <c r="E628" s="162"/>
      <c r="F628" s="897"/>
      <c r="G628" s="694"/>
      <c r="H628" s="695"/>
      <c r="I628" s="696"/>
      <c r="J628" s="697"/>
      <c r="K628" s="697"/>
      <c r="L628" s="697"/>
      <c r="M628" s="697"/>
      <c r="N628" s="697"/>
      <c r="O628" s="895"/>
      <c r="P628" s="162"/>
      <c r="Q628" s="161"/>
      <c r="R628" s="161"/>
      <c r="S628" s="697"/>
      <c r="T628" s="937"/>
      <c r="U628" s="895"/>
      <c r="V628" s="895"/>
      <c r="W628" s="895"/>
      <c r="X628" s="895"/>
      <c r="Y628" s="895"/>
      <c r="Z628" s="895"/>
    </row>
    <row r="629" spans="1:26">
      <c r="A629" s="895"/>
      <c r="B629" s="896"/>
      <c r="C629" s="161"/>
      <c r="D629" s="303"/>
      <c r="E629" s="162"/>
      <c r="F629" s="897"/>
      <c r="G629" s="694"/>
      <c r="H629" s="695"/>
      <c r="I629" s="696"/>
      <c r="J629" s="697"/>
      <c r="K629" s="697"/>
      <c r="L629" s="697"/>
      <c r="M629" s="697"/>
      <c r="N629" s="697"/>
      <c r="O629" s="895"/>
      <c r="P629" s="162"/>
      <c r="Q629" s="161"/>
      <c r="R629" s="161"/>
      <c r="S629" s="697"/>
      <c r="T629" s="937"/>
      <c r="U629" s="895"/>
      <c r="V629" s="895"/>
      <c r="W629" s="895"/>
      <c r="X629" s="895"/>
      <c r="Y629" s="895"/>
      <c r="Z629" s="895"/>
    </row>
    <row r="630" spans="1:26">
      <c r="A630" s="895"/>
      <c r="B630" s="896"/>
      <c r="C630" s="161"/>
      <c r="D630" s="303"/>
      <c r="E630" s="162"/>
      <c r="F630" s="897"/>
      <c r="G630" s="694"/>
      <c r="H630" s="695"/>
      <c r="I630" s="696"/>
      <c r="J630" s="697"/>
      <c r="K630" s="697"/>
      <c r="L630" s="697"/>
      <c r="M630" s="697"/>
      <c r="N630" s="697"/>
      <c r="O630" s="895"/>
      <c r="P630" s="162"/>
      <c r="Q630" s="161"/>
      <c r="R630" s="161"/>
      <c r="S630" s="697"/>
      <c r="T630" s="937"/>
      <c r="U630" s="895"/>
      <c r="V630" s="895"/>
      <c r="W630" s="895"/>
      <c r="X630" s="895"/>
      <c r="Y630" s="895"/>
      <c r="Z630" s="895"/>
    </row>
    <row r="631" spans="1:26">
      <c r="A631" s="895"/>
      <c r="B631" s="896"/>
      <c r="C631" s="161"/>
      <c r="D631" s="303"/>
      <c r="E631" s="162"/>
      <c r="F631" s="897"/>
      <c r="G631" s="694"/>
      <c r="H631" s="695"/>
      <c r="I631" s="696"/>
      <c r="J631" s="697"/>
      <c r="K631" s="697"/>
      <c r="L631" s="697"/>
      <c r="M631" s="697"/>
      <c r="N631" s="697"/>
      <c r="O631" s="895"/>
      <c r="P631" s="162"/>
      <c r="Q631" s="161"/>
      <c r="R631" s="161"/>
      <c r="S631" s="697"/>
      <c r="T631" s="937"/>
      <c r="U631" s="895"/>
      <c r="V631" s="895"/>
      <c r="W631" s="895"/>
      <c r="X631" s="895"/>
      <c r="Y631" s="895"/>
      <c r="Z631" s="895"/>
    </row>
    <row r="632" spans="1:26">
      <c r="A632" s="895"/>
      <c r="B632" s="896"/>
      <c r="C632" s="161"/>
      <c r="D632" s="303"/>
      <c r="E632" s="162"/>
      <c r="F632" s="897"/>
      <c r="G632" s="694"/>
      <c r="H632" s="695"/>
      <c r="I632" s="696"/>
      <c r="J632" s="697"/>
      <c r="K632" s="697"/>
      <c r="L632" s="697"/>
      <c r="M632" s="697"/>
      <c r="N632" s="697"/>
      <c r="O632" s="895"/>
      <c r="P632" s="162"/>
      <c r="Q632" s="161"/>
      <c r="R632" s="161"/>
      <c r="S632" s="697"/>
      <c r="T632" s="937"/>
      <c r="U632" s="895"/>
      <c r="V632" s="895"/>
      <c r="W632" s="895"/>
      <c r="X632" s="895"/>
      <c r="Y632" s="895"/>
      <c r="Z632" s="895"/>
    </row>
    <row r="633" spans="1:26">
      <c r="A633" s="895"/>
      <c r="B633" s="896"/>
      <c r="C633" s="161"/>
      <c r="D633" s="303"/>
      <c r="E633" s="162"/>
      <c r="F633" s="897"/>
      <c r="G633" s="694"/>
      <c r="H633" s="695"/>
      <c r="I633" s="696"/>
      <c r="J633" s="697"/>
      <c r="K633" s="697"/>
      <c r="L633" s="697"/>
      <c r="M633" s="697"/>
      <c r="N633" s="697"/>
      <c r="O633" s="895"/>
      <c r="P633" s="162"/>
      <c r="Q633" s="161"/>
      <c r="R633" s="161"/>
      <c r="S633" s="697"/>
      <c r="T633" s="937"/>
      <c r="U633" s="895"/>
      <c r="V633" s="895"/>
      <c r="W633" s="895"/>
      <c r="X633" s="895"/>
      <c r="Y633" s="895"/>
      <c r="Z633" s="895"/>
    </row>
    <row r="634" spans="1:26">
      <c r="A634" s="895"/>
      <c r="B634" s="896"/>
      <c r="C634" s="161"/>
      <c r="D634" s="303"/>
      <c r="E634" s="162"/>
      <c r="F634" s="897"/>
      <c r="G634" s="694"/>
      <c r="H634" s="695"/>
      <c r="I634" s="696"/>
      <c r="J634" s="697"/>
      <c r="K634" s="697"/>
      <c r="L634" s="697"/>
      <c r="M634" s="697"/>
      <c r="N634" s="697"/>
      <c r="O634" s="895"/>
      <c r="P634" s="162"/>
      <c r="Q634" s="161"/>
      <c r="R634" s="161"/>
      <c r="S634" s="697"/>
      <c r="T634" s="937"/>
      <c r="U634" s="895"/>
      <c r="V634" s="895"/>
      <c r="W634" s="895"/>
      <c r="X634" s="895"/>
      <c r="Y634" s="895"/>
      <c r="Z634" s="895"/>
    </row>
    <row r="635" spans="1:26">
      <c r="A635" s="895"/>
      <c r="B635" s="896"/>
      <c r="C635" s="161"/>
      <c r="D635" s="303"/>
      <c r="E635" s="162"/>
      <c r="F635" s="897"/>
      <c r="G635" s="694"/>
      <c r="H635" s="695"/>
      <c r="I635" s="696"/>
      <c r="J635" s="697"/>
      <c r="K635" s="697"/>
      <c r="L635" s="697"/>
      <c r="M635" s="697"/>
      <c r="N635" s="697"/>
      <c r="O635" s="895"/>
      <c r="P635" s="162"/>
      <c r="Q635" s="161"/>
      <c r="R635" s="161"/>
      <c r="S635" s="697"/>
      <c r="T635" s="937"/>
      <c r="U635" s="895"/>
      <c r="V635" s="895"/>
      <c r="W635" s="895"/>
      <c r="X635" s="895"/>
      <c r="Y635" s="895"/>
      <c r="Z635" s="895"/>
    </row>
    <row r="636" spans="1:26">
      <c r="A636" s="895"/>
      <c r="B636" s="896"/>
      <c r="C636" s="161"/>
      <c r="D636" s="303"/>
      <c r="E636" s="162"/>
      <c r="F636" s="897"/>
      <c r="G636" s="694"/>
      <c r="H636" s="695"/>
      <c r="I636" s="696"/>
      <c r="J636" s="697"/>
      <c r="K636" s="697"/>
      <c r="L636" s="697"/>
      <c r="M636" s="697"/>
      <c r="N636" s="697"/>
      <c r="O636" s="895"/>
      <c r="P636" s="162"/>
      <c r="Q636" s="161"/>
      <c r="R636" s="161"/>
      <c r="S636" s="697"/>
      <c r="T636" s="937"/>
      <c r="U636" s="895"/>
      <c r="V636" s="895"/>
      <c r="W636" s="895"/>
      <c r="X636" s="895"/>
      <c r="Y636" s="895"/>
      <c r="Z636" s="895"/>
    </row>
    <row r="637" spans="1:26">
      <c r="A637" s="895"/>
      <c r="B637" s="896"/>
      <c r="C637" s="161"/>
      <c r="D637" s="303"/>
      <c r="E637" s="162"/>
      <c r="F637" s="897"/>
      <c r="G637" s="694"/>
      <c r="H637" s="695"/>
      <c r="I637" s="696"/>
      <c r="J637" s="697"/>
      <c r="K637" s="697"/>
      <c r="L637" s="697"/>
      <c r="M637" s="697"/>
      <c r="N637" s="697"/>
      <c r="O637" s="895"/>
      <c r="P637" s="162"/>
      <c r="Q637" s="161"/>
      <c r="R637" s="161"/>
      <c r="S637" s="697"/>
      <c r="T637" s="937"/>
      <c r="U637" s="895"/>
      <c r="V637" s="895"/>
      <c r="W637" s="895"/>
      <c r="X637" s="895"/>
      <c r="Y637" s="895"/>
      <c r="Z637" s="895"/>
    </row>
    <row r="638" spans="1:26">
      <c r="A638" s="895"/>
      <c r="B638" s="896"/>
      <c r="C638" s="161"/>
      <c r="D638" s="303"/>
      <c r="E638" s="162"/>
      <c r="F638" s="897"/>
      <c r="G638" s="694"/>
      <c r="H638" s="695"/>
      <c r="I638" s="696"/>
      <c r="J638" s="697"/>
      <c r="K638" s="697"/>
      <c r="L638" s="697"/>
      <c r="M638" s="697"/>
      <c r="N638" s="697"/>
      <c r="O638" s="895"/>
      <c r="P638" s="162"/>
      <c r="Q638" s="161"/>
      <c r="R638" s="161"/>
      <c r="S638" s="697"/>
      <c r="T638" s="937"/>
      <c r="U638" s="895"/>
      <c r="V638" s="895"/>
      <c r="W638" s="895"/>
      <c r="X638" s="895"/>
      <c r="Y638" s="895"/>
      <c r="Z638" s="895"/>
    </row>
    <row r="639" spans="1:26">
      <c r="A639" s="895"/>
      <c r="B639" s="896"/>
      <c r="C639" s="161"/>
      <c r="D639" s="303"/>
      <c r="E639" s="162"/>
      <c r="F639" s="897"/>
      <c r="G639" s="694"/>
      <c r="H639" s="695"/>
      <c r="I639" s="696"/>
      <c r="J639" s="697"/>
      <c r="K639" s="697"/>
      <c r="L639" s="697"/>
      <c r="M639" s="697"/>
      <c r="N639" s="697"/>
      <c r="O639" s="895"/>
      <c r="P639" s="162"/>
      <c r="Q639" s="161"/>
      <c r="R639" s="161"/>
      <c r="S639" s="697"/>
      <c r="T639" s="937"/>
      <c r="U639" s="895"/>
      <c r="V639" s="895"/>
      <c r="W639" s="895"/>
      <c r="X639" s="895"/>
      <c r="Y639" s="895"/>
      <c r="Z639" s="895"/>
    </row>
    <row r="640" spans="1:26">
      <c r="A640" s="895"/>
      <c r="B640" s="896"/>
      <c r="C640" s="161"/>
      <c r="D640" s="303"/>
      <c r="E640" s="162"/>
      <c r="F640" s="897"/>
      <c r="G640" s="694"/>
      <c r="H640" s="695"/>
      <c r="I640" s="696"/>
      <c r="J640" s="697"/>
      <c r="K640" s="697"/>
      <c r="L640" s="697"/>
      <c r="M640" s="697"/>
      <c r="N640" s="697"/>
      <c r="O640" s="895"/>
      <c r="P640" s="162"/>
      <c r="Q640" s="161"/>
      <c r="R640" s="161"/>
      <c r="S640" s="697"/>
      <c r="T640" s="937"/>
      <c r="U640" s="895"/>
      <c r="V640" s="895"/>
      <c r="W640" s="895"/>
      <c r="X640" s="895"/>
      <c r="Y640" s="895"/>
      <c r="Z640" s="895"/>
    </row>
    <row r="641" spans="1:26">
      <c r="A641" s="895"/>
      <c r="B641" s="896"/>
      <c r="C641" s="161"/>
      <c r="D641" s="303"/>
      <c r="E641" s="162"/>
      <c r="F641" s="897"/>
      <c r="G641" s="694"/>
      <c r="H641" s="695"/>
      <c r="I641" s="696"/>
      <c r="J641" s="697"/>
      <c r="K641" s="697"/>
      <c r="L641" s="697"/>
      <c r="M641" s="697"/>
      <c r="N641" s="697"/>
      <c r="O641" s="895"/>
      <c r="P641" s="162"/>
      <c r="Q641" s="161"/>
      <c r="R641" s="161"/>
      <c r="S641" s="697"/>
      <c r="T641" s="937"/>
      <c r="U641" s="895"/>
      <c r="V641" s="895"/>
      <c r="W641" s="895"/>
      <c r="X641" s="895"/>
      <c r="Y641" s="895"/>
      <c r="Z641" s="895"/>
    </row>
    <row r="642" spans="1:26">
      <c r="A642" s="895"/>
      <c r="B642" s="896"/>
      <c r="C642" s="161"/>
      <c r="D642" s="303"/>
      <c r="E642" s="162"/>
      <c r="F642" s="897"/>
      <c r="G642" s="694"/>
      <c r="H642" s="695"/>
      <c r="I642" s="696"/>
      <c r="J642" s="697"/>
      <c r="K642" s="697"/>
      <c r="L642" s="697"/>
      <c r="M642" s="697"/>
      <c r="N642" s="697"/>
      <c r="O642" s="895"/>
      <c r="P642" s="162"/>
      <c r="Q642" s="161"/>
      <c r="R642" s="161"/>
      <c r="S642" s="697"/>
      <c r="T642" s="937"/>
      <c r="U642" s="895"/>
      <c r="V642" s="895"/>
      <c r="W642" s="895"/>
      <c r="X642" s="895"/>
      <c r="Y642" s="895"/>
      <c r="Z642" s="895"/>
    </row>
    <row r="643" spans="1:26">
      <c r="A643" s="895"/>
      <c r="B643" s="896"/>
      <c r="C643" s="161"/>
      <c r="D643" s="303"/>
      <c r="E643" s="162"/>
      <c r="F643" s="897"/>
      <c r="G643" s="694"/>
      <c r="H643" s="695"/>
      <c r="I643" s="696"/>
      <c r="J643" s="697"/>
      <c r="K643" s="697"/>
      <c r="L643" s="697"/>
      <c r="M643" s="697"/>
      <c r="N643" s="697"/>
      <c r="O643" s="895"/>
      <c r="P643" s="162"/>
      <c r="Q643" s="161"/>
      <c r="R643" s="161"/>
      <c r="S643" s="697"/>
      <c r="T643" s="937"/>
      <c r="U643" s="895"/>
      <c r="V643" s="895"/>
      <c r="W643" s="895"/>
      <c r="X643" s="895"/>
      <c r="Y643" s="895"/>
      <c r="Z643" s="895"/>
    </row>
    <row r="644" spans="1:26">
      <c r="A644" s="895"/>
      <c r="B644" s="896"/>
      <c r="C644" s="161"/>
      <c r="D644" s="303"/>
      <c r="E644" s="162"/>
      <c r="F644" s="897"/>
      <c r="G644" s="694"/>
      <c r="H644" s="695"/>
      <c r="I644" s="696"/>
      <c r="J644" s="697"/>
      <c r="K644" s="697"/>
      <c r="L644" s="697"/>
      <c r="M644" s="697"/>
      <c r="N644" s="697"/>
      <c r="O644" s="895"/>
      <c r="P644" s="162"/>
      <c r="Q644" s="161"/>
      <c r="R644" s="161"/>
      <c r="S644" s="697"/>
      <c r="T644" s="937"/>
      <c r="U644" s="895"/>
      <c r="V644" s="895"/>
      <c r="W644" s="895"/>
      <c r="X644" s="895"/>
      <c r="Y644" s="895"/>
      <c r="Z644" s="895"/>
    </row>
    <row r="645" spans="1:26">
      <c r="A645" s="895"/>
      <c r="B645" s="896"/>
      <c r="C645" s="161"/>
      <c r="D645" s="303"/>
      <c r="E645" s="162"/>
      <c r="F645" s="897"/>
      <c r="G645" s="694"/>
      <c r="H645" s="695"/>
      <c r="I645" s="696"/>
      <c r="J645" s="697"/>
      <c r="K645" s="697"/>
      <c r="L645" s="697"/>
      <c r="M645" s="697"/>
      <c r="N645" s="697"/>
      <c r="O645" s="895"/>
      <c r="P645" s="162"/>
      <c r="Q645" s="161"/>
      <c r="R645" s="161"/>
      <c r="S645" s="697"/>
      <c r="T645" s="937"/>
      <c r="U645" s="895"/>
      <c r="V645" s="895"/>
      <c r="W645" s="895"/>
      <c r="X645" s="895"/>
      <c r="Y645" s="895"/>
      <c r="Z645" s="895"/>
    </row>
    <row r="646" spans="1:26">
      <c r="A646" s="895"/>
      <c r="B646" s="896"/>
      <c r="C646" s="161"/>
      <c r="D646" s="303"/>
      <c r="E646" s="162"/>
      <c r="F646" s="897"/>
      <c r="G646" s="694"/>
      <c r="H646" s="695"/>
      <c r="I646" s="696"/>
      <c r="J646" s="697"/>
      <c r="K646" s="697"/>
      <c r="L646" s="697"/>
      <c r="M646" s="697"/>
      <c r="N646" s="697"/>
      <c r="O646" s="895"/>
      <c r="P646" s="162"/>
      <c r="Q646" s="161"/>
      <c r="R646" s="161"/>
      <c r="S646" s="697"/>
      <c r="T646" s="937"/>
      <c r="U646" s="895"/>
      <c r="V646" s="895"/>
      <c r="W646" s="895"/>
      <c r="X646" s="895"/>
      <c r="Y646" s="895"/>
      <c r="Z646" s="895"/>
    </row>
    <row r="647" spans="1:26">
      <c r="A647" s="895"/>
      <c r="B647" s="896"/>
      <c r="C647" s="161"/>
      <c r="D647" s="303"/>
      <c r="E647" s="162"/>
      <c r="F647" s="897"/>
      <c r="G647" s="694"/>
      <c r="H647" s="695"/>
      <c r="I647" s="696"/>
      <c r="J647" s="697"/>
      <c r="K647" s="697"/>
      <c r="L647" s="697"/>
      <c r="M647" s="697"/>
      <c r="N647" s="697"/>
      <c r="O647" s="895"/>
      <c r="P647" s="162"/>
      <c r="Q647" s="161"/>
      <c r="R647" s="161"/>
      <c r="S647" s="697"/>
      <c r="T647" s="937"/>
      <c r="U647" s="895"/>
      <c r="V647" s="895"/>
      <c r="W647" s="895"/>
      <c r="X647" s="895"/>
      <c r="Y647" s="895"/>
      <c r="Z647" s="895"/>
    </row>
    <row r="648" spans="1:26">
      <c r="A648" s="895"/>
      <c r="B648" s="896"/>
      <c r="C648" s="161"/>
      <c r="D648" s="303"/>
      <c r="E648" s="162"/>
      <c r="F648" s="897"/>
      <c r="G648" s="694"/>
      <c r="H648" s="695"/>
      <c r="I648" s="696"/>
      <c r="J648" s="697"/>
      <c r="K648" s="697"/>
      <c r="L648" s="697"/>
      <c r="M648" s="697"/>
      <c r="N648" s="697"/>
      <c r="O648" s="895"/>
      <c r="P648" s="162"/>
      <c r="Q648" s="161"/>
      <c r="R648" s="161"/>
      <c r="S648" s="697"/>
      <c r="T648" s="937"/>
      <c r="U648" s="895"/>
      <c r="V648" s="895"/>
      <c r="W648" s="895"/>
      <c r="X648" s="895"/>
      <c r="Y648" s="895"/>
      <c r="Z648" s="895"/>
    </row>
    <row r="649" spans="1:26">
      <c r="A649" s="895"/>
      <c r="B649" s="896"/>
      <c r="C649" s="161"/>
      <c r="D649" s="303"/>
      <c r="E649" s="162"/>
      <c r="F649" s="897"/>
      <c r="G649" s="694"/>
      <c r="H649" s="695"/>
      <c r="I649" s="696"/>
      <c r="J649" s="697"/>
      <c r="K649" s="697"/>
      <c r="L649" s="697"/>
      <c r="M649" s="697"/>
      <c r="N649" s="697"/>
      <c r="O649" s="895"/>
      <c r="P649" s="162"/>
      <c r="Q649" s="161"/>
      <c r="R649" s="161"/>
      <c r="S649" s="697"/>
      <c r="T649" s="937"/>
      <c r="U649" s="895"/>
      <c r="V649" s="895"/>
      <c r="W649" s="895"/>
      <c r="X649" s="895"/>
      <c r="Y649" s="895"/>
      <c r="Z649" s="895"/>
    </row>
    <row r="650" spans="1:26">
      <c r="A650" s="895"/>
      <c r="B650" s="896"/>
      <c r="C650" s="161"/>
      <c r="D650" s="303"/>
      <c r="E650" s="162"/>
      <c r="F650" s="897"/>
      <c r="G650" s="694"/>
      <c r="H650" s="695"/>
      <c r="I650" s="696"/>
      <c r="J650" s="697"/>
      <c r="K650" s="697"/>
      <c r="L650" s="697"/>
      <c r="M650" s="697"/>
      <c r="N650" s="697"/>
      <c r="O650" s="895"/>
      <c r="P650" s="162"/>
      <c r="Q650" s="161"/>
      <c r="R650" s="161"/>
      <c r="S650" s="697"/>
      <c r="T650" s="937"/>
      <c r="U650" s="895"/>
      <c r="V650" s="895"/>
      <c r="W650" s="895"/>
      <c r="X650" s="895"/>
      <c r="Y650" s="895"/>
      <c r="Z650" s="895"/>
    </row>
    <row r="651" spans="1:26">
      <c r="A651" s="895"/>
      <c r="B651" s="896"/>
      <c r="C651" s="161"/>
      <c r="D651" s="303"/>
      <c r="E651" s="162"/>
      <c r="F651" s="897"/>
      <c r="G651" s="694"/>
      <c r="H651" s="695"/>
      <c r="I651" s="696"/>
      <c r="J651" s="697"/>
      <c r="K651" s="697"/>
      <c r="L651" s="697"/>
      <c r="M651" s="697"/>
      <c r="N651" s="697"/>
      <c r="O651" s="895"/>
      <c r="P651" s="162"/>
      <c r="Q651" s="161"/>
      <c r="R651" s="161"/>
      <c r="S651" s="697"/>
      <c r="T651" s="937"/>
      <c r="U651" s="895"/>
      <c r="V651" s="895"/>
      <c r="W651" s="895"/>
      <c r="X651" s="895"/>
      <c r="Y651" s="895"/>
      <c r="Z651" s="895"/>
    </row>
    <row r="652" spans="1:26">
      <c r="A652" s="895"/>
      <c r="B652" s="896"/>
      <c r="C652" s="161"/>
      <c r="D652" s="303"/>
      <c r="E652" s="162"/>
      <c r="F652" s="897"/>
      <c r="G652" s="694"/>
      <c r="H652" s="695"/>
      <c r="I652" s="696"/>
      <c r="J652" s="697"/>
      <c r="K652" s="697"/>
      <c r="L652" s="697"/>
      <c r="M652" s="697"/>
      <c r="N652" s="697"/>
      <c r="O652" s="895"/>
      <c r="P652" s="162"/>
      <c r="Q652" s="161"/>
      <c r="R652" s="161"/>
      <c r="S652" s="697"/>
      <c r="T652" s="937"/>
      <c r="U652" s="895"/>
      <c r="V652" s="895"/>
      <c r="W652" s="895"/>
      <c r="X652" s="895"/>
      <c r="Y652" s="895"/>
      <c r="Z652" s="895"/>
    </row>
    <row r="653" spans="1:26">
      <c r="A653" s="895"/>
      <c r="B653" s="896"/>
      <c r="C653" s="161"/>
      <c r="D653" s="303"/>
      <c r="E653" s="162"/>
      <c r="F653" s="897"/>
      <c r="G653" s="694"/>
      <c r="H653" s="695"/>
      <c r="I653" s="696"/>
      <c r="J653" s="697"/>
      <c r="K653" s="697"/>
      <c r="L653" s="697"/>
      <c r="M653" s="697"/>
      <c r="N653" s="697"/>
      <c r="O653" s="895"/>
      <c r="P653" s="162"/>
      <c r="Q653" s="161"/>
      <c r="R653" s="161"/>
      <c r="S653" s="697"/>
      <c r="T653" s="937"/>
      <c r="U653" s="895"/>
      <c r="V653" s="895"/>
      <c r="W653" s="895"/>
      <c r="X653" s="895"/>
      <c r="Y653" s="895"/>
      <c r="Z653" s="895"/>
    </row>
    <row r="654" spans="1:26">
      <c r="A654" s="895"/>
      <c r="B654" s="896"/>
      <c r="C654" s="161"/>
      <c r="D654" s="303"/>
      <c r="E654" s="162"/>
      <c r="F654" s="897"/>
      <c r="G654" s="694"/>
      <c r="H654" s="695"/>
      <c r="I654" s="696"/>
      <c r="J654" s="697"/>
      <c r="K654" s="697"/>
      <c r="L654" s="697"/>
      <c r="M654" s="697"/>
      <c r="N654" s="697"/>
      <c r="O654" s="895"/>
      <c r="P654" s="162"/>
      <c r="Q654" s="161"/>
      <c r="R654" s="161"/>
      <c r="S654" s="697"/>
      <c r="T654" s="937"/>
      <c r="U654" s="895"/>
      <c r="V654" s="895"/>
      <c r="W654" s="895"/>
      <c r="X654" s="895"/>
      <c r="Y654" s="895"/>
      <c r="Z654" s="895"/>
    </row>
    <row r="655" spans="1:26">
      <c r="A655" s="895"/>
      <c r="B655" s="896"/>
      <c r="C655" s="161"/>
      <c r="D655" s="303"/>
      <c r="E655" s="162"/>
      <c r="F655" s="897"/>
      <c r="G655" s="694"/>
      <c r="H655" s="695"/>
      <c r="I655" s="696"/>
      <c r="J655" s="697"/>
      <c r="K655" s="697"/>
      <c r="L655" s="697"/>
      <c r="M655" s="697"/>
      <c r="N655" s="697"/>
      <c r="O655" s="895"/>
      <c r="P655" s="162"/>
      <c r="Q655" s="161"/>
      <c r="R655" s="161"/>
      <c r="S655" s="697"/>
      <c r="T655" s="937"/>
      <c r="U655" s="895"/>
      <c r="V655" s="895"/>
      <c r="W655" s="895"/>
      <c r="X655" s="895"/>
      <c r="Y655" s="895"/>
      <c r="Z655" s="895"/>
    </row>
    <row r="656" spans="1:26">
      <c r="A656" s="895"/>
      <c r="B656" s="896"/>
      <c r="C656" s="161"/>
      <c r="D656" s="303"/>
      <c r="E656" s="162"/>
      <c r="F656" s="897"/>
      <c r="G656" s="694"/>
      <c r="H656" s="695"/>
      <c r="I656" s="696"/>
      <c r="J656" s="697"/>
      <c r="K656" s="697"/>
      <c r="L656" s="697"/>
      <c r="M656" s="697"/>
      <c r="N656" s="697"/>
      <c r="O656" s="895"/>
      <c r="P656" s="162"/>
      <c r="Q656" s="161"/>
      <c r="R656" s="161"/>
      <c r="S656" s="697"/>
      <c r="T656" s="937"/>
      <c r="U656" s="895"/>
      <c r="V656" s="895"/>
      <c r="W656" s="895"/>
      <c r="X656" s="895"/>
      <c r="Y656" s="895"/>
      <c r="Z656" s="895"/>
    </row>
    <row r="657" spans="1:26">
      <c r="A657" s="895"/>
      <c r="B657" s="896"/>
      <c r="C657" s="161"/>
      <c r="D657" s="303"/>
      <c r="E657" s="162"/>
      <c r="F657" s="897"/>
      <c r="G657" s="694"/>
      <c r="H657" s="695"/>
      <c r="I657" s="696"/>
      <c r="J657" s="697"/>
      <c r="K657" s="697"/>
      <c r="L657" s="697"/>
      <c r="M657" s="697"/>
      <c r="N657" s="697"/>
      <c r="O657" s="895"/>
      <c r="P657" s="162"/>
      <c r="Q657" s="161"/>
      <c r="R657" s="161"/>
      <c r="S657" s="697"/>
      <c r="T657" s="937"/>
      <c r="U657" s="895"/>
      <c r="V657" s="895"/>
      <c r="W657" s="895"/>
      <c r="X657" s="895"/>
      <c r="Y657" s="895"/>
      <c r="Z657" s="895"/>
    </row>
    <row r="658" spans="1:26">
      <c r="A658" s="895"/>
      <c r="B658" s="896"/>
      <c r="C658" s="161"/>
      <c r="D658" s="303"/>
      <c r="E658" s="162"/>
      <c r="F658" s="897"/>
      <c r="G658" s="694"/>
      <c r="H658" s="695"/>
      <c r="I658" s="696"/>
      <c r="J658" s="697"/>
      <c r="K658" s="697"/>
      <c r="L658" s="697"/>
      <c r="M658" s="697"/>
      <c r="N658" s="697"/>
      <c r="O658" s="895"/>
      <c r="P658" s="162"/>
      <c r="Q658" s="161"/>
      <c r="R658" s="161"/>
      <c r="S658" s="697"/>
      <c r="T658" s="937"/>
      <c r="U658" s="895"/>
      <c r="V658" s="895"/>
      <c r="W658" s="895"/>
      <c r="X658" s="895"/>
      <c r="Y658" s="895"/>
      <c r="Z658" s="895"/>
    </row>
    <row r="659" spans="1:26">
      <c r="A659" s="895"/>
      <c r="B659" s="896"/>
      <c r="C659" s="161"/>
      <c r="D659" s="303"/>
      <c r="E659" s="162"/>
      <c r="F659" s="897"/>
      <c r="G659" s="694"/>
      <c r="H659" s="695"/>
      <c r="I659" s="696"/>
      <c r="J659" s="697"/>
      <c r="K659" s="697"/>
      <c r="L659" s="697"/>
      <c r="M659" s="697"/>
      <c r="N659" s="697"/>
      <c r="O659" s="895"/>
      <c r="P659" s="162"/>
      <c r="Q659" s="161"/>
      <c r="R659" s="161"/>
      <c r="S659" s="697"/>
      <c r="T659" s="937"/>
      <c r="U659" s="895"/>
      <c r="V659" s="895"/>
      <c r="W659" s="895"/>
      <c r="X659" s="895"/>
      <c r="Y659" s="895"/>
      <c r="Z659" s="895"/>
    </row>
    <row r="660" spans="1:26">
      <c r="A660" s="895"/>
      <c r="B660" s="896"/>
      <c r="C660" s="161"/>
      <c r="D660" s="303"/>
      <c r="E660" s="162"/>
      <c r="F660" s="897"/>
      <c r="G660" s="694"/>
      <c r="H660" s="695"/>
      <c r="I660" s="696"/>
      <c r="J660" s="697"/>
      <c r="K660" s="697"/>
      <c r="L660" s="697"/>
      <c r="M660" s="697"/>
      <c r="N660" s="697"/>
      <c r="O660" s="895"/>
      <c r="P660" s="162"/>
      <c r="Q660" s="161"/>
      <c r="R660" s="161"/>
      <c r="S660" s="697"/>
      <c r="T660" s="937"/>
      <c r="U660" s="895"/>
      <c r="V660" s="895"/>
      <c r="W660" s="895"/>
      <c r="X660" s="895"/>
      <c r="Y660" s="895"/>
      <c r="Z660" s="895"/>
    </row>
    <row r="661" spans="1:26">
      <c r="A661" s="895"/>
      <c r="B661" s="896"/>
      <c r="C661" s="161"/>
      <c r="D661" s="303"/>
      <c r="E661" s="162"/>
      <c r="F661" s="897"/>
      <c r="G661" s="694"/>
      <c r="H661" s="695"/>
      <c r="I661" s="696"/>
      <c r="J661" s="697"/>
      <c r="K661" s="697"/>
      <c r="L661" s="697"/>
      <c r="M661" s="697"/>
      <c r="N661" s="697"/>
      <c r="O661" s="895"/>
      <c r="P661" s="162"/>
      <c r="Q661" s="161"/>
      <c r="R661" s="161"/>
      <c r="S661" s="697"/>
      <c r="T661" s="937"/>
      <c r="U661" s="895"/>
      <c r="V661" s="895"/>
      <c r="W661" s="895"/>
      <c r="X661" s="895"/>
      <c r="Y661" s="895"/>
      <c r="Z661" s="895"/>
    </row>
    <row r="662" spans="1:26">
      <c r="A662" s="895"/>
      <c r="B662" s="896"/>
      <c r="C662" s="161"/>
      <c r="D662" s="303"/>
      <c r="E662" s="162"/>
      <c r="F662" s="897"/>
      <c r="G662" s="694"/>
      <c r="H662" s="695"/>
      <c r="I662" s="696"/>
      <c r="J662" s="697"/>
      <c r="K662" s="697"/>
      <c r="L662" s="697"/>
      <c r="M662" s="697"/>
      <c r="N662" s="697"/>
      <c r="O662" s="895"/>
      <c r="P662" s="162"/>
      <c r="Q662" s="161"/>
      <c r="R662" s="161"/>
      <c r="S662" s="697"/>
      <c r="T662" s="937"/>
      <c r="U662" s="895"/>
      <c r="V662" s="895"/>
      <c r="W662" s="895"/>
      <c r="X662" s="895"/>
      <c r="Y662" s="895"/>
      <c r="Z662" s="895"/>
    </row>
    <row r="663" spans="1:26">
      <c r="A663" s="895"/>
      <c r="B663" s="896"/>
      <c r="C663" s="161"/>
      <c r="D663" s="303"/>
      <c r="E663" s="162"/>
      <c r="F663" s="897"/>
      <c r="G663" s="694"/>
      <c r="H663" s="695"/>
      <c r="I663" s="696"/>
      <c r="J663" s="697"/>
      <c r="K663" s="697"/>
      <c r="L663" s="697"/>
      <c r="M663" s="697"/>
      <c r="N663" s="697"/>
      <c r="O663" s="895"/>
      <c r="P663" s="162"/>
      <c r="Q663" s="161"/>
      <c r="R663" s="161"/>
      <c r="S663" s="697"/>
      <c r="T663" s="937"/>
      <c r="U663" s="895"/>
      <c r="V663" s="895"/>
      <c r="W663" s="895"/>
      <c r="X663" s="895"/>
      <c r="Y663" s="895"/>
      <c r="Z663" s="895"/>
    </row>
    <row r="664" spans="1:26">
      <c r="A664" s="895"/>
      <c r="B664" s="896"/>
      <c r="C664" s="161"/>
      <c r="D664" s="303"/>
      <c r="E664" s="162"/>
      <c r="F664" s="897"/>
      <c r="G664" s="694"/>
      <c r="H664" s="695"/>
      <c r="I664" s="696"/>
      <c r="J664" s="697"/>
      <c r="K664" s="697"/>
      <c r="L664" s="697"/>
      <c r="M664" s="697"/>
      <c r="N664" s="697"/>
      <c r="O664" s="895"/>
      <c r="P664" s="162"/>
      <c r="Q664" s="161"/>
      <c r="R664" s="161"/>
      <c r="S664" s="697"/>
      <c r="T664" s="937"/>
      <c r="U664" s="895"/>
      <c r="V664" s="895"/>
      <c r="W664" s="895"/>
      <c r="X664" s="895"/>
      <c r="Y664" s="895"/>
      <c r="Z664" s="895"/>
    </row>
    <row r="665" spans="1:26">
      <c r="A665" s="895"/>
      <c r="B665" s="896"/>
      <c r="C665" s="161"/>
      <c r="D665" s="303"/>
      <c r="E665" s="162"/>
      <c r="F665" s="897"/>
      <c r="G665" s="694"/>
      <c r="H665" s="695"/>
      <c r="I665" s="696"/>
      <c r="J665" s="697"/>
      <c r="K665" s="697"/>
      <c r="L665" s="697"/>
      <c r="M665" s="697"/>
      <c r="N665" s="697"/>
      <c r="O665" s="895"/>
      <c r="P665" s="162"/>
      <c r="Q665" s="161"/>
      <c r="R665" s="161"/>
      <c r="S665" s="697"/>
      <c r="T665" s="937"/>
      <c r="U665" s="895"/>
      <c r="V665" s="895"/>
      <c r="W665" s="895"/>
      <c r="X665" s="895"/>
      <c r="Y665" s="895"/>
      <c r="Z665" s="895"/>
    </row>
    <row r="666" spans="1:26">
      <c r="A666" s="895"/>
      <c r="B666" s="896"/>
      <c r="C666" s="161"/>
      <c r="D666" s="303"/>
      <c r="E666" s="162"/>
      <c r="F666" s="897"/>
      <c r="G666" s="694"/>
      <c r="H666" s="695"/>
      <c r="I666" s="696"/>
      <c r="J666" s="697"/>
      <c r="K666" s="697"/>
      <c r="L666" s="697"/>
      <c r="M666" s="697"/>
      <c r="N666" s="697"/>
      <c r="O666" s="895"/>
      <c r="P666" s="162"/>
      <c r="Q666" s="161"/>
      <c r="R666" s="161"/>
      <c r="S666" s="697"/>
      <c r="T666" s="937"/>
      <c r="U666" s="895"/>
      <c r="V666" s="895"/>
      <c r="W666" s="895"/>
      <c r="X666" s="895"/>
      <c r="Y666" s="895"/>
      <c r="Z666" s="895"/>
    </row>
    <row r="667" spans="1:26">
      <c r="A667" s="895"/>
      <c r="B667" s="896"/>
      <c r="C667" s="161"/>
      <c r="D667" s="303"/>
      <c r="E667" s="162"/>
      <c r="F667" s="897"/>
      <c r="G667" s="694"/>
      <c r="H667" s="695"/>
      <c r="I667" s="696"/>
      <c r="J667" s="697"/>
      <c r="K667" s="697"/>
      <c r="L667" s="697"/>
      <c r="M667" s="697"/>
      <c r="N667" s="697"/>
      <c r="O667" s="895"/>
      <c r="P667" s="162"/>
      <c r="Q667" s="161"/>
      <c r="R667" s="161"/>
      <c r="S667" s="697"/>
      <c r="T667" s="937"/>
      <c r="U667" s="895"/>
      <c r="V667" s="895"/>
      <c r="W667" s="895"/>
      <c r="X667" s="895"/>
      <c r="Y667" s="895"/>
      <c r="Z667" s="895"/>
    </row>
    <row r="668" spans="1:26">
      <c r="A668" s="895"/>
      <c r="B668" s="896"/>
      <c r="C668" s="161"/>
      <c r="D668" s="303"/>
      <c r="E668" s="162"/>
      <c r="F668" s="897"/>
      <c r="G668" s="694"/>
      <c r="H668" s="695"/>
      <c r="I668" s="696"/>
      <c r="J668" s="697"/>
      <c r="K668" s="697"/>
      <c r="L668" s="697"/>
      <c r="M668" s="697"/>
      <c r="N668" s="697"/>
      <c r="O668" s="895"/>
      <c r="P668" s="162"/>
      <c r="Q668" s="161"/>
      <c r="R668" s="161"/>
      <c r="S668" s="697"/>
      <c r="T668" s="937"/>
      <c r="U668" s="895"/>
      <c r="V668" s="895"/>
      <c r="W668" s="895"/>
      <c r="X668" s="895"/>
      <c r="Y668" s="895"/>
      <c r="Z668" s="895"/>
    </row>
    <row r="669" spans="1:26">
      <c r="A669" s="895"/>
      <c r="B669" s="896"/>
      <c r="C669" s="161"/>
      <c r="D669" s="303"/>
      <c r="E669" s="162"/>
      <c r="F669" s="897"/>
      <c r="G669" s="694"/>
      <c r="H669" s="695"/>
      <c r="I669" s="696"/>
      <c r="J669" s="697"/>
      <c r="K669" s="697"/>
      <c r="L669" s="697"/>
      <c r="M669" s="697"/>
      <c r="N669" s="697"/>
      <c r="O669" s="895"/>
      <c r="P669" s="162"/>
      <c r="Q669" s="161"/>
      <c r="R669" s="161"/>
      <c r="S669" s="697"/>
      <c r="T669" s="937"/>
      <c r="U669" s="895"/>
      <c r="V669" s="895"/>
      <c r="W669" s="895"/>
      <c r="X669" s="895"/>
      <c r="Y669" s="895"/>
      <c r="Z669" s="895"/>
    </row>
    <row r="670" spans="1:26">
      <c r="A670" s="895"/>
      <c r="B670" s="896"/>
      <c r="C670" s="161"/>
      <c r="D670" s="303"/>
      <c r="E670" s="162"/>
      <c r="F670" s="897"/>
      <c r="G670" s="694"/>
      <c r="H670" s="695"/>
      <c r="I670" s="696"/>
      <c r="J670" s="697"/>
      <c r="K670" s="697"/>
      <c r="L670" s="697"/>
      <c r="M670" s="697"/>
      <c r="N670" s="697"/>
      <c r="O670" s="895"/>
      <c r="P670" s="162"/>
      <c r="Q670" s="161"/>
      <c r="R670" s="161"/>
      <c r="S670" s="697"/>
      <c r="T670" s="937"/>
      <c r="U670" s="895"/>
      <c r="V670" s="895"/>
      <c r="W670" s="895"/>
      <c r="X670" s="895"/>
      <c r="Y670" s="895"/>
      <c r="Z670" s="895"/>
    </row>
    <row r="671" spans="1:26">
      <c r="A671" s="895"/>
      <c r="B671" s="896"/>
      <c r="C671" s="161"/>
      <c r="D671" s="303"/>
      <c r="E671" s="162"/>
      <c r="F671" s="897"/>
      <c r="G671" s="694"/>
      <c r="H671" s="695"/>
      <c r="I671" s="696"/>
      <c r="J671" s="697"/>
      <c r="K671" s="697"/>
      <c r="L671" s="697"/>
      <c r="M671" s="697"/>
      <c r="N671" s="697"/>
      <c r="O671" s="895"/>
      <c r="P671" s="162"/>
      <c r="Q671" s="161"/>
      <c r="R671" s="161"/>
      <c r="S671" s="697"/>
      <c r="T671" s="937"/>
      <c r="U671" s="895"/>
      <c r="V671" s="895"/>
      <c r="W671" s="895"/>
      <c r="X671" s="895"/>
      <c r="Y671" s="895"/>
      <c r="Z671" s="895"/>
    </row>
    <row r="672" spans="1:26">
      <c r="A672" s="895"/>
      <c r="B672" s="896"/>
      <c r="C672" s="161"/>
      <c r="D672" s="303"/>
      <c r="E672" s="162"/>
      <c r="F672" s="897"/>
      <c r="G672" s="694"/>
      <c r="H672" s="695"/>
      <c r="I672" s="696"/>
      <c r="J672" s="697"/>
      <c r="K672" s="697"/>
      <c r="L672" s="697"/>
      <c r="M672" s="697"/>
      <c r="N672" s="697"/>
      <c r="O672" s="895"/>
      <c r="P672" s="162"/>
      <c r="Q672" s="161"/>
      <c r="R672" s="161"/>
      <c r="S672" s="697"/>
      <c r="T672" s="937"/>
      <c r="U672" s="895"/>
      <c r="V672" s="895"/>
      <c r="W672" s="895"/>
      <c r="X672" s="895"/>
      <c r="Y672" s="895"/>
      <c r="Z672" s="895"/>
    </row>
    <row r="673" spans="1:26">
      <c r="A673" s="895"/>
      <c r="B673" s="896"/>
      <c r="C673" s="161"/>
      <c r="D673" s="303"/>
      <c r="E673" s="162"/>
      <c r="F673" s="897"/>
      <c r="G673" s="694"/>
      <c r="H673" s="695"/>
      <c r="I673" s="696"/>
      <c r="J673" s="697"/>
      <c r="K673" s="697"/>
      <c r="L673" s="697"/>
      <c r="M673" s="697"/>
      <c r="N673" s="697"/>
      <c r="O673" s="895"/>
      <c r="P673" s="162"/>
      <c r="Q673" s="161"/>
      <c r="R673" s="161"/>
      <c r="S673" s="697"/>
      <c r="T673" s="937"/>
      <c r="U673" s="895"/>
      <c r="V673" s="895"/>
      <c r="W673" s="895"/>
      <c r="X673" s="895"/>
      <c r="Y673" s="895"/>
      <c r="Z673" s="895"/>
    </row>
    <row r="674" spans="1:26">
      <c r="A674" s="895"/>
      <c r="B674" s="896"/>
      <c r="C674" s="161"/>
      <c r="D674" s="303"/>
      <c r="E674" s="162"/>
      <c r="F674" s="897"/>
      <c r="G674" s="694"/>
      <c r="H674" s="695"/>
      <c r="I674" s="696"/>
      <c r="J674" s="697"/>
      <c r="K674" s="697"/>
      <c r="L674" s="697"/>
      <c r="M674" s="697"/>
      <c r="N674" s="697"/>
      <c r="O674" s="895"/>
      <c r="P674" s="162"/>
      <c r="Q674" s="161"/>
      <c r="R674" s="161"/>
      <c r="S674" s="697"/>
      <c r="T674" s="937"/>
      <c r="U674" s="895"/>
      <c r="V674" s="895"/>
      <c r="W674" s="895"/>
      <c r="X674" s="895"/>
      <c r="Y674" s="895"/>
      <c r="Z674" s="895"/>
    </row>
    <row r="675" spans="1:26">
      <c r="A675" s="895"/>
      <c r="B675" s="896"/>
      <c r="C675" s="161"/>
      <c r="D675" s="303"/>
      <c r="E675" s="162"/>
      <c r="F675" s="897"/>
      <c r="G675" s="694"/>
      <c r="H675" s="695"/>
      <c r="I675" s="696"/>
      <c r="J675" s="697"/>
      <c r="K675" s="697"/>
      <c r="L675" s="697"/>
      <c r="M675" s="697"/>
      <c r="N675" s="697"/>
      <c r="O675" s="895"/>
      <c r="P675" s="162"/>
      <c r="Q675" s="161"/>
      <c r="R675" s="161"/>
      <c r="S675" s="697"/>
      <c r="T675" s="937"/>
      <c r="U675" s="895"/>
      <c r="V675" s="895"/>
      <c r="W675" s="895"/>
      <c r="X675" s="895"/>
      <c r="Y675" s="895"/>
      <c r="Z675" s="895"/>
    </row>
    <row r="676" spans="1:26">
      <c r="A676" s="895"/>
      <c r="B676" s="896"/>
      <c r="C676" s="161"/>
      <c r="D676" s="303"/>
      <c r="E676" s="162"/>
      <c r="F676" s="897"/>
      <c r="G676" s="694"/>
      <c r="H676" s="695"/>
      <c r="I676" s="696"/>
      <c r="J676" s="697"/>
      <c r="K676" s="697"/>
      <c r="L676" s="697"/>
      <c r="M676" s="697"/>
      <c r="N676" s="697"/>
      <c r="O676" s="895"/>
      <c r="P676" s="162"/>
      <c r="Q676" s="161"/>
      <c r="R676" s="161"/>
      <c r="S676" s="697"/>
      <c r="T676" s="937"/>
      <c r="U676" s="895"/>
      <c r="V676" s="895"/>
      <c r="W676" s="895"/>
      <c r="X676" s="895"/>
      <c r="Y676" s="895"/>
      <c r="Z676" s="895"/>
    </row>
    <row r="677" spans="1:26">
      <c r="A677" s="895"/>
      <c r="B677" s="896"/>
      <c r="C677" s="161"/>
      <c r="D677" s="303"/>
      <c r="E677" s="162"/>
      <c r="F677" s="897"/>
      <c r="G677" s="694"/>
      <c r="H677" s="695"/>
      <c r="I677" s="696"/>
      <c r="J677" s="697"/>
      <c r="K677" s="697"/>
      <c r="L677" s="697"/>
      <c r="M677" s="697"/>
      <c r="N677" s="697"/>
      <c r="O677" s="895"/>
      <c r="P677" s="162"/>
      <c r="Q677" s="161"/>
      <c r="R677" s="161"/>
      <c r="S677" s="697"/>
      <c r="T677" s="937"/>
      <c r="U677" s="895"/>
      <c r="V677" s="895"/>
      <c r="W677" s="895"/>
      <c r="X677" s="895"/>
      <c r="Y677" s="895"/>
      <c r="Z677" s="895"/>
    </row>
    <row r="678" spans="1:26">
      <c r="A678" s="895"/>
      <c r="B678" s="896"/>
      <c r="C678" s="161"/>
      <c r="D678" s="303"/>
      <c r="E678" s="162"/>
      <c r="F678" s="897"/>
      <c r="G678" s="694"/>
      <c r="H678" s="695"/>
      <c r="I678" s="696"/>
      <c r="J678" s="697"/>
      <c r="K678" s="697"/>
      <c r="L678" s="697"/>
      <c r="M678" s="697"/>
      <c r="N678" s="697"/>
      <c r="O678" s="895"/>
      <c r="P678" s="162"/>
      <c r="Q678" s="161"/>
      <c r="R678" s="161"/>
      <c r="S678" s="697"/>
      <c r="T678" s="937"/>
      <c r="U678" s="895"/>
      <c r="V678" s="895"/>
      <c r="W678" s="895"/>
      <c r="X678" s="895"/>
      <c r="Y678" s="895"/>
      <c r="Z678" s="895"/>
    </row>
    <row r="679" spans="1:26">
      <c r="A679" s="895"/>
      <c r="B679" s="896"/>
      <c r="C679" s="161"/>
      <c r="D679" s="303"/>
      <c r="E679" s="162"/>
      <c r="F679" s="897"/>
      <c r="G679" s="694"/>
      <c r="H679" s="695"/>
      <c r="I679" s="696"/>
      <c r="J679" s="697"/>
      <c r="K679" s="697"/>
      <c r="L679" s="697"/>
      <c r="M679" s="697"/>
      <c r="N679" s="697"/>
      <c r="O679" s="895"/>
      <c r="P679" s="162"/>
      <c r="Q679" s="161"/>
      <c r="R679" s="161"/>
      <c r="S679" s="697"/>
      <c r="T679" s="937"/>
      <c r="U679" s="895"/>
      <c r="V679" s="895"/>
      <c r="W679" s="895"/>
      <c r="X679" s="895"/>
      <c r="Y679" s="895"/>
      <c r="Z679" s="895"/>
    </row>
    <row r="680" spans="1:26">
      <c r="A680" s="895"/>
      <c r="B680" s="896"/>
      <c r="C680" s="161"/>
      <c r="D680" s="303"/>
      <c r="E680" s="162"/>
      <c r="F680" s="897"/>
      <c r="G680" s="694"/>
      <c r="H680" s="695"/>
      <c r="I680" s="696"/>
      <c r="J680" s="697"/>
      <c r="K680" s="697"/>
      <c r="L680" s="697"/>
      <c r="M680" s="697"/>
      <c r="N680" s="697"/>
      <c r="O680" s="895"/>
      <c r="P680" s="162"/>
      <c r="Q680" s="161"/>
      <c r="R680" s="161"/>
      <c r="S680" s="697"/>
      <c r="T680" s="937"/>
      <c r="U680" s="895"/>
      <c r="V680" s="895"/>
      <c r="W680" s="895"/>
      <c r="X680" s="895"/>
      <c r="Y680" s="895"/>
      <c r="Z680" s="895"/>
    </row>
    <row r="681" spans="1:26">
      <c r="A681" s="895"/>
      <c r="B681" s="896"/>
      <c r="C681" s="161"/>
      <c r="D681" s="303"/>
      <c r="E681" s="162"/>
      <c r="F681" s="897"/>
      <c r="G681" s="694"/>
      <c r="H681" s="695"/>
      <c r="I681" s="696"/>
      <c r="J681" s="697"/>
      <c r="K681" s="697"/>
      <c r="L681" s="697"/>
      <c r="M681" s="697"/>
      <c r="N681" s="697"/>
      <c r="O681" s="895"/>
      <c r="P681" s="162"/>
      <c r="Q681" s="161"/>
      <c r="R681" s="161"/>
      <c r="S681" s="697"/>
      <c r="T681" s="937"/>
      <c r="U681" s="895"/>
      <c r="V681" s="895"/>
      <c r="W681" s="895"/>
      <c r="X681" s="895"/>
      <c r="Y681" s="895"/>
      <c r="Z681" s="895"/>
    </row>
    <row r="682" spans="1:26">
      <c r="A682" s="895"/>
      <c r="B682" s="896"/>
      <c r="C682" s="161"/>
      <c r="D682" s="303"/>
      <c r="E682" s="162"/>
      <c r="F682" s="897"/>
      <c r="G682" s="694"/>
      <c r="H682" s="695"/>
      <c r="I682" s="696"/>
      <c r="J682" s="697"/>
      <c r="K682" s="697"/>
      <c r="L682" s="697"/>
      <c r="M682" s="697"/>
      <c r="N682" s="697"/>
      <c r="O682" s="895"/>
      <c r="P682" s="162"/>
      <c r="Q682" s="161"/>
      <c r="R682" s="161"/>
      <c r="S682" s="697"/>
      <c r="T682" s="937"/>
      <c r="U682" s="895"/>
      <c r="V682" s="895"/>
      <c r="W682" s="895"/>
      <c r="X682" s="895"/>
      <c r="Y682" s="895"/>
      <c r="Z682" s="895"/>
    </row>
    <row r="683" spans="1:26">
      <c r="A683" s="895"/>
      <c r="B683" s="896"/>
      <c r="C683" s="161"/>
      <c r="D683" s="303"/>
      <c r="E683" s="162"/>
      <c r="F683" s="897"/>
      <c r="G683" s="694"/>
      <c r="H683" s="695"/>
      <c r="I683" s="696"/>
      <c r="J683" s="697"/>
      <c r="K683" s="697"/>
      <c r="L683" s="697"/>
      <c r="M683" s="697"/>
      <c r="N683" s="697"/>
      <c r="O683" s="895"/>
      <c r="P683" s="162"/>
      <c r="Q683" s="161"/>
      <c r="R683" s="161"/>
      <c r="S683" s="697"/>
      <c r="T683" s="937"/>
      <c r="U683" s="895"/>
      <c r="V683" s="895"/>
      <c r="W683" s="895"/>
      <c r="X683" s="895"/>
      <c r="Y683" s="895"/>
      <c r="Z683" s="895"/>
    </row>
    <row r="684" spans="1:26">
      <c r="A684" s="895"/>
      <c r="B684" s="896"/>
      <c r="C684" s="161"/>
      <c r="D684" s="303"/>
      <c r="E684" s="162"/>
      <c r="F684" s="897"/>
      <c r="G684" s="694"/>
      <c r="H684" s="695"/>
      <c r="I684" s="696"/>
      <c r="J684" s="697"/>
      <c r="K684" s="697"/>
      <c r="L684" s="697"/>
      <c r="M684" s="697"/>
      <c r="N684" s="697"/>
      <c r="O684" s="895"/>
      <c r="P684" s="162"/>
      <c r="Q684" s="161"/>
      <c r="R684" s="161"/>
      <c r="S684" s="697"/>
      <c r="T684" s="937"/>
      <c r="U684" s="895"/>
      <c r="V684" s="895"/>
      <c r="W684" s="895"/>
      <c r="X684" s="895"/>
      <c r="Y684" s="895"/>
      <c r="Z684" s="895"/>
    </row>
    <row r="685" spans="1:26">
      <c r="A685" s="895"/>
      <c r="B685" s="896"/>
      <c r="C685" s="161"/>
      <c r="D685" s="303"/>
      <c r="E685" s="162"/>
      <c r="F685" s="897"/>
      <c r="G685" s="694"/>
      <c r="H685" s="695"/>
      <c r="I685" s="696"/>
      <c r="J685" s="697"/>
      <c r="K685" s="697"/>
      <c r="L685" s="697"/>
      <c r="M685" s="697"/>
      <c r="N685" s="697"/>
      <c r="O685" s="895"/>
      <c r="P685" s="162"/>
      <c r="Q685" s="161"/>
      <c r="R685" s="161"/>
      <c r="S685" s="697"/>
      <c r="T685" s="937"/>
      <c r="U685" s="895"/>
      <c r="V685" s="895"/>
      <c r="W685" s="895"/>
      <c r="X685" s="895"/>
      <c r="Y685" s="895"/>
      <c r="Z685" s="895"/>
    </row>
    <row r="686" spans="1:26">
      <c r="A686" s="895"/>
      <c r="B686" s="896"/>
      <c r="C686" s="161"/>
      <c r="D686" s="303"/>
      <c r="E686" s="162"/>
      <c r="F686" s="897"/>
      <c r="G686" s="694"/>
      <c r="H686" s="695"/>
      <c r="I686" s="696"/>
      <c r="J686" s="697"/>
      <c r="K686" s="697"/>
      <c r="L686" s="697"/>
      <c r="M686" s="697"/>
      <c r="N686" s="697"/>
      <c r="O686" s="895"/>
      <c r="P686" s="162"/>
      <c r="Q686" s="161"/>
      <c r="R686" s="161"/>
      <c r="S686" s="697"/>
      <c r="T686" s="937"/>
      <c r="U686" s="895"/>
      <c r="V686" s="895"/>
      <c r="W686" s="895"/>
      <c r="X686" s="895"/>
      <c r="Y686" s="895"/>
      <c r="Z686" s="895"/>
    </row>
    <row r="687" spans="1:26">
      <c r="A687" s="895"/>
      <c r="B687" s="896"/>
      <c r="C687" s="161"/>
      <c r="D687" s="303"/>
      <c r="E687" s="162"/>
      <c r="F687" s="897"/>
      <c r="G687" s="694"/>
      <c r="H687" s="695"/>
      <c r="I687" s="696"/>
      <c r="J687" s="697"/>
      <c r="K687" s="697"/>
      <c r="L687" s="697"/>
      <c r="M687" s="697"/>
      <c r="N687" s="697"/>
      <c r="O687" s="895"/>
      <c r="P687" s="162"/>
      <c r="Q687" s="161"/>
      <c r="R687" s="161"/>
      <c r="S687" s="697"/>
      <c r="T687" s="937"/>
      <c r="U687" s="895"/>
      <c r="V687" s="895"/>
      <c r="W687" s="895"/>
      <c r="X687" s="895"/>
      <c r="Y687" s="895"/>
      <c r="Z687" s="895"/>
    </row>
    <row r="688" spans="1:26">
      <c r="A688" s="895"/>
      <c r="B688" s="896"/>
      <c r="C688" s="161"/>
      <c r="D688" s="303"/>
      <c r="E688" s="162"/>
      <c r="F688" s="897"/>
      <c r="G688" s="694"/>
      <c r="H688" s="695"/>
      <c r="I688" s="696"/>
      <c r="J688" s="697"/>
      <c r="K688" s="697"/>
      <c r="L688" s="697"/>
      <c r="M688" s="697"/>
      <c r="N688" s="697"/>
      <c r="O688" s="895"/>
      <c r="P688" s="162"/>
      <c r="Q688" s="161"/>
      <c r="R688" s="161"/>
      <c r="S688" s="697"/>
      <c r="T688" s="937"/>
      <c r="U688" s="895"/>
      <c r="V688" s="895"/>
      <c r="W688" s="895"/>
      <c r="X688" s="895"/>
      <c r="Y688" s="895"/>
      <c r="Z688" s="895"/>
    </row>
    <row r="689" spans="1:26">
      <c r="A689" s="895"/>
      <c r="B689" s="896"/>
      <c r="C689" s="161"/>
      <c r="D689" s="303"/>
      <c r="E689" s="162"/>
      <c r="F689" s="897"/>
      <c r="G689" s="694"/>
      <c r="H689" s="695"/>
      <c r="I689" s="696"/>
      <c r="J689" s="697"/>
      <c r="K689" s="697"/>
      <c r="L689" s="697"/>
      <c r="M689" s="697"/>
      <c r="N689" s="697"/>
      <c r="O689" s="895"/>
      <c r="P689" s="162"/>
      <c r="Q689" s="161"/>
      <c r="R689" s="161"/>
      <c r="S689" s="697"/>
      <c r="T689" s="937"/>
      <c r="U689" s="895"/>
      <c r="V689" s="895"/>
      <c r="W689" s="895"/>
      <c r="X689" s="895"/>
      <c r="Y689" s="895"/>
      <c r="Z689" s="895"/>
    </row>
    <row r="690" spans="1:26">
      <c r="A690" s="895"/>
      <c r="B690" s="896"/>
      <c r="C690" s="161"/>
      <c r="D690" s="303"/>
      <c r="E690" s="162"/>
      <c r="F690" s="897"/>
      <c r="G690" s="694"/>
      <c r="H690" s="695"/>
      <c r="I690" s="696"/>
      <c r="J690" s="697"/>
      <c r="K690" s="697"/>
      <c r="L690" s="697"/>
      <c r="M690" s="697"/>
      <c r="N690" s="697"/>
      <c r="O690" s="895"/>
      <c r="P690" s="162"/>
      <c r="Q690" s="161"/>
      <c r="R690" s="161"/>
      <c r="S690" s="697"/>
      <c r="T690" s="937"/>
      <c r="U690" s="895"/>
      <c r="V690" s="895"/>
      <c r="W690" s="895"/>
      <c r="X690" s="895"/>
      <c r="Y690" s="895"/>
      <c r="Z690" s="895"/>
    </row>
    <row r="691" spans="1:26">
      <c r="A691" s="895"/>
      <c r="B691" s="896"/>
      <c r="C691" s="161"/>
      <c r="D691" s="303"/>
      <c r="E691" s="162"/>
      <c r="F691" s="897"/>
      <c r="G691" s="694"/>
      <c r="H691" s="695"/>
      <c r="I691" s="696"/>
      <c r="J691" s="697"/>
      <c r="K691" s="697"/>
      <c r="L691" s="697"/>
      <c r="M691" s="697"/>
      <c r="N691" s="697"/>
      <c r="O691" s="895"/>
      <c r="P691" s="162"/>
      <c r="Q691" s="161"/>
      <c r="R691" s="161"/>
      <c r="S691" s="697"/>
      <c r="T691" s="937"/>
      <c r="U691" s="895"/>
      <c r="V691" s="895"/>
      <c r="W691" s="895"/>
      <c r="X691" s="895"/>
      <c r="Y691" s="895"/>
      <c r="Z691" s="895"/>
    </row>
    <row r="692" spans="1:26">
      <c r="A692" s="895"/>
      <c r="B692" s="896"/>
      <c r="C692" s="161"/>
      <c r="D692" s="303"/>
      <c r="E692" s="162"/>
      <c r="F692" s="897"/>
      <c r="G692" s="694"/>
      <c r="H692" s="695"/>
      <c r="I692" s="696"/>
      <c r="J692" s="697"/>
      <c r="K692" s="697"/>
      <c r="L692" s="697"/>
      <c r="M692" s="697"/>
      <c r="N692" s="697"/>
      <c r="O692" s="895"/>
      <c r="P692" s="162"/>
      <c r="Q692" s="161"/>
      <c r="R692" s="161"/>
      <c r="S692" s="697"/>
      <c r="T692" s="937"/>
      <c r="U692" s="895"/>
      <c r="V692" s="895"/>
      <c r="W692" s="895"/>
      <c r="X692" s="895"/>
      <c r="Y692" s="895"/>
      <c r="Z692" s="895"/>
    </row>
    <row r="693" spans="1:26">
      <c r="A693" s="895"/>
      <c r="B693" s="896"/>
      <c r="C693" s="161"/>
      <c r="D693" s="303"/>
      <c r="E693" s="162"/>
      <c r="F693" s="897"/>
      <c r="G693" s="694"/>
      <c r="H693" s="695"/>
      <c r="I693" s="696"/>
      <c r="J693" s="697"/>
      <c r="K693" s="697"/>
      <c r="L693" s="697"/>
      <c r="M693" s="697"/>
      <c r="N693" s="697"/>
      <c r="O693" s="895"/>
      <c r="P693" s="162"/>
      <c r="Q693" s="161"/>
      <c r="R693" s="161"/>
      <c r="S693" s="697"/>
      <c r="T693" s="937"/>
      <c r="U693" s="895"/>
      <c r="V693" s="895"/>
      <c r="W693" s="895"/>
      <c r="X693" s="895"/>
      <c r="Y693" s="895"/>
      <c r="Z693" s="895"/>
    </row>
    <row r="694" spans="1:26">
      <c r="A694" s="895"/>
      <c r="B694" s="896"/>
      <c r="C694" s="161"/>
      <c r="D694" s="303"/>
      <c r="E694" s="162"/>
      <c r="F694" s="897"/>
      <c r="G694" s="694"/>
      <c r="H694" s="695"/>
      <c r="I694" s="696"/>
      <c r="J694" s="697"/>
      <c r="K694" s="697"/>
      <c r="L694" s="697"/>
      <c r="M694" s="697"/>
      <c r="N694" s="697"/>
      <c r="O694" s="895"/>
      <c r="P694" s="162"/>
      <c r="Q694" s="161"/>
      <c r="R694" s="161"/>
      <c r="S694" s="697"/>
      <c r="T694" s="937"/>
      <c r="U694" s="895"/>
      <c r="V694" s="895"/>
      <c r="W694" s="895"/>
      <c r="X694" s="895"/>
      <c r="Y694" s="895"/>
      <c r="Z694" s="895"/>
    </row>
    <row r="695" spans="1:26">
      <c r="A695" s="895"/>
      <c r="B695" s="896"/>
      <c r="C695" s="161"/>
      <c r="D695" s="303"/>
      <c r="E695" s="162"/>
      <c r="F695" s="897"/>
      <c r="G695" s="694"/>
      <c r="H695" s="695"/>
      <c r="I695" s="696"/>
      <c r="J695" s="697"/>
      <c r="K695" s="697"/>
      <c r="L695" s="697"/>
      <c r="M695" s="697"/>
      <c r="N695" s="697"/>
      <c r="O695" s="895"/>
      <c r="P695" s="162"/>
      <c r="Q695" s="161"/>
      <c r="R695" s="161"/>
      <c r="S695" s="697"/>
      <c r="T695" s="937"/>
      <c r="U695" s="895"/>
      <c r="V695" s="895"/>
      <c r="W695" s="895"/>
      <c r="X695" s="895"/>
      <c r="Y695" s="895"/>
      <c r="Z695" s="895"/>
    </row>
    <row r="696" spans="1:26">
      <c r="A696" s="895"/>
      <c r="B696" s="896"/>
      <c r="C696" s="161"/>
      <c r="D696" s="303"/>
      <c r="E696" s="162"/>
      <c r="F696" s="897"/>
      <c r="G696" s="694"/>
      <c r="H696" s="695"/>
      <c r="I696" s="696"/>
      <c r="J696" s="697"/>
      <c r="K696" s="697"/>
      <c r="L696" s="697"/>
      <c r="M696" s="697"/>
      <c r="N696" s="697"/>
      <c r="O696" s="895"/>
      <c r="P696" s="162"/>
      <c r="Q696" s="161"/>
      <c r="R696" s="161"/>
      <c r="S696" s="697"/>
      <c r="T696" s="937"/>
      <c r="U696" s="895"/>
      <c r="V696" s="895"/>
      <c r="W696" s="895"/>
      <c r="X696" s="895"/>
      <c r="Y696" s="895"/>
      <c r="Z696" s="895"/>
    </row>
    <row r="697" spans="1:26">
      <c r="A697" s="895"/>
      <c r="B697" s="896"/>
      <c r="C697" s="161"/>
      <c r="D697" s="303"/>
      <c r="E697" s="162"/>
      <c r="F697" s="897"/>
      <c r="G697" s="694"/>
      <c r="H697" s="695"/>
      <c r="I697" s="696"/>
      <c r="J697" s="697"/>
      <c r="K697" s="697"/>
      <c r="L697" s="697"/>
      <c r="M697" s="697"/>
      <c r="N697" s="697"/>
      <c r="O697" s="895"/>
      <c r="P697" s="162"/>
      <c r="Q697" s="161"/>
      <c r="R697" s="161"/>
      <c r="S697" s="697"/>
      <c r="T697" s="937"/>
      <c r="U697" s="895"/>
      <c r="V697" s="895"/>
      <c r="W697" s="895"/>
      <c r="X697" s="895"/>
      <c r="Y697" s="895"/>
      <c r="Z697" s="895"/>
    </row>
    <row r="698" spans="1:26">
      <c r="A698" s="895"/>
      <c r="B698" s="896"/>
      <c r="C698" s="161"/>
      <c r="D698" s="303"/>
      <c r="E698" s="162"/>
      <c r="F698" s="897"/>
      <c r="G698" s="694"/>
      <c r="H698" s="695"/>
      <c r="I698" s="696"/>
      <c r="J698" s="697"/>
      <c r="K698" s="697"/>
      <c r="L698" s="697"/>
      <c r="M698" s="697"/>
      <c r="N698" s="697"/>
      <c r="O698" s="895"/>
      <c r="P698" s="162"/>
      <c r="Q698" s="161"/>
      <c r="R698" s="161"/>
      <c r="S698" s="697"/>
      <c r="T698" s="937"/>
      <c r="U698" s="895"/>
      <c r="V698" s="895"/>
      <c r="W698" s="895"/>
      <c r="X698" s="895"/>
      <c r="Y698" s="895"/>
      <c r="Z698" s="895"/>
    </row>
    <row r="699" spans="1:26">
      <c r="A699" s="895"/>
      <c r="B699" s="896"/>
      <c r="C699" s="161"/>
      <c r="D699" s="303"/>
      <c r="E699" s="162"/>
      <c r="F699" s="897"/>
      <c r="G699" s="694"/>
      <c r="H699" s="695"/>
      <c r="I699" s="696"/>
      <c r="J699" s="697"/>
      <c r="K699" s="697"/>
      <c r="L699" s="697"/>
      <c r="M699" s="697"/>
      <c r="N699" s="697"/>
      <c r="O699" s="895"/>
      <c r="P699" s="162"/>
      <c r="Q699" s="161"/>
      <c r="R699" s="161"/>
      <c r="S699" s="697"/>
      <c r="T699" s="937"/>
      <c r="U699" s="895"/>
      <c r="V699" s="895"/>
      <c r="W699" s="895"/>
      <c r="X699" s="895"/>
      <c r="Y699" s="895"/>
      <c r="Z699" s="895"/>
    </row>
    <row r="700" spans="1:26">
      <c r="A700" s="895"/>
      <c r="B700" s="896"/>
      <c r="C700" s="161"/>
      <c r="D700" s="303"/>
      <c r="E700" s="162"/>
      <c r="F700" s="897"/>
      <c r="G700" s="694"/>
      <c r="H700" s="695"/>
      <c r="I700" s="696"/>
      <c r="J700" s="697"/>
      <c r="K700" s="697"/>
      <c r="L700" s="697"/>
      <c r="M700" s="697"/>
      <c r="N700" s="697"/>
      <c r="O700" s="895"/>
      <c r="P700" s="162"/>
      <c r="Q700" s="161"/>
      <c r="R700" s="161"/>
      <c r="S700" s="697"/>
      <c r="T700" s="937"/>
      <c r="U700" s="895"/>
      <c r="V700" s="895"/>
      <c r="W700" s="895"/>
      <c r="X700" s="895"/>
      <c r="Y700" s="895"/>
      <c r="Z700" s="895"/>
    </row>
    <row r="701" spans="1:26">
      <c r="A701" s="895"/>
      <c r="B701" s="896"/>
      <c r="C701" s="161"/>
      <c r="D701" s="303"/>
      <c r="E701" s="162"/>
      <c r="F701" s="897"/>
      <c r="G701" s="694"/>
      <c r="H701" s="695"/>
      <c r="I701" s="696"/>
      <c r="J701" s="697"/>
      <c r="K701" s="697"/>
      <c r="L701" s="697"/>
      <c r="M701" s="697"/>
      <c r="N701" s="697"/>
      <c r="O701" s="895"/>
      <c r="P701" s="162"/>
      <c r="Q701" s="161"/>
      <c r="R701" s="161"/>
      <c r="S701" s="697"/>
      <c r="T701" s="937"/>
      <c r="U701" s="895"/>
      <c r="V701" s="895"/>
      <c r="W701" s="895"/>
      <c r="X701" s="895"/>
      <c r="Y701" s="895"/>
      <c r="Z701" s="895"/>
    </row>
    <row r="702" spans="1:26">
      <c r="A702" s="895"/>
      <c r="B702" s="896"/>
      <c r="C702" s="161"/>
      <c r="D702" s="303"/>
      <c r="E702" s="162"/>
      <c r="F702" s="897"/>
      <c r="G702" s="694"/>
      <c r="H702" s="695"/>
      <c r="I702" s="696"/>
      <c r="J702" s="697"/>
      <c r="K702" s="697"/>
      <c r="L702" s="697"/>
      <c r="M702" s="697"/>
      <c r="N702" s="697"/>
      <c r="O702" s="895"/>
      <c r="P702" s="162"/>
      <c r="Q702" s="161"/>
      <c r="R702" s="161"/>
      <c r="S702" s="697"/>
      <c r="T702" s="937"/>
      <c r="U702" s="895"/>
      <c r="V702" s="895"/>
      <c r="W702" s="895"/>
      <c r="X702" s="895"/>
      <c r="Y702" s="895"/>
      <c r="Z702" s="895"/>
    </row>
    <row r="703" spans="1:26">
      <c r="A703" s="895"/>
      <c r="B703" s="896"/>
      <c r="C703" s="161"/>
      <c r="D703" s="303"/>
      <c r="E703" s="162"/>
      <c r="F703" s="897"/>
      <c r="G703" s="694"/>
      <c r="H703" s="695"/>
      <c r="I703" s="696"/>
      <c r="J703" s="697"/>
      <c r="K703" s="697"/>
      <c r="L703" s="697"/>
      <c r="M703" s="697"/>
      <c r="N703" s="697"/>
      <c r="O703" s="895"/>
      <c r="P703" s="162"/>
      <c r="Q703" s="161"/>
      <c r="R703" s="161"/>
      <c r="S703" s="697"/>
      <c r="T703" s="937"/>
      <c r="U703" s="895"/>
      <c r="V703" s="895"/>
      <c r="W703" s="895"/>
      <c r="X703" s="895"/>
      <c r="Y703" s="895"/>
      <c r="Z703" s="895"/>
    </row>
    <row r="704" spans="1:26">
      <c r="A704" s="895"/>
      <c r="B704" s="896"/>
      <c r="C704" s="161"/>
      <c r="D704" s="303"/>
      <c r="E704" s="162"/>
      <c r="F704" s="897"/>
      <c r="G704" s="694"/>
      <c r="H704" s="695"/>
      <c r="I704" s="696"/>
      <c r="J704" s="697"/>
      <c r="K704" s="697"/>
      <c r="L704" s="697"/>
      <c r="M704" s="697"/>
      <c r="N704" s="697"/>
      <c r="O704" s="895"/>
      <c r="P704" s="162"/>
      <c r="Q704" s="161"/>
      <c r="R704" s="161"/>
      <c r="S704" s="697"/>
      <c r="T704" s="937"/>
      <c r="U704" s="895"/>
      <c r="V704" s="895"/>
      <c r="W704" s="895"/>
      <c r="X704" s="895"/>
      <c r="Y704" s="895"/>
      <c r="Z704" s="895"/>
    </row>
    <row r="705" spans="1:26">
      <c r="A705" s="895"/>
      <c r="B705" s="896"/>
      <c r="C705" s="161"/>
      <c r="D705" s="303"/>
      <c r="E705" s="162"/>
      <c r="F705" s="897"/>
      <c r="G705" s="694"/>
      <c r="H705" s="695"/>
      <c r="I705" s="696"/>
      <c r="J705" s="697"/>
      <c r="K705" s="697"/>
      <c r="L705" s="697"/>
      <c r="M705" s="697"/>
      <c r="N705" s="697"/>
      <c r="O705" s="895"/>
      <c r="P705" s="162"/>
      <c r="Q705" s="161"/>
      <c r="R705" s="161"/>
      <c r="S705" s="697"/>
      <c r="T705" s="937"/>
      <c r="U705" s="895"/>
      <c r="V705" s="895"/>
      <c r="W705" s="895"/>
      <c r="X705" s="895"/>
      <c r="Y705" s="895"/>
      <c r="Z705" s="895"/>
    </row>
    <row r="706" spans="1:26">
      <c r="A706" s="895"/>
      <c r="B706" s="896"/>
      <c r="C706" s="161"/>
      <c r="D706" s="303"/>
      <c r="E706" s="162"/>
      <c r="F706" s="897"/>
      <c r="G706" s="694"/>
      <c r="H706" s="695"/>
      <c r="I706" s="696"/>
      <c r="J706" s="697"/>
      <c r="K706" s="697"/>
      <c r="L706" s="697"/>
      <c r="M706" s="697"/>
      <c r="N706" s="697"/>
      <c r="O706" s="895"/>
      <c r="P706" s="162"/>
      <c r="Q706" s="161"/>
      <c r="R706" s="161"/>
      <c r="S706" s="697"/>
      <c r="T706" s="937"/>
      <c r="U706" s="895"/>
      <c r="V706" s="895"/>
      <c r="W706" s="895"/>
      <c r="X706" s="895"/>
      <c r="Y706" s="895"/>
      <c r="Z706" s="895"/>
    </row>
    <row r="707" spans="1:26">
      <c r="A707" s="895"/>
      <c r="B707" s="896"/>
      <c r="C707" s="161"/>
      <c r="D707" s="303"/>
      <c r="E707" s="162"/>
      <c r="F707" s="897"/>
      <c r="G707" s="694"/>
      <c r="H707" s="695"/>
      <c r="I707" s="696"/>
      <c r="J707" s="697"/>
      <c r="K707" s="697"/>
      <c r="L707" s="697"/>
      <c r="M707" s="697"/>
      <c r="N707" s="697"/>
      <c r="O707" s="895"/>
      <c r="P707" s="162"/>
      <c r="Q707" s="161"/>
      <c r="R707" s="161"/>
      <c r="S707" s="697"/>
      <c r="T707" s="937"/>
      <c r="U707" s="895"/>
      <c r="V707" s="895"/>
      <c r="W707" s="895"/>
      <c r="X707" s="895"/>
      <c r="Y707" s="895"/>
      <c r="Z707" s="895"/>
    </row>
    <row r="708" spans="1:26">
      <c r="A708" s="895"/>
      <c r="B708" s="896"/>
      <c r="C708" s="161"/>
      <c r="D708" s="303"/>
      <c r="E708" s="162"/>
      <c r="F708" s="897"/>
      <c r="G708" s="694"/>
      <c r="H708" s="695"/>
      <c r="I708" s="696"/>
      <c r="J708" s="697"/>
      <c r="K708" s="697"/>
      <c r="L708" s="697"/>
      <c r="M708" s="697"/>
      <c r="N708" s="697"/>
      <c r="O708" s="895"/>
      <c r="P708" s="162"/>
      <c r="Q708" s="161"/>
      <c r="R708" s="161"/>
      <c r="S708" s="697"/>
      <c r="T708" s="937"/>
      <c r="U708" s="895"/>
      <c r="V708" s="895"/>
      <c r="W708" s="895"/>
      <c r="X708" s="895"/>
      <c r="Y708" s="895"/>
      <c r="Z708" s="895"/>
    </row>
    <row r="709" spans="1:26">
      <c r="A709" s="895"/>
      <c r="B709" s="896"/>
      <c r="C709" s="161"/>
      <c r="D709" s="303"/>
      <c r="E709" s="162"/>
      <c r="F709" s="897"/>
      <c r="G709" s="694"/>
      <c r="H709" s="695"/>
      <c r="I709" s="696"/>
      <c r="J709" s="697"/>
      <c r="K709" s="697"/>
      <c r="L709" s="697"/>
      <c r="M709" s="697"/>
      <c r="N709" s="697"/>
      <c r="O709" s="895"/>
      <c r="P709" s="162"/>
      <c r="Q709" s="161"/>
      <c r="R709" s="161"/>
      <c r="S709" s="697"/>
      <c r="T709" s="937"/>
      <c r="U709" s="895"/>
      <c r="V709" s="895"/>
      <c r="W709" s="895"/>
      <c r="X709" s="895"/>
      <c r="Y709" s="895"/>
      <c r="Z709" s="895"/>
    </row>
    <row r="710" spans="1:26">
      <c r="A710" s="895"/>
      <c r="B710" s="896"/>
      <c r="C710" s="161"/>
      <c r="D710" s="303"/>
      <c r="E710" s="162"/>
      <c r="F710" s="897"/>
      <c r="G710" s="694"/>
      <c r="H710" s="695"/>
      <c r="I710" s="696"/>
      <c r="J710" s="697"/>
      <c r="K710" s="697"/>
      <c r="L710" s="697"/>
      <c r="M710" s="697"/>
      <c r="N710" s="697"/>
      <c r="O710" s="895"/>
      <c r="P710" s="162"/>
      <c r="Q710" s="161"/>
      <c r="R710" s="161"/>
      <c r="S710" s="697"/>
      <c r="T710" s="937"/>
      <c r="U710" s="895"/>
      <c r="V710" s="895"/>
      <c r="W710" s="895"/>
      <c r="X710" s="895"/>
      <c r="Y710" s="895"/>
      <c r="Z710" s="895"/>
    </row>
    <row r="711" spans="1:26">
      <c r="A711" s="895"/>
      <c r="B711" s="896"/>
      <c r="C711" s="161"/>
      <c r="D711" s="303"/>
      <c r="E711" s="162"/>
      <c r="F711" s="897"/>
      <c r="G711" s="694"/>
      <c r="H711" s="695"/>
      <c r="I711" s="696"/>
      <c r="J711" s="697"/>
      <c r="K711" s="697"/>
      <c r="L711" s="697"/>
      <c r="M711" s="697"/>
      <c r="N711" s="697"/>
      <c r="O711" s="895"/>
      <c r="P711" s="162"/>
      <c r="Q711" s="161"/>
      <c r="R711" s="161"/>
      <c r="S711" s="697"/>
      <c r="T711" s="937"/>
      <c r="U711" s="895"/>
      <c r="V711" s="895"/>
      <c r="W711" s="895"/>
      <c r="X711" s="895"/>
      <c r="Y711" s="895"/>
      <c r="Z711" s="895"/>
    </row>
    <row r="712" spans="1:26">
      <c r="A712" s="895"/>
      <c r="B712" s="896"/>
      <c r="C712" s="161"/>
      <c r="D712" s="303"/>
      <c r="E712" s="162"/>
      <c r="F712" s="897"/>
      <c r="G712" s="694"/>
      <c r="H712" s="695"/>
      <c r="I712" s="696"/>
      <c r="J712" s="697"/>
      <c r="K712" s="697"/>
      <c r="L712" s="697"/>
      <c r="M712" s="697"/>
      <c r="N712" s="697"/>
      <c r="O712" s="895"/>
      <c r="P712" s="162"/>
      <c r="Q712" s="161"/>
      <c r="R712" s="161"/>
      <c r="S712" s="697"/>
      <c r="T712" s="937"/>
      <c r="U712" s="895"/>
      <c r="V712" s="895"/>
      <c r="W712" s="895"/>
      <c r="X712" s="895"/>
      <c r="Y712" s="895"/>
      <c r="Z712" s="895"/>
    </row>
    <row r="713" spans="1:26">
      <c r="A713" s="895"/>
      <c r="B713" s="896"/>
      <c r="C713" s="161"/>
      <c r="D713" s="303"/>
      <c r="E713" s="162"/>
      <c r="F713" s="897"/>
      <c r="G713" s="694"/>
      <c r="H713" s="695"/>
      <c r="I713" s="696"/>
      <c r="J713" s="697"/>
      <c r="K713" s="697"/>
      <c r="L713" s="697"/>
      <c r="M713" s="697"/>
      <c r="N713" s="697"/>
      <c r="O713" s="895"/>
      <c r="P713" s="162"/>
      <c r="Q713" s="161"/>
      <c r="R713" s="161"/>
      <c r="S713" s="697"/>
      <c r="T713" s="937"/>
      <c r="U713" s="895"/>
      <c r="V713" s="895"/>
      <c r="W713" s="895"/>
      <c r="X713" s="895"/>
      <c r="Y713" s="895"/>
      <c r="Z713" s="895"/>
    </row>
    <row r="714" spans="1:26">
      <c r="A714" s="895"/>
      <c r="B714" s="896"/>
      <c r="C714" s="161"/>
      <c r="D714" s="303"/>
      <c r="E714" s="162"/>
      <c r="F714" s="897"/>
      <c r="G714" s="694"/>
      <c r="H714" s="695"/>
      <c r="I714" s="696"/>
      <c r="J714" s="697"/>
      <c r="K714" s="697"/>
      <c r="L714" s="697"/>
      <c r="M714" s="697"/>
      <c r="N714" s="697"/>
      <c r="O714" s="895"/>
      <c r="P714" s="162"/>
      <c r="Q714" s="161"/>
      <c r="R714" s="161"/>
      <c r="S714" s="697"/>
      <c r="T714" s="937"/>
      <c r="U714" s="895"/>
      <c r="V714" s="895"/>
      <c r="W714" s="895"/>
      <c r="X714" s="895"/>
      <c r="Y714" s="895"/>
      <c r="Z714" s="895"/>
    </row>
    <row r="715" spans="1:26">
      <c r="A715" s="895"/>
      <c r="B715" s="896"/>
      <c r="C715" s="161"/>
      <c r="D715" s="303"/>
      <c r="E715" s="162"/>
      <c r="F715" s="897"/>
      <c r="G715" s="694"/>
      <c r="H715" s="695"/>
      <c r="I715" s="696"/>
      <c r="J715" s="697"/>
      <c r="K715" s="697"/>
      <c r="L715" s="697"/>
      <c r="M715" s="697"/>
      <c r="N715" s="697"/>
      <c r="O715" s="895"/>
      <c r="P715" s="162"/>
      <c r="Q715" s="161"/>
      <c r="R715" s="161"/>
      <c r="S715" s="697"/>
      <c r="T715" s="937"/>
      <c r="U715" s="895"/>
      <c r="V715" s="895"/>
      <c r="W715" s="895"/>
      <c r="X715" s="895"/>
      <c r="Y715" s="895"/>
      <c r="Z715" s="895"/>
    </row>
    <row r="716" spans="1:26">
      <c r="A716" s="895"/>
      <c r="B716" s="896"/>
      <c r="C716" s="161"/>
      <c r="D716" s="303"/>
      <c r="E716" s="162"/>
      <c r="F716" s="897"/>
      <c r="G716" s="694"/>
      <c r="H716" s="695"/>
      <c r="I716" s="696"/>
      <c r="J716" s="697"/>
      <c r="K716" s="697"/>
      <c r="L716" s="697"/>
      <c r="M716" s="697"/>
      <c r="N716" s="697"/>
      <c r="O716" s="895"/>
      <c r="P716" s="162"/>
      <c r="Q716" s="161"/>
      <c r="R716" s="161"/>
      <c r="S716" s="697"/>
      <c r="T716" s="937"/>
      <c r="U716" s="895"/>
      <c r="V716" s="895"/>
      <c r="W716" s="895"/>
      <c r="X716" s="895"/>
      <c r="Y716" s="895"/>
      <c r="Z716" s="895"/>
    </row>
    <row r="717" spans="1:26">
      <c r="A717" s="895"/>
      <c r="B717" s="896"/>
      <c r="C717" s="161"/>
      <c r="D717" s="303"/>
      <c r="E717" s="162"/>
      <c r="F717" s="897"/>
      <c r="G717" s="694"/>
      <c r="H717" s="695"/>
      <c r="I717" s="696"/>
      <c r="J717" s="697"/>
      <c r="K717" s="697"/>
      <c r="L717" s="697"/>
      <c r="M717" s="697"/>
      <c r="N717" s="697"/>
      <c r="O717" s="895"/>
      <c r="P717" s="162"/>
      <c r="Q717" s="161"/>
      <c r="R717" s="161"/>
      <c r="S717" s="697"/>
      <c r="T717" s="937"/>
      <c r="U717" s="895"/>
      <c r="V717" s="895"/>
      <c r="W717" s="895"/>
      <c r="X717" s="895"/>
      <c r="Y717" s="895"/>
      <c r="Z717" s="895"/>
    </row>
    <row r="718" spans="1:26">
      <c r="A718" s="895"/>
      <c r="B718" s="896"/>
      <c r="C718" s="161"/>
      <c r="D718" s="303"/>
      <c r="E718" s="162"/>
      <c r="F718" s="897"/>
      <c r="G718" s="694"/>
      <c r="H718" s="695"/>
      <c r="I718" s="696"/>
      <c r="J718" s="697"/>
      <c r="K718" s="697"/>
      <c r="L718" s="697"/>
      <c r="M718" s="697"/>
      <c r="N718" s="697"/>
      <c r="O718" s="895"/>
      <c r="P718" s="162"/>
      <c r="Q718" s="161"/>
      <c r="R718" s="161"/>
      <c r="S718" s="697"/>
      <c r="T718" s="937"/>
      <c r="U718" s="895"/>
      <c r="V718" s="895"/>
      <c r="W718" s="895"/>
      <c r="X718" s="895"/>
      <c r="Y718" s="895"/>
      <c r="Z718" s="895"/>
    </row>
    <row r="719" spans="1:26">
      <c r="A719" s="895"/>
      <c r="B719" s="896"/>
      <c r="C719" s="161"/>
      <c r="D719" s="303"/>
      <c r="E719" s="162"/>
      <c r="F719" s="897"/>
      <c r="G719" s="694"/>
      <c r="H719" s="695"/>
      <c r="I719" s="696"/>
      <c r="J719" s="697"/>
      <c r="K719" s="697"/>
      <c r="L719" s="697"/>
      <c r="M719" s="697"/>
      <c r="N719" s="697"/>
      <c r="O719" s="895"/>
      <c r="P719" s="162"/>
      <c r="Q719" s="161"/>
      <c r="R719" s="161"/>
      <c r="S719" s="697"/>
      <c r="T719" s="937"/>
      <c r="U719" s="895"/>
      <c r="V719" s="895"/>
      <c r="W719" s="895"/>
      <c r="X719" s="895"/>
      <c r="Y719" s="895"/>
      <c r="Z719" s="895"/>
    </row>
    <row r="720" spans="1:26">
      <c r="A720" s="895"/>
      <c r="B720" s="896"/>
      <c r="C720" s="161"/>
      <c r="D720" s="303"/>
      <c r="E720" s="162"/>
      <c r="F720" s="897"/>
      <c r="G720" s="694"/>
      <c r="H720" s="695"/>
      <c r="I720" s="696"/>
      <c r="J720" s="697"/>
      <c r="K720" s="697"/>
      <c r="L720" s="697"/>
      <c r="M720" s="697"/>
      <c r="N720" s="697"/>
      <c r="O720" s="895"/>
      <c r="P720" s="162"/>
      <c r="Q720" s="161"/>
      <c r="R720" s="161"/>
      <c r="S720" s="697"/>
      <c r="T720" s="937"/>
      <c r="U720" s="895"/>
      <c r="V720" s="895"/>
      <c r="W720" s="895"/>
      <c r="X720" s="895"/>
      <c r="Y720" s="895"/>
      <c r="Z720" s="895"/>
    </row>
    <row r="721" spans="1:26">
      <c r="A721" s="895"/>
      <c r="B721" s="896"/>
      <c r="C721" s="161"/>
      <c r="D721" s="303"/>
      <c r="E721" s="162"/>
      <c r="F721" s="897"/>
      <c r="G721" s="694"/>
      <c r="H721" s="695"/>
      <c r="I721" s="696"/>
      <c r="J721" s="697"/>
      <c r="K721" s="697"/>
      <c r="L721" s="697"/>
      <c r="M721" s="697"/>
      <c r="N721" s="697"/>
      <c r="O721" s="895"/>
      <c r="P721" s="162"/>
      <c r="Q721" s="161"/>
      <c r="R721" s="161"/>
      <c r="S721" s="697"/>
      <c r="T721" s="937"/>
      <c r="U721" s="895"/>
      <c r="V721" s="895"/>
      <c r="W721" s="895"/>
      <c r="X721" s="895"/>
      <c r="Y721" s="895"/>
      <c r="Z721" s="895"/>
    </row>
    <row r="722" spans="1:26">
      <c r="A722" s="895"/>
      <c r="B722" s="896"/>
      <c r="C722" s="161"/>
      <c r="D722" s="303"/>
      <c r="E722" s="162"/>
      <c r="F722" s="897"/>
      <c r="G722" s="694"/>
      <c r="H722" s="695"/>
      <c r="I722" s="696"/>
      <c r="J722" s="697"/>
      <c r="K722" s="697"/>
      <c r="L722" s="697"/>
      <c r="M722" s="697"/>
      <c r="N722" s="697"/>
      <c r="O722" s="895"/>
      <c r="P722" s="162"/>
      <c r="Q722" s="161"/>
      <c r="R722" s="161"/>
      <c r="S722" s="697"/>
      <c r="T722" s="937"/>
      <c r="U722" s="895"/>
      <c r="V722" s="895"/>
      <c r="W722" s="895"/>
      <c r="X722" s="895"/>
      <c r="Y722" s="895"/>
      <c r="Z722" s="895"/>
    </row>
    <row r="723" spans="1:26">
      <c r="A723" s="895"/>
      <c r="B723" s="896"/>
      <c r="C723" s="161"/>
      <c r="D723" s="303"/>
      <c r="E723" s="162"/>
      <c r="F723" s="897"/>
      <c r="G723" s="694"/>
      <c r="H723" s="695"/>
      <c r="I723" s="696"/>
      <c r="J723" s="697"/>
      <c r="K723" s="697"/>
      <c r="L723" s="697"/>
      <c r="M723" s="697"/>
      <c r="N723" s="697"/>
      <c r="O723" s="895"/>
      <c r="P723" s="162"/>
      <c r="Q723" s="161"/>
      <c r="R723" s="161"/>
      <c r="S723" s="697"/>
      <c r="T723" s="937"/>
      <c r="U723" s="895"/>
      <c r="V723" s="895"/>
      <c r="W723" s="895"/>
      <c r="X723" s="895"/>
      <c r="Y723" s="895"/>
      <c r="Z723" s="895"/>
    </row>
    <row r="724" spans="1:26">
      <c r="A724" s="895"/>
      <c r="B724" s="896"/>
      <c r="C724" s="161"/>
      <c r="D724" s="303"/>
      <c r="E724" s="162"/>
      <c r="F724" s="897"/>
      <c r="G724" s="694"/>
      <c r="H724" s="695"/>
      <c r="I724" s="696"/>
      <c r="J724" s="697"/>
      <c r="K724" s="697"/>
      <c r="L724" s="697"/>
      <c r="M724" s="697"/>
      <c r="N724" s="697"/>
      <c r="O724" s="895"/>
      <c r="P724" s="162"/>
      <c r="Q724" s="161"/>
      <c r="R724" s="161"/>
      <c r="S724" s="697"/>
      <c r="T724" s="937"/>
      <c r="U724" s="895"/>
      <c r="V724" s="895"/>
      <c r="W724" s="895"/>
      <c r="X724" s="895"/>
      <c r="Y724" s="895"/>
      <c r="Z724" s="895"/>
    </row>
    <row r="725" spans="1:26">
      <c r="A725" s="895"/>
      <c r="B725" s="896"/>
      <c r="C725" s="161"/>
      <c r="D725" s="303"/>
      <c r="E725" s="162"/>
      <c r="F725" s="897"/>
      <c r="G725" s="694"/>
      <c r="H725" s="695"/>
      <c r="I725" s="696"/>
      <c r="J725" s="697"/>
      <c r="K725" s="697"/>
      <c r="L725" s="697"/>
      <c r="M725" s="697"/>
      <c r="N725" s="697"/>
      <c r="O725" s="895"/>
      <c r="P725" s="162"/>
      <c r="Q725" s="161"/>
      <c r="R725" s="161"/>
      <c r="S725" s="697"/>
      <c r="T725" s="937"/>
      <c r="U725" s="895"/>
      <c r="V725" s="895"/>
      <c r="W725" s="895"/>
      <c r="X725" s="895"/>
      <c r="Y725" s="895"/>
      <c r="Z725" s="895"/>
    </row>
    <row r="726" spans="1:26">
      <c r="A726" s="895"/>
      <c r="B726" s="896"/>
      <c r="C726" s="161"/>
      <c r="D726" s="303"/>
      <c r="E726" s="162"/>
      <c r="F726" s="897"/>
      <c r="G726" s="694"/>
      <c r="H726" s="695"/>
      <c r="I726" s="696"/>
      <c r="J726" s="697"/>
      <c r="K726" s="697"/>
      <c r="L726" s="697"/>
      <c r="M726" s="697"/>
      <c r="N726" s="697"/>
      <c r="O726" s="895"/>
      <c r="P726" s="162"/>
      <c r="Q726" s="161"/>
      <c r="R726" s="161"/>
      <c r="S726" s="697"/>
      <c r="T726" s="937"/>
      <c r="U726" s="895"/>
      <c r="V726" s="895"/>
      <c r="W726" s="895"/>
      <c r="X726" s="895"/>
      <c r="Y726" s="895"/>
      <c r="Z726" s="895"/>
    </row>
    <row r="727" spans="1:26">
      <c r="A727" s="895"/>
      <c r="B727" s="896"/>
      <c r="C727" s="161"/>
      <c r="D727" s="303"/>
      <c r="E727" s="162"/>
      <c r="F727" s="897"/>
      <c r="G727" s="694"/>
      <c r="H727" s="695"/>
      <c r="I727" s="696"/>
      <c r="J727" s="697"/>
      <c r="K727" s="697"/>
      <c r="L727" s="697"/>
      <c r="M727" s="697"/>
      <c r="N727" s="697"/>
      <c r="O727" s="895"/>
      <c r="P727" s="162"/>
      <c r="Q727" s="161"/>
      <c r="R727" s="161"/>
      <c r="S727" s="697"/>
      <c r="T727" s="937"/>
      <c r="U727" s="895"/>
      <c r="V727" s="895"/>
      <c r="W727" s="895"/>
      <c r="X727" s="895"/>
      <c r="Y727" s="895"/>
      <c r="Z727" s="895"/>
    </row>
    <row r="728" spans="1:26">
      <c r="A728" s="895"/>
      <c r="B728" s="896"/>
      <c r="C728" s="161"/>
      <c r="D728" s="303"/>
      <c r="E728" s="162"/>
      <c r="F728" s="897"/>
      <c r="G728" s="694"/>
      <c r="H728" s="695"/>
      <c r="I728" s="696"/>
      <c r="J728" s="697"/>
      <c r="K728" s="697"/>
      <c r="L728" s="697"/>
      <c r="M728" s="697"/>
      <c r="N728" s="697"/>
      <c r="O728" s="895"/>
      <c r="P728" s="162"/>
      <c r="Q728" s="161"/>
      <c r="R728" s="161"/>
      <c r="S728" s="697"/>
      <c r="T728" s="937"/>
      <c r="U728" s="895"/>
      <c r="V728" s="895"/>
      <c r="W728" s="895"/>
      <c r="X728" s="895"/>
      <c r="Y728" s="895"/>
      <c r="Z728" s="895"/>
    </row>
    <row r="729" spans="1:26">
      <c r="A729" s="895"/>
      <c r="B729" s="896"/>
      <c r="C729" s="161"/>
      <c r="D729" s="303"/>
      <c r="E729" s="162"/>
      <c r="F729" s="897"/>
      <c r="G729" s="694"/>
      <c r="H729" s="695"/>
      <c r="I729" s="696"/>
      <c r="J729" s="697"/>
      <c r="K729" s="697"/>
      <c r="L729" s="697"/>
      <c r="M729" s="697"/>
      <c r="N729" s="697"/>
      <c r="O729" s="895"/>
      <c r="P729" s="162"/>
      <c r="Q729" s="161"/>
      <c r="R729" s="161"/>
      <c r="S729" s="697"/>
      <c r="T729" s="937"/>
      <c r="U729" s="895"/>
      <c r="V729" s="895"/>
      <c r="W729" s="895"/>
      <c r="X729" s="895"/>
      <c r="Y729" s="895"/>
      <c r="Z729" s="895"/>
    </row>
    <row r="730" spans="1:26">
      <c r="A730" s="895"/>
      <c r="B730" s="896"/>
      <c r="C730" s="161"/>
      <c r="D730" s="303"/>
      <c r="E730" s="162"/>
      <c r="F730" s="897"/>
      <c r="G730" s="694"/>
      <c r="H730" s="695"/>
      <c r="I730" s="696"/>
      <c r="J730" s="697"/>
      <c r="K730" s="697"/>
      <c r="L730" s="697"/>
      <c r="M730" s="697"/>
      <c r="N730" s="697"/>
      <c r="O730" s="895"/>
      <c r="P730" s="162"/>
      <c r="Q730" s="161"/>
      <c r="R730" s="161"/>
      <c r="S730" s="697"/>
      <c r="T730" s="937"/>
      <c r="U730" s="895"/>
      <c r="V730" s="895"/>
      <c r="W730" s="895"/>
      <c r="X730" s="895"/>
      <c r="Y730" s="895"/>
      <c r="Z730" s="895"/>
    </row>
    <row r="731" spans="1:26">
      <c r="A731" s="895"/>
      <c r="B731" s="896"/>
      <c r="C731" s="161"/>
      <c r="D731" s="303"/>
      <c r="E731" s="162"/>
      <c r="F731" s="897"/>
      <c r="G731" s="694"/>
      <c r="H731" s="695"/>
      <c r="I731" s="696"/>
      <c r="J731" s="697"/>
      <c r="K731" s="697"/>
      <c r="L731" s="697"/>
      <c r="M731" s="697"/>
      <c r="N731" s="697"/>
      <c r="O731" s="895"/>
      <c r="P731" s="162"/>
      <c r="Q731" s="161"/>
      <c r="R731" s="161"/>
      <c r="S731" s="697"/>
      <c r="T731" s="937"/>
      <c r="U731" s="895"/>
      <c r="V731" s="895"/>
      <c r="W731" s="895"/>
      <c r="X731" s="895"/>
      <c r="Y731" s="895"/>
      <c r="Z731" s="895"/>
    </row>
    <row r="732" spans="1:26">
      <c r="A732" s="895"/>
      <c r="B732" s="896"/>
      <c r="C732" s="161"/>
      <c r="D732" s="303"/>
      <c r="E732" s="162"/>
      <c r="F732" s="897"/>
      <c r="G732" s="694"/>
      <c r="H732" s="695"/>
      <c r="I732" s="696"/>
      <c r="J732" s="697"/>
      <c r="K732" s="697"/>
      <c r="L732" s="697"/>
      <c r="M732" s="697"/>
      <c r="N732" s="697"/>
      <c r="O732" s="895"/>
      <c r="P732" s="162"/>
      <c r="Q732" s="161"/>
      <c r="R732" s="161"/>
      <c r="S732" s="697"/>
      <c r="T732" s="937"/>
      <c r="U732" s="895"/>
      <c r="V732" s="895"/>
      <c r="W732" s="895"/>
      <c r="X732" s="895"/>
      <c r="Y732" s="895"/>
      <c r="Z732" s="895"/>
    </row>
    <row r="733" spans="1:26">
      <c r="A733" s="895"/>
      <c r="B733" s="896"/>
      <c r="C733" s="161"/>
      <c r="D733" s="303"/>
      <c r="E733" s="162"/>
      <c r="F733" s="897"/>
      <c r="G733" s="694"/>
      <c r="H733" s="695"/>
      <c r="I733" s="696"/>
      <c r="J733" s="697"/>
      <c r="K733" s="697"/>
      <c r="L733" s="697"/>
      <c r="M733" s="697"/>
      <c r="N733" s="697"/>
      <c r="O733" s="895"/>
      <c r="P733" s="162"/>
      <c r="Q733" s="161"/>
      <c r="R733" s="161"/>
      <c r="S733" s="697"/>
      <c r="T733" s="937"/>
      <c r="U733" s="895"/>
      <c r="V733" s="895"/>
      <c r="W733" s="895"/>
      <c r="X733" s="895"/>
      <c r="Y733" s="895"/>
      <c r="Z733" s="895"/>
    </row>
    <row r="734" spans="1:26">
      <c r="A734" s="895"/>
      <c r="B734" s="896"/>
      <c r="C734" s="161"/>
      <c r="D734" s="303"/>
      <c r="E734" s="162"/>
      <c r="F734" s="897"/>
      <c r="G734" s="694"/>
      <c r="H734" s="695"/>
      <c r="I734" s="696"/>
      <c r="J734" s="697"/>
      <c r="K734" s="697"/>
      <c r="L734" s="697"/>
      <c r="M734" s="697"/>
      <c r="N734" s="697"/>
      <c r="O734" s="895"/>
      <c r="P734" s="162"/>
      <c r="Q734" s="161"/>
      <c r="R734" s="161"/>
      <c r="S734" s="697"/>
      <c r="T734" s="937"/>
      <c r="U734" s="895"/>
      <c r="V734" s="895"/>
      <c r="W734" s="895"/>
      <c r="X734" s="895"/>
      <c r="Y734" s="895"/>
      <c r="Z734" s="895"/>
    </row>
    <row r="735" spans="1:26">
      <c r="A735" s="895"/>
      <c r="B735" s="896"/>
      <c r="C735" s="161"/>
      <c r="D735" s="303"/>
      <c r="E735" s="162"/>
      <c r="F735" s="897"/>
      <c r="G735" s="694"/>
      <c r="H735" s="695"/>
      <c r="I735" s="696"/>
      <c r="J735" s="697"/>
      <c r="K735" s="697"/>
      <c r="L735" s="697"/>
      <c r="M735" s="697"/>
      <c r="N735" s="697"/>
      <c r="O735" s="895"/>
      <c r="P735" s="162"/>
      <c r="Q735" s="161"/>
      <c r="R735" s="161"/>
      <c r="S735" s="697"/>
      <c r="T735" s="937"/>
      <c r="U735" s="895"/>
      <c r="V735" s="895"/>
      <c r="W735" s="895"/>
      <c r="X735" s="895"/>
      <c r="Y735" s="895"/>
      <c r="Z735" s="895"/>
    </row>
    <row r="736" spans="1:26">
      <c r="A736" s="895"/>
      <c r="B736" s="896"/>
      <c r="C736" s="161"/>
      <c r="D736" s="303"/>
      <c r="E736" s="162"/>
      <c r="F736" s="897"/>
      <c r="G736" s="694"/>
      <c r="H736" s="695"/>
      <c r="I736" s="696"/>
      <c r="J736" s="697"/>
      <c r="K736" s="697"/>
      <c r="L736" s="697"/>
      <c r="M736" s="697"/>
      <c r="N736" s="697"/>
      <c r="O736" s="895"/>
      <c r="P736" s="162"/>
      <c r="Q736" s="161"/>
      <c r="R736" s="161"/>
      <c r="S736" s="697"/>
      <c r="T736" s="937"/>
      <c r="U736" s="895"/>
      <c r="V736" s="895"/>
      <c r="W736" s="895"/>
      <c r="X736" s="895"/>
      <c r="Y736" s="895"/>
      <c r="Z736" s="895"/>
    </row>
    <row r="737" spans="1:26">
      <c r="A737" s="895"/>
      <c r="B737" s="896"/>
      <c r="C737" s="161"/>
      <c r="D737" s="303"/>
      <c r="E737" s="162"/>
      <c r="F737" s="897"/>
      <c r="G737" s="694"/>
      <c r="H737" s="695"/>
      <c r="I737" s="696"/>
      <c r="J737" s="697"/>
      <c r="K737" s="697"/>
      <c r="L737" s="697"/>
      <c r="M737" s="697"/>
      <c r="N737" s="697"/>
      <c r="O737" s="895"/>
      <c r="P737" s="162"/>
      <c r="Q737" s="161"/>
      <c r="R737" s="161"/>
      <c r="S737" s="697"/>
      <c r="T737" s="937"/>
      <c r="U737" s="895"/>
      <c r="V737" s="895"/>
      <c r="W737" s="895"/>
      <c r="X737" s="895"/>
      <c r="Y737" s="895"/>
      <c r="Z737" s="895"/>
    </row>
    <row r="738" spans="1:26">
      <c r="A738" s="895"/>
      <c r="B738" s="896"/>
      <c r="C738" s="161"/>
      <c r="D738" s="303"/>
      <c r="E738" s="162"/>
      <c r="F738" s="897"/>
      <c r="G738" s="694"/>
      <c r="H738" s="695"/>
      <c r="I738" s="696"/>
      <c r="J738" s="697"/>
      <c r="K738" s="697"/>
      <c r="L738" s="697"/>
      <c r="M738" s="697"/>
      <c r="N738" s="697"/>
      <c r="O738" s="895"/>
      <c r="P738" s="162"/>
      <c r="Q738" s="161"/>
      <c r="R738" s="161"/>
      <c r="S738" s="697"/>
      <c r="T738" s="937"/>
      <c r="U738" s="895"/>
      <c r="V738" s="895"/>
      <c r="W738" s="895"/>
      <c r="X738" s="895"/>
      <c r="Y738" s="895"/>
      <c r="Z738" s="895"/>
    </row>
    <row r="739" spans="1:26">
      <c r="A739" s="895"/>
      <c r="B739" s="896"/>
      <c r="C739" s="161"/>
      <c r="D739" s="303"/>
      <c r="E739" s="162"/>
      <c r="F739" s="897"/>
      <c r="G739" s="694"/>
      <c r="H739" s="695"/>
      <c r="I739" s="696"/>
      <c r="J739" s="697"/>
      <c r="K739" s="697"/>
      <c r="L739" s="697"/>
      <c r="M739" s="697"/>
      <c r="N739" s="697"/>
      <c r="O739" s="895"/>
      <c r="P739" s="162"/>
      <c r="Q739" s="161"/>
      <c r="R739" s="161"/>
      <c r="S739" s="697"/>
      <c r="T739" s="937"/>
      <c r="U739" s="895"/>
      <c r="V739" s="895"/>
      <c r="W739" s="895"/>
      <c r="X739" s="895"/>
      <c r="Y739" s="895"/>
      <c r="Z739" s="895"/>
    </row>
    <row r="740" spans="1:26">
      <c r="A740" s="895"/>
      <c r="B740" s="896"/>
      <c r="C740" s="161"/>
      <c r="D740" s="303"/>
      <c r="E740" s="162"/>
      <c r="F740" s="897"/>
      <c r="G740" s="694"/>
      <c r="H740" s="695"/>
      <c r="I740" s="696"/>
      <c r="J740" s="697"/>
      <c r="K740" s="697"/>
      <c r="L740" s="697"/>
      <c r="M740" s="697"/>
      <c r="N740" s="697"/>
      <c r="O740" s="895"/>
      <c r="P740" s="162"/>
      <c r="Q740" s="161"/>
      <c r="R740" s="161"/>
      <c r="S740" s="697"/>
      <c r="T740" s="937"/>
      <c r="U740" s="895"/>
      <c r="V740" s="895"/>
      <c r="W740" s="895"/>
      <c r="X740" s="895"/>
      <c r="Y740" s="895"/>
      <c r="Z740" s="895"/>
    </row>
    <row r="741" spans="1:26">
      <c r="A741" s="895"/>
      <c r="B741" s="896"/>
      <c r="C741" s="161"/>
      <c r="D741" s="303"/>
      <c r="E741" s="162"/>
      <c r="F741" s="897"/>
      <c r="G741" s="694"/>
      <c r="H741" s="695"/>
      <c r="I741" s="696"/>
      <c r="J741" s="697"/>
      <c r="K741" s="697"/>
      <c r="L741" s="697"/>
      <c r="M741" s="697"/>
      <c r="N741" s="697"/>
      <c r="O741" s="895"/>
      <c r="P741" s="162"/>
      <c r="Q741" s="161"/>
      <c r="R741" s="161"/>
      <c r="S741" s="697"/>
      <c r="T741" s="937"/>
      <c r="U741" s="895"/>
      <c r="V741" s="895"/>
      <c r="W741" s="895"/>
      <c r="X741" s="895"/>
      <c r="Y741" s="895"/>
      <c r="Z741" s="895"/>
    </row>
    <row r="742" spans="1:26">
      <c r="A742" s="895"/>
      <c r="B742" s="896"/>
      <c r="C742" s="161"/>
      <c r="D742" s="303"/>
      <c r="E742" s="162"/>
      <c r="F742" s="897"/>
      <c r="G742" s="694"/>
      <c r="H742" s="695"/>
      <c r="I742" s="696"/>
      <c r="J742" s="697"/>
      <c r="K742" s="697"/>
      <c r="L742" s="697"/>
      <c r="M742" s="697"/>
      <c r="N742" s="697"/>
      <c r="O742" s="895"/>
      <c r="P742" s="162"/>
      <c r="Q742" s="161"/>
      <c r="R742" s="161"/>
      <c r="S742" s="697"/>
      <c r="T742" s="937"/>
      <c r="U742" s="895"/>
      <c r="V742" s="895"/>
      <c r="W742" s="895"/>
      <c r="X742" s="895"/>
      <c r="Y742" s="895"/>
      <c r="Z742" s="895"/>
    </row>
    <row r="743" spans="1:26">
      <c r="A743" s="895"/>
      <c r="B743" s="896"/>
      <c r="C743" s="161"/>
      <c r="D743" s="303"/>
      <c r="E743" s="162"/>
      <c r="F743" s="897"/>
      <c r="G743" s="694"/>
      <c r="H743" s="695"/>
      <c r="I743" s="696"/>
      <c r="J743" s="697"/>
      <c r="K743" s="697"/>
      <c r="L743" s="697"/>
      <c r="M743" s="697"/>
      <c r="N743" s="697"/>
      <c r="O743" s="895"/>
      <c r="P743" s="162"/>
      <c r="Q743" s="161"/>
      <c r="R743" s="161"/>
      <c r="S743" s="697"/>
      <c r="T743" s="937"/>
      <c r="U743" s="895"/>
      <c r="V743" s="895"/>
      <c r="W743" s="895"/>
      <c r="X743" s="895"/>
      <c r="Y743" s="895"/>
      <c r="Z743" s="895"/>
    </row>
    <row r="744" spans="1:26">
      <c r="A744" s="895"/>
      <c r="B744" s="896"/>
      <c r="C744" s="161"/>
      <c r="D744" s="303"/>
      <c r="E744" s="162"/>
      <c r="F744" s="897"/>
      <c r="G744" s="694"/>
      <c r="H744" s="695"/>
      <c r="I744" s="696"/>
      <c r="J744" s="697"/>
      <c r="K744" s="697"/>
      <c r="L744" s="697"/>
      <c r="M744" s="697"/>
      <c r="N744" s="697"/>
      <c r="O744" s="895"/>
      <c r="P744" s="162"/>
      <c r="Q744" s="161"/>
      <c r="R744" s="161"/>
      <c r="S744" s="697"/>
      <c r="T744" s="937"/>
      <c r="U744" s="895"/>
      <c r="V744" s="895"/>
      <c r="W744" s="895"/>
      <c r="X744" s="895"/>
      <c r="Y744" s="895"/>
      <c r="Z744" s="895"/>
    </row>
    <row r="745" spans="1:26">
      <c r="A745" s="895"/>
      <c r="B745" s="896"/>
      <c r="C745" s="161"/>
      <c r="D745" s="303"/>
      <c r="E745" s="162"/>
      <c r="F745" s="897"/>
      <c r="G745" s="694"/>
      <c r="H745" s="695"/>
      <c r="I745" s="696"/>
      <c r="J745" s="697"/>
      <c r="K745" s="697"/>
      <c r="L745" s="697"/>
      <c r="M745" s="697"/>
      <c r="N745" s="697"/>
      <c r="O745" s="895"/>
      <c r="P745" s="162"/>
      <c r="Q745" s="161"/>
      <c r="R745" s="161"/>
      <c r="S745" s="697"/>
      <c r="T745" s="937"/>
      <c r="U745" s="895"/>
      <c r="V745" s="895"/>
      <c r="W745" s="895"/>
      <c r="X745" s="895"/>
      <c r="Y745" s="895"/>
      <c r="Z745" s="895"/>
    </row>
    <row r="746" spans="1:26">
      <c r="A746" s="895"/>
      <c r="B746" s="896"/>
      <c r="C746" s="161"/>
      <c r="D746" s="303"/>
      <c r="E746" s="162"/>
      <c r="F746" s="897"/>
      <c r="G746" s="694"/>
      <c r="H746" s="695"/>
      <c r="I746" s="696"/>
      <c r="J746" s="697"/>
      <c r="K746" s="697"/>
      <c r="L746" s="697"/>
      <c r="M746" s="697"/>
      <c r="N746" s="697"/>
      <c r="O746" s="895"/>
      <c r="P746" s="162"/>
      <c r="Q746" s="161"/>
      <c r="R746" s="161"/>
      <c r="S746" s="697"/>
      <c r="T746" s="937"/>
      <c r="U746" s="895"/>
      <c r="V746" s="895"/>
      <c r="W746" s="895"/>
      <c r="X746" s="895"/>
      <c r="Y746" s="895"/>
      <c r="Z746" s="895"/>
    </row>
    <row r="747" spans="1:26">
      <c r="A747" s="895"/>
      <c r="B747" s="896"/>
      <c r="C747" s="161"/>
      <c r="D747" s="303"/>
      <c r="E747" s="162"/>
      <c r="F747" s="897"/>
      <c r="G747" s="694"/>
      <c r="H747" s="695"/>
      <c r="I747" s="696"/>
      <c r="J747" s="697"/>
      <c r="K747" s="697"/>
      <c r="L747" s="697"/>
      <c r="M747" s="697"/>
      <c r="N747" s="697"/>
      <c r="O747" s="895"/>
      <c r="P747" s="162"/>
      <c r="Q747" s="161"/>
      <c r="R747" s="161"/>
      <c r="S747" s="697"/>
      <c r="T747" s="937"/>
      <c r="U747" s="895"/>
      <c r="V747" s="895"/>
      <c r="W747" s="895"/>
      <c r="X747" s="895"/>
      <c r="Y747" s="895"/>
      <c r="Z747" s="895"/>
    </row>
    <row r="748" spans="1:26">
      <c r="A748" s="895"/>
      <c r="B748" s="896"/>
      <c r="C748" s="161"/>
      <c r="D748" s="303"/>
      <c r="E748" s="162"/>
      <c r="F748" s="897"/>
      <c r="G748" s="694"/>
      <c r="H748" s="695"/>
      <c r="I748" s="696"/>
      <c r="J748" s="697"/>
      <c r="K748" s="697"/>
      <c r="L748" s="697"/>
      <c r="M748" s="697"/>
      <c r="N748" s="697"/>
      <c r="O748" s="895"/>
      <c r="P748" s="162"/>
      <c r="Q748" s="161"/>
      <c r="R748" s="161"/>
      <c r="S748" s="697"/>
      <c r="T748" s="937"/>
      <c r="U748" s="895"/>
      <c r="V748" s="895"/>
      <c r="W748" s="895"/>
      <c r="X748" s="895"/>
      <c r="Y748" s="895"/>
      <c r="Z748" s="895"/>
    </row>
    <row r="749" spans="1:26">
      <c r="A749" s="895"/>
      <c r="B749" s="896"/>
      <c r="C749" s="161"/>
      <c r="D749" s="303"/>
      <c r="E749" s="162"/>
      <c r="F749" s="897"/>
      <c r="G749" s="694"/>
      <c r="H749" s="695"/>
      <c r="I749" s="696"/>
      <c r="J749" s="697"/>
      <c r="K749" s="697"/>
      <c r="L749" s="697"/>
      <c r="M749" s="697"/>
      <c r="N749" s="697"/>
      <c r="O749" s="895"/>
      <c r="P749" s="162"/>
      <c r="Q749" s="161"/>
      <c r="R749" s="161"/>
      <c r="S749" s="697"/>
      <c r="T749" s="937"/>
      <c r="U749" s="895"/>
      <c r="V749" s="895"/>
      <c r="W749" s="895"/>
      <c r="X749" s="895"/>
      <c r="Y749" s="895"/>
      <c r="Z749" s="895"/>
    </row>
    <row r="750" spans="1:26">
      <c r="A750" s="895"/>
      <c r="B750" s="896"/>
      <c r="C750" s="161"/>
      <c r="D750" s="303"/>
      <c r="E750" s="162"/>
      <c r="F750" s="897"/>
      <c r="G750" s="694"/>
      <c r="H750" s="695"/>
      <c r="I750" s="696"/>
      <c r="J750" s="697"/>
      <c r="K750" s="697"/>
      <c r="L750" s="697"/>
      <c r="M750" s="697"/>
      <c r="N750" s="697"/>
      <c r="O750" s="895"/>
      <c r="P750" s="162"/>
      <c r="Q750" s="161"/>
      <c r="R750" s="161"/>
      <c r="S750" s="697"/>
      <c r="T750" s="937"/>
      <c r="U750" s="895"/>
      <c r="V750" s="895"/>
      <c r="W750" s="895"/>
      <c r="X750" s="895"/>
      <c r="Y750" s="895"/>
      <c r="Z750" s="895"/>
    </row>
    <row r="751" spans="1:26">
      <c r="A751" s="895"/>
      <c r="B751" s="896"/>
      <c r="C751" s="161"/>
      <c r="D751" s="303"/>
      <c r="E751" s="162"/>
      <c r="F751" s="897"/>
      <c r="G751" s="694"/>
      <c r="H751" s="695"/>
      <c r="I751" s="696"/>
      <c r="J751" s="697"/>
      <c r="K751" s="697"/>
      <c r="L751" s="697"/>
      <c r="M751" s="697"/>
      <c r="N751" s="697"/>
      <c r="O751" s="895"/>
      <c r="P751" s="162"/>
      <c r="Q751" s="161"/>
      <c r="R751" s="161"/>
      <c r="S751" s="697"/>
      <c r="T751" s="937"/>
      <c r="U751" s="895"/>
      <c r="V751" s="895"/>
      <c r="W751" s="895"/>
      <c r="X751" s="895"/>
      <c r="Y751" s="895"/>
      <c r="Z751" s="895"/>
    </row>
    <row r="752" spans="1:26">
      <c r="A752" s="895"/>
      <c r="B752" s="896"/>
      <c r="C752" s="161"/>
      <c r="D752" s="303"/>
      <c r="E752" s="162"/>
      <c r="F752" s="897"/>
      <c r="G752" s="694"/>
      <c r="H752" s="695"/>
      <c r="I752" s="696"/>
      <c r="J752" s="697"/>
      <c r="K752" s="697"/>
      <c r="L752" s="697"/>
      <c r="M752" s="697"/>
      <c r="N752" s="697"/>
      <c r="O752" s="895"/>
      <c r="P752" s="162"/>
      <c r="Q752" s="161"/>
      <c r="R752" s="161"/>
      <c r="S752" s="697"/>
      <c r="T752" s="937"/>
      <c r="U752" s="895"/>
      <c r="V752" s="895"/>
      <c r="W752" s="895"/>
      <c r="X752" s="895"/>
      <c r="Y752" s="895"/>
      <c r="Z752" s="895"/>
    </row>
    <row r="753" spans="1:26">
      <c r="A753" s="895"/>
      <c r="B753" s="896"/>
      <c r="C753" s="161"/>
      <c r="D753" s="303"/>
      <c r="E753" s="162"/>
      <c r="F753" s="897"/>
      <c r="G753" s="694"/>
      <c r="H753" s="695"/>
      <c r="I753" s="696"/>
      <c r="J753" s="697"/>
      <c r="K753" s="697"/>
      <c r="L753" s="697"/>
      <c r="M753" s="697"/>
      <c r="N753" s="697"/>
      <c r="O753" s="895"/>
      <c r="P753" s="162"/>
      <c r="Q753" s="161"/>
      <c r="R753" s="161"/>
      <c r="S753" s="697"/>
      <c r="T753" s="937"/>
      <c r="U753" s="895"/>
      <c r="V753" s="895"/>
      <c r="W753" s="895"/>
      <c r="X753" s="895"/>
      <c r="Y753" s="895"/>
      <c r="Z753" s="895"/>
    </row>
    <row r="754" spans="1:26">
      <c r="A754" s="895"/>
      <c r="B754" s="896"/>
      <c r="C754" s="161"/>
      <c r="D754" s="303"/>
      <c r="E754" s="162"/>
      <c r="F754" s="897"/>
      <c r="G754" s="694"/>
      <c r="H754" s="695"/>
      <c r="I754" s="696"/>
      <c r="J754" s="697"/>
      <c r="K754" s="697"/>
      <c r="L754" s="697"/>
      <c r="M754" s="697"/>
      <c r="N754" s="697"/>
      <c r="O754" s="895"/>
      <c r="P754" s="162"/>
      <c r="Q754" s="161"/>
      <c r="R754" s="161"/>
      <c r="S754" s="697"/>
      <c r="T754" s="937"/>
      <c r="U754" s="895"/>
      <c r="V754" s="895"/>
      <c r="W754" s="895"/>
      <c r="X754" s="895"/>
      <c r="Y754" s="895"/>
      <c r="Z754" s="895"/>
    </row>
    <row r="755" spans="1:26">
      <c r="A755" s="895"/>
      <c r="B755" s="896"/>
      <c r="C755" s="161"/>
      <c r="D755" s="303"/>
      <c r="E755" s="162"/>
      <c r="F755" s="897"/>
      <c r="G755" s="694"/>
      <c r="H755" s="695"/>
      <c r="I755" s="696"/>
      <c r="J755" s="697"/>
      <c r="K755" s="697"/>
      <c r="L755" s="697"/>
      <c r="M755" s="697"/>
      <c r="N755" s="697"/>
      <c r="O755" s="895"/>
      <c r="P755" s="162"/>
      <c r="Q755" s="161"/>
      <c r="R755" s="161"/>
      <c r="S755" s="697"/>
      <c r="T755" s="937"/>
      <c r="U755" s="895"/>
      <c r="V755" s="895"/>
      <c r="W755" s="895"/>
      <c r="X755" s="895"/>
      <c r="Y755" s="895"/>
      <c r="Z755" s="895"/>
    </row>
    <row r="756" spans="1:26">
      <c r="A756" s="895"/>
      <c r="B756" s="896"/>
      <c r="C756" s="161"/>
      <c r="D756" s="303"/>
      <c r="E756" s="162"/>
      <c r="F756" s="897"/>
      <c r="G756" s="694"/>
      <c r="H756" s="695"/>
      <c r="I756" s="696"/>
      <c r="J756" s="697"/>
      <c r="K756" s="697"/>
      <c r="L756" s="697"/>
      <c r="M756" s="697"/>
      <c r="N756" s="697"/>
      <c r="O756" s="895"/>
      <c r="P756" s="162"/>
      <c r="Q756" s="161"/>
      <c r="R756" s="161"/>
      <c r="S756" s="697"/>
      <c r="T756" s="937"/>
      <c r="U756" s="895"/>
      <c r="V756" s="895"/>
      <c r="W756" s="895"/>
      <c r="X756" s="895"/>
      <c r="Y756" s="895"/>
      <c r="Z756" s="895"/>
    </row>
    <row r="757" spans="1:26">
      <c r="A757" s="895"/>
      <c r="B757" s="896"/>
      <c r="C757" s="161"/>
      <c r="D757" s="303"/>
      <c r="E757" s="162"/>
      <c r="F757" s="897"/>
      <c r="G757" s="694"/>
      <c r="H757" s="695"/>
      <c r="I757" s="696"/>
      <c r="J757" s="697"/>
      <c r="K757" s="697"/>
      <c r="L757" s="697"/>
      <c r="M757" s="697"/>
      <c r="N757" s="697"/>
      <c r="O757" s="895"/>
      <c r="P757" s="162"/>
      <c r="Q757" s="161"/>
      <c r="R757" s="161"/>
      <c r="S757" s="697"/>
      <c r="T757" s="937"/>
      <c r="U757" s="895"/>
      <c r="V757" s="895"/>
      <c r="W757" s="895"/>
      <c r="X757" s="895"/>
      <c r="Y757" s="895"/>
      <c r="Z757" s="895"/>
    </row>
    <row r="758" spans="1:26">
      <c r="A758" s="895"/>
      <c r="B758" s="896"/>
      <c r="C758" s="161"/>
      <c r="D758" s="303"/>
      <c r="E758" s="162"/>
      <c r="F758" s="897"/>
      <c r="G758" s="694"/>
      <c r="H758" s="695"/>
      <c r="I758" s="696"/>
      <c r="J758" s="697"/>
      <c r="K758" s="697"/>
      <c r="L758" s="697"/>
      <c r="M758" s="697"/>
      <c r="N758" s="697"/>
      <c r="O758" s="895"/>
      <c r="P758" s="162"/>
      <c r="Q758" s="161"/>
      <c r="R758" s="161"/>
      <c r="S758" s="697"/>
      <c r="T758" s="937"/>
      <c r="U758" s="895"/>
      <c r="V758" s="895"/>
      <c r="W758" s="895"/>
      <c r="X758" s="895"/>
      <c r="Y758" s="895"/>
      <c r="Z758" s="895"/>
    </row>
    <row r="759" spans="1:26">
      <c r="A759" s="895"/>
      <c r="B759" s="896"/>
      <c r="C759" s="161"/>
      <c r="D759" s="303"/>
      <c r="E759" s="162"/>
      <c r="F759" s="897"/>
      <c r="G759" s="694"/>
      <c r="H759" s="695"/>
      <c r="I759" s="696"/>
      <c r="J759" s="697"/>
      <c r="K759" s="697"/>
      <c r="L759" s="697"/>
      <c r="M759" s="697"/>
      <c r="N759" s="697"/>
      <c r="O759" s="895"/>
      <c r="P759" s="162"/>
      <c r="Q759" s="161"/>
      <c r="R759" s="161"/>
      <c r="S759" s="697"/>
      <c r="T759" s="937"/>
      <c r="U759" s="895"/>
      <c r="V759" s="895"/>
      <c r="W759" s="895"/>
      <c r="X759" s="895"/>
      <c r="Y759" s="895"/>
      <c r="Z759" s="895"/>
    </row>
    <row r="760" spans="1:26">
      <c r="A760" s="895"/>
      <c r="B760" s="896"/>
      <c r="C760" s="161"/>
      <c r="D760" s="303"/>
      <c r="E760" s="162"/>
      <c r="F760" s="897"/>
      <c r="G760" s="694"/>
      <c r="H760" s="695"/>
      <c r="I760" s="696"/>
      <c r="J760" s="697"/>
      <c r="K760" s="697"/>
      <c r="L760" s="697"/>
      <c r="M760" s="697"/>
      <c r="N760" s="697"/>
      <c r="O760" s="895"/>
      <c r="P760" s="162"/>
      <c r="Q760" s="161"/>
      <c r="R760" s="161"/>
      <c r="S760" s="697"/>
      <c r="T760" s="937"/>
      <c r="U760" s="895"/>
      <c r="V760" s="895"/>
      <c r="W760" s="895"/>
      <c r="X760" s="895"/>
      <c r="Y760" s="895"/>
      <c r="Z760" s="895"/>
    </row>
    <row r="761" spans="1:26">
      <c r="A761" s="895"/>
      <c r="B761" s="896"/>
      <c r="C761" s="161"/>
      <c r="D761" s="303"/>
      <c r="E761" s="162"/>
      <c r="F761" s="897"/>
      <c r="G761" s="694"/>
      <c r="H761" s="695"/>
      <c r="I761" s="696"/>
      <c r="J761" s="697"/>
      <c r="K761" s="697"/>
      <c r="L761" s="697"/>
      <c r="M761" s="697"/>
      <c r="N761" s="697"/>
      <c r="O761" s="895"/>
      <c r="P761" s="162"/>
      <c r="Q761" s="161"/>
      <c r="R761" s="161"/>
      <c r="S761" s="697"/>
      <c r="T761" s="937"/>
      <c r="U761" s="895"/>
      <c r="V761" s="895"/>
      <c r="W761" s="895"/>
      <c r="X761" s="895"/>
      <c r="Y761" s="895"/>
      <c r="Z761" s="895"/>
    </row>
    <row r="762" spans="1:26">
      <c r="A762" s="895"/>
      <c r="B762" s="896"/>
      <c r="C762" s="161"/>
      <c r="D762" s="303"/>
      <c r="E762" s="162"/>
      <c r="F762" s="897"/>
      <c r="G762" s="694"/>
      <c r="H762" s="695"/>
      <c r="I762" s="696"/>
      <c r="J762" s="697"/>
      <c r="K762" s="697"/>
      <c r="L762" s="697"/>
      <c r="M762" s="697"/>
      <c r="N762" s="697"/>
      <c r="O762" s="895"/>
      <c r="P762" s="162"/>
      <c r="Q762" s="161"/>
      <c r="R762" s="161"/>
      <c r="S762" s="697"/>
      <c r="T762" s="937"/>
      <c r="U762" s="895"/>
      <c r="V762" s="895"/>
      <c r="W762" s="895"/>
      <c r="X762" s="895"/>
      <c r="Y762" s="895"/>
      <c r="Z762" s="895"/>
    </row>
    <row r="763" spans="1:26">
      <c r="A763" s="895"/>
      <c r="B763" s="896"/>
      <c r="C763" s="161"/>
      <c r="D763" s="303"/>
      <c r="E763" s="162"/>
      <c r="F763" s="897"/>
      <c r="G763" s="694"/>
      <c r="H763" s="695"/>
      <c r="I763" s="696"/>
      <c r="J763" s="697"/>
      <c r="K763" s="697"/>
      <c r="L763" s="697"/>
      <c r="M763" s="697"/>
      <c r="N763" s="697"/>
      <c r="O763" s="895"/>
      <c r="P763" s="162"/>
      <c r="Q763" s="161"/>
      <c r="R763" s="161"/>
      <c r="S763" s="697"/>
      <c r="T763" s="937"/>
      <c r="U763" s="895"/>
      <c r="V763" s="895"/>
      <c r="W763" s="895"/>
      <c r="X763" s="895"/>
      <c r="Y763" s="895"/>
      <c r="Z763" s="895"/>
    </row>
    <row r="764" spans="1:26">
      <c r="A764" s="895"/>
      <c r="B764" s="896"/>
      <c r="C764" s="161"/>
      <c r="D764" s="303"/>
      <c r="E764" s="162"/>
      <c r="F764" s="897"/>
      <c r="G764" s="694"/>
      <c r="H764" s="695"/>
      <c r="I764" s="696"/>
      <c r="J764" s="697"/>
      <c r="K764" s="697"/>
      <c r="L764" s="697"/>
      <c r="M764" s="697"/>
      <c r="N764" s="697"/>
      <c r="O764" s="895"/>
      <c r="P764" s="162"/>
      <c r="Q764" s="161"/>
      <c r="R764" s="161"/>
      <c r="S764" s="697"/>
      <c r="T764" s="937"/>
      <c r="U764" s="895"/>
      <c r="V764" s="895"/>
      <c r="W764" s="895"/>
      <c r="X764" s="895"/>
      <c r="Y764" s="895"/>
      <c r="Z764" s="895"/>
    </row>
    <row r="765" spans="1:26">
      <c r="A765" s="895"/>
      <c r="B765" s="896"/>
      <c r="C765" s="161"/>
      <c r="D765" s="303"/>
      <c r="E765" s="162"/>
      <c r="F765" s="897"/>
      <c r="G765" s="694"/>
      <c r="H765" s="695"/>
      <c r="I765" s="696"/>
      <c r="J765" s="697"/>
      <c r="K765" s="697"/>
      <c r="L765" s="697"/>
      <c r="M765" s="697"/>
      <c r="N765" s="697"/>
      <c r="O765" s="895"/>
      <c r="P765" s="162"/>
      <c r="Q765" s="161"/>
      <c r="R765" s="161"/>
      <c r="S765" s="697"/>
      <c r="T765" s="937"/>
      <c r="U765" s="895"/>
      <c r="V765" s="895"/>
      <c r="W765" s="895"/>
      <c r="X765" s="895"/>
      <c r="Y765" s="895"/>
      <c r="Z765" s="895"/>
    </row>
    <row r="766" spans="1:26">
      <c r="A766" s="895"/>
      <c r="B766" s="896"/>
      <c r="C766" s="161"/>
      <c r="D766" s="303"/>
      <c r="E766" s="162"/>
      <c r="F766" s="897"/>
      <c r="G766" s="694"/>
      <c r="H766" s="695"/>
      <c r="I766" s="696"/>
      <c r="J766" s="697"/>
      <c r="K766" s="697"/>
      <c r="L766" s="697"/>
      <c r="M766" s="697"/>
      <c r="N766" s="697"/>
      <c r="O766" s="895"/>
      <c r="P766" s="162"/>
      <c r="Q766" s="161"/>
      <c r="R766" s="161"/>
      <c r="S766" s="697"/>
      <c r="T766" s="937"/>
      <c r="U766" s="895"/>
      <c r="V766" s="895"/>
      <c r="W766" s="895"/>
      <c r="X766" s="895"/>
      <c r="Y766" s="895"/>
      <c r="Z766" s="895"/>
    </row>
    <row r="767" spans="1:26">
      <c r="A767" s="895"/>
      <c r="B767" s="896"/>
      <c r="C767" s="161"/>
      <c r="D767" s="303"/>
      <c r="E767" s="162"/>
      <c r="F767" s="897"/>
      <c r="G767" s="694"/>
      <c r="H767" s="695"/>
      <c r="I767" s="696"/>
      <c r="J767" s="697"/>
      <c r="K767" s="697"/>
      <c r="L767" s="697"/>
      <c r="M767" s="697"/>
      <c r="N767" s="697"/>
      <c r="O767" s="895"/>
      <c r="P767" s="162"/>
      <c r="Q767" s="161"/>
      <c r="R767" s="161"/>
      <c r="S767" s="697"/>
      <c r="T767" s="937"/>
      <c r="U767" s="895"/>
      <c r="V767" s="895"/>
      <c r="W767" s="895"/>
      <c r="X767" s="895"/>
      <c r="Y767" s="895"/>
      <c r="Z767" s="895"/>
    </row>
    <row r="768" spans="1:26">
      <c r="A768" s="895"/>
      <c r="B768" s="896"/>
      <c r="C768" s="161"/>
      <c r="D768" s="303"/>
      <c r="E768" s="162"/>
      <c r="F768" s="897"/>
      <c r="G768" s="694"/>
      <c r="H768" s="695"/>
      <c r="I768" s="696"/>
      <c r="J768" s="697"/>
      <c r="K768" s="697"/>
      <c r="L768" s="697"/>
      <c r="M768" s="697"/>
      <c r="N768" s="697"/>
      <c r="O768" s="895"/>
      <c r="P768" s="162"/>
      <c r="Q768" s="161"/>
      <c r="R768" s="161"/>
      <c r="S768" s="697"/>
      <c r="T768" s="937"/>
      <c r="U768" s="895"/>
      <c r="V768" s="895"/>
      <c r="W768" s="895"/>
      <c r="X768" s="895"/>
      <c r="Y768" s="895"/>
      <c r="Z768" s="895"/>
    </row>
    <row r="769" spans="1:26">
      <c r="A769" s="895"/>
      <c r="B769" s="896"/>
      <c r="C769" s="161"/>
      <c r="D769" s="303"/>
      <c r="E769" s="162"/>
      <c r="F769" s="897"/>
      <c r="G769" s="694"/>
      <c r="H769" s="695"/>
      <c r="I769" s="696"/>
      <c r="J769" s="697"/>
      <c r="K769" s="697"/>
      <c r="L769" s="697"/>
      <c r="M769" s="697"/>
      <c r="N769" s="697"/>
      <c r="O769" s="895"/>
      <c r="P769" s="162"/>
      <c r="Q769" s="161"/>
      <c r="R769" s="161"/>
      <c r="S769" s="697"/>
      <c r="T769" s="937"/>
      <c r="U769" s="895"/>
      <c r="V769" s="895"/>
      <c r="W769" s="895"/>
      <c r="X769" s="895"/>
      <c r="Y769" s="895"/>
      <c r="Z769" s="895"/>
    </row>
    <row r="770" spans="1:26">
      <c r="A770" s="895"/>
      <c r="B770" s="896"/>
      <c r="C770" s="161"/>
      <c r="D770" s="303"/>
      <c r="E770" s="162"/>
      <c r="F770" s="897"/>
      <c r="G770" s="694"/>
      <c r="H770" s="695"/>
      <c r="I770" s="696"/>
      <c r="J770" s="697"/>
      <c r="K770" s="697"/>
      <c r="L770" s="697"/>
      <c r="M770" s="697"/>
      <c r="N770" s="697"/>
      <c r="O770" s="895"/>
      <c r="P770" s="162"/>
      <c r="Q770" s="161"/>
      <c r="R770" s="161"/>
      <c r="S770" s="697"/>
      <c r="T770" s="937"/>
      <c r="U770" s="895"/>
      <c r="V770" s="895"/>
      <c r="W770" s="895"/>
      <c r="X770" s="895"/>
      <c r="Y770" s="895"/>
      <c r="Z770" s="895"/>
    </row>
    <row r="771" spans="1:26">
      <c r="A771" s="895"/>
      <c r="B771" s="896"/>
      <c r="C771" s="161"/>
      <c r="D771" s="303"/>
      <c r="E771" s="162"/>
      <c r="F771" s="897"/>
      <c r="G771" s="694"/>
      <c r="H771" s="695"/>
      <c r="I771" s="696"/>
      <c r="J771" s="697"/>
      <c r="K771" s="697"/>
      <c r="L771" s="697"/>
      <c r="M771" s="697"/>
      <c r="N771" s="697"/>
      <c r="O771" s="895"/>
      <c r="P771" s="162"/>
      <c r="Q771" s="161"/>
      <c r="R771" s="161"/>
      <c r="S771" s="697"/>
      <c r="T771" s="937"/>
      <c r="U771" s="895"/>
      <c r="V771" s="895"/>
      <c r="W771" s="895"/>
      <c r="X771" s="895"/>
      <c r="Y771" s="895"/>
      <c r="Z771" s="895"/>
    </row>
    <row r="772" spans="1:26">
      <c r="A772" s="895"/>
      <c r="B772" s="896"/>
      <c r="C772" s="161"/>
      <c r="D772" s="303"/>
      <c r="E772" s="162"/>
      <c r="F772" s="897"/>
      <c r="G772" s="694"/>
      <c r="H772" s="695"/>
      <c r="I772" s="696"/>
      <c r="J772" s="697"/>
      <c r="K772" s="697"/>
      <c r="L772" s="697"/>
      <c r="M772" s="697"/>
      <c r="N772" s="697"/>
      <c r="O772" s="895"/>
      <c r="P772" s="162"/>
      <c r="Q772" s="161"/>
      <c r="R772" s="161"/>
      <c r="S772" s="697"/>
      <c r="T772" s="937"/>
      <c r="U772" s="895"/>
      <c r="V772" s="895"/>
      <c r="W772" s="895"/>
      <c r="X772" s="895"/>
      <c r="Y772" s="895"/>
      <c r="Z772" s="895"/>
    </row>
    <row r="773" spans="1:26">
      <c r="A773" s="895"/>
      <c r="B773" s="896"/>
      <c r="C773" s="161"/>
      <c r="D773" s="303"/>
      <c r="E773" s="162"/>
      <c r="F773" s="897"/>
      <c r="G773" s="694"/>
      <c r="H773" s="695"/>
      <c r="I773" s="696"/>
      <c r="J773" s="697"/>
      <c r="K773" s="697"/>
      <c r="L773" s="697"/>
      <c r="M773" s="697"/>
      <c r="N773" s="697"/>
      <c r="O773" s="895"/>
      <c r="P773" s="162"/>
      <c r="Q773" s="161"/>
      <c r="R773" s="161"/>
      <c r="S773" s="697"/>
      <c r="T773" s="937"/>
      <c r="U773" s="895"/>
      <c r="V773" s="895"/>
      <c r="W773" s="895"/>
      <c r="X773" s="895"/>
      <c r="Y773" s="895"/>
      <c r="Z773" s="895"/>
    </row>
    <row r="774" spans="1:26">
      <c r="A774" s="895"/>
      <c r="B774" s="896"/>
      <c r="C774" s="161"/>
      <c r="D774" s="303"/>
      <c r="E774" s="162"/>
      <c r="F774" s="897"/>
      <c r="G774" s="694"/>
      <c r="H774" s="695"/>
      <c r="I774" s="696"/>
      <c r="J774" s="697"/>
      <c r="K774" s="697"/>
      <c r="L774" s="697"/>
      <c r="M774" s="697"/>
      <c r="N774" s="697"/>
      <c r="O774" s="895"/>
      <c r="P774" s="162"/>
      <c r="Q774" s="161"/>
      <c r="R774" s="161"/>
      <c r="S774" s="697"/>
      <c r="T774" s="937"/>
      <c r="U774" s="895"/>
      <c r="V774" s="895"/>
      <c r="W774" s="895"/>
      <c r="X774" s="895"/>
      <c r="Y774" s="895"/>
      <c r="Z774" s="895"/>
    </row>
    <row r="775" spans="1:26">
      <c r="A775" s="895"/>
      <c r="B775" s="896"/>
      <c r="C775" s="161"/>
      <c r="D775" s="303"/>
      <c r="E775" s="162"/>
      <c r="F775" s="897"/>
      <c r="G775" s="694"/>
      <c r="H775" s="695"/>
      <c r="I775" s="696"/>
      <c r="J775" s="697"/>
      <c r="K775" s="697"/>
      <c r="L775" s="697"/>
      <c r="M775" s="697"/>
      <c r="N775" s="697"/>
      <c r="O775" s="895"/>
      <c r="P775" s="162"/>
      <c r="Q775" s="161"/>
      <c r="R775" s="161"/>
      <c r="S775" s="697"/>
      <c r="T775" s="937"/>
      <c r="U775" s="895"/>
      <c r="V775" s="895"/>
      <c r="W775" s="895"/>
      <c r="X775" s="895"/>
      <c r="Y775" s="895"/>
      <c r="Z775" s="895"/>
    </row>
    <row r="776" spans="1:26">
      <c r="A776" s="895"/>
      <c r="B776" s="896"/>
      <c r="C776" s="161"/>
      <c r="D776" s="303"/>
      <c r="E776" s="162"/>
      <c r="F776" s="897"/>
      <c r="G776" s="694"/>
      <c r="H776" s="695"/>
      <c r="I776" s="696"/>
      <c r="J776" s="697"/>
      <c r="K776" s="697"/>
      <c r="L776" s="697"/>
      <c r="M776" s="697"/>
      <c r="N776" s="697"/>
      <c r="O776" s="895"/>
      <c r="P776" s="162"/>
      <c r="Q776" s="161"/>
      <c r="R776" s="161"/>
      <c r="S776" s="697"/>
      <c r="T776" s="937"/>
      <c r="U776" s="895"/>
      <c r="V776" s="895"/>
      <c r="W776" s="895"/>
      <c r="X776" s="895"/>
      <c r="Y776" s="895"/>
      <c r="Z776" s="895"/>
    </row>
    <row r="777" spans="1:26">
      <c r="A777" s="895"/>
      <c r="B777" s="896"/>
      <c r="C777" s="161"/>
      <c r="D777" s="303"/>
      <c r="E777" s="162"/>
      <c r="F777" s="897"/>
      <c r="G777" s="694"/>
      <c r="H777" s="695"/>
      <c r="I777" s="696"/>
      <c r="J777" s="697"/>
      <c r="K777" s="697"/>
      <c r="L777" s="697"/>
      <c r="M777" s="697"/>
      <c r="N777" s="697"/>
      <c r="O777" s="895"/>
      <c r="P777" s="162"/>
      <c r="Q777" s="161"/>
      <c r="R777" s="161"/>
      <c r="S777" s="697"/>
      <c r="T777" s="937"/>
      <c r="U777" s="895"/>
      <c r="V777" s="895"/>
      <c r="W777" s="895"/>
      <c r="X777" s="895"/>
      <c r="Y777" s="895"/>
      <c r="Z777" s="895"/>
    </row>
    <row r="778" spans="1:26">
      <c r="A778" s="895"/>
      <c r="B778" s="896"/>
      <c r="C778" s="161"/>
      <c r="D778" s="303"/>
      <c r="E778" s="162"/>
      <c r="F778" s="897"/>
      <c r="G778" s="694"/>
      <c r="H778" s="695"/>
      <c r="I778" s="696"/>
      <c r="J778" s="697"/>
      <c r="K778" s="697"/>
      <c r="L778" s="697"/>
      <c r="M778" s="697"/>
      <c r="N778" s="697"/>
      <c r="O778" s="895"/>
      <c r="P778" s="162"/>
      <c r="Q778" s="161"/>
      <c r="R778" s="161"/>
      <c r="S778" s="697"/>
      <c r="T778" s="937"/>
      <c r="U778" s="895"/>
      <c r="V778" s="895"/>
      <c r="W778" s="895"/>
      <c r="X778" s="895"/>
      <c r="Y778" s="895"/>
      <c r="Z778" s="895"/>
    </row>
    <row r="779" spans="1:26">
      <c r="A779" s="895"/>
      <c r="B779" s="896"/>
      <c r="C779" s="161"/>
      <c r="D779" s="303"/>
      <c r="E779" s="162"/>
      <c r="F779" s="897"/>
      <c r="G779" s="694"/>
      <c r="H779" s="695"/>
      <c r="I779" s="696"/>
      <c r="J779" s="697"/>
      <c r="K779" s="697"/>
      <c r="L779" s="697"/>
      <c r="M779" s="697"/>
      <c r="N779" s="697"/>
      <c r="O779" s="895"/>
      <c r="P779" s="162"/>
      <c r="Q779" s="161"/>
      <c r="R779" s="161"/>
      <c r="S779" s="697"/>
      <c r="T779" s="937"/>
      <c r="U779" s="895"/>
      <c r="V779" s="895"/>
      <c r="W779" s="895"/>
      <c r="X779" s="895"/>
      <c r="Y779" s="895"/>
      <c r="Z779" s="895"/>
    </row>
    <row r="780" spans="1:26">
      <c r="A780" s="895"/>
      <c r="B780" s="896"/>
      <c r="C780" s="161"/>
      <c r="D780" s="303"/>
      <c r="E780" s="162"/>
      <c r="F780" s="897"/>
      <c r="G780" s="694"/>
      <c r="H780" s="695"/>
      <c r="I780" s="696"/>
      <c r="J780" s="697"/>
      <c r="K780" s="697"/>
      <c r="L780" s="697"/>
      <c r="M780" s="697"/>
      <c r="N780" s="697"/>
      <c r="O780" s="895"/>
      <c r="P780" s="162"/>
      <c r="Q780" s="161"/>
      <c r="R780" s="161"/>
      <c r="S780" s="697"/>
      <c r="T780" s="937"/>
      <c r="U780" s="895"/>
      <c r="V780" s="895"/>
      <c r="W780" s="895"/>
      <c r="X780" s="895"/>
      <c r="Y780" s="895"/>
      <c r="Z780" s="895"/>
    </row>
    <row r="781" spans="1:26">
      <c r="A781" s="895"/>
      <c r="B781" s="896"/>
      <c r="C781" s="161"/>
      <c r="D781" s="303"/>
      <c r="E781" s="162"/>
      <c r="F781" s="897"/>
      <c r="G781" s="694"/>
      <c r="H781" s="695"/>
      <c r="I781" s="696"/>
      <c r="J781" s="697"/>
      <c r="K781" s="697"/>
      <c r="L781" s="697"/>
      <c r="M781" s="697"/>
      <c r="N781" s="697"/>
      <c r="O781" s="895"/>
      <c r="P781" s="162"/>
      <c r="Q781" s="161"/>
      <c r="R781" s="161"/>
      <c r="S781" s="697"/>
      <c r="T781" s="937"/>
      <c r="U781" s="895"/>
      <c r="V781" s="895"/>
      <c r="W781" s="895"/>
      <c r="X781" s="895"/>
      <c r="Y781" s="895"/>
      <c r="Z781" s="895"/>
    </row>
    <row r="782" spans="1:26">
      <c r="A782" s="895"/>
      <c r="B782" s="896"/>
      <c r="C782" s="161"/>
      <c r="D782" s="303"/>
      <c r="E782" s="162"/>
      <c r="F782" s="897"/>
      <c r="G782" s="694"/>
      <c r="H782" s="695"/>
      <c r="I782" s="696"/>
      <c r="J782" s="697"/>
      <c r="K782" s="697"/>
      <c r="L782" s="697"/>
      <c r="M782" s="697"/>
      <c r="N782" s="697"/>
      <c r="O782" s="895"/>
      <c r="P782" s="162"/>
      <c r="Q782" s="161"/>
      <c r="R782" s="161"/>
      <c r="S782" s="697"/>
      <c r="T782" s="937"/>
      <c r="U782" s="895"/>
      <c r="V782" s="895"/>
      <c r="W782" s="895"/>
      <c r="X782" s="895"/>
      <c r="Y782" s="895"/>
      <c r="Z782" s="895"/>
    </row>
    <row r="783" spans="1:26">
      <c r="A783" s="895"/>
      <c r="B783" s="896"/>
      <c r="C783" s="161"/>
      <c r="D783" s="303"/>
      <c r="E783" s="162"/>
      <c r="F783" s="897"/>
      <c r="G783" s="694"/>
      <c r="H783" s="695"/>
      <c r="I783" s="696"/>
      <c r="J783" s="697"/>
      <c r="K783" s="697"/>
      <c r="L783" s="697"/>
      <c r="M783" s="697"/>
      <c r="N783" s="697"/>
      <c r="O783" s="895"/>
      <c r="P783" s="162"/>
      <c r="Q783" s="161"/>
      <c r="R783" s="161"/>
      <c r="S783" s="697"/>
      <c r="T783" s="937"/>
      <c r="U783" s="895"/>
      <c r="V783" s="895"/>
      <c r="W783" s="895"/>
      <c r="X783" s="895"/>
      <c r="Y783" s="895"/>
      <c r="Z783" s="895"/>
    </row>
    <row r="784" spans="1:26">
      <c r="A784" s="895"/>
      <c r="B784" s="896"/>
      <c r="C784" s="161"/>
      <c r="D784" s="303"/>
      <c r="E784" s="162"/>
      <c r="F784" s="897"/>
      <c r="G784" s="694"/>
      <c r="H784" s="695"/>
      <c r="I784" s="696"/>
      <c r="J784" s="697"/>
      <c r="K784" s="697"/>
      <c r="L784" s="697"/>
      <c r="M784" s="697"/>
      <c r="N784" s="697"/>
      <c r="O784" s="895"/>
      <c r="P784" s="162"/>
      <c r="Q784" s="161"/>
      <c r="R784" s="161"/>
      <c r="S784" s="697"/>
      <c r="T784" s="937"/>
      <c r="U784" s="895"/>
      <c r="V784" s="895"/>
      <c r="W784" s="895"/>
      <c r="X784" s="895"/>
      <c r="Y784" s="895"/>
      <c r="Z784" s="895"/>
    </row>
    <row r="785" spans="1:26">
      <c r="A785" s="895"/>
      <c r="B785" s="896"/>
      <c r="C785" s="161"/>
      <c r="D785" s="303"/>
      <c r="E785" s="162"/>
      <c r="F785" s="897"/>
      <c r="G785" s="694"/>
      <c r="H785" s="695"/>
      <c r="I785" s="696"/>
      <c r="J785" s="697"/>
      <c r="K785" s="697"/>
      <c r="L785" s="697"/>
      <c r="M785" s="697"/>
      <c r="N785" s="697"/>
      <c r="O785" s="895"/>
      <c r="P785" s="162"/>
      <c r="Q785" s="161"/>
      <c r="R785" s="161"/>
      <c r="S785" s="697"/>
      <c r="T785" s="937"/>
      <c r="U785" s="895"/>
      <c r="V785" s="895"/>
      <c r="W785" s="895"/>
      <c r="X785" s="895"/>
      <c r="Y785" s="895"/>
      <c r="Z785" s="895"/>
    </row>
    <row r="786" spans="1:26">
      <c r="A786" s="895"/>
      <c r="B786" s="896"/>
      <c r="C786" s="161"/>
      <c r="D786" s="303"/>
      <c r="E786" s="162"/>
      <c r="F786" s="897"/>
      <c r="G786" s="694"/>
      <c r="H786" s="695"/>
      <c r="I786" s="696"/>
      <c r="J786" s="697"/>
      <c r="K786" s="697"/>
      <c r="L786" s="697"/>
      <c r="M786" s="697"/>
      <c r="N786" s="697"/>
      <c r="O786" s="895"/>
      <c r="P786" s="162"/>
      <c r="Q786" s="161"/>
      <c r="R786" s="161"/>
      <c r="S786" s="697"/>
      <c r="T786" s="937"/>
      <c r="U786" s="895"/>
      <c r="V786" s="895"/>
      <c r="W786" s="895"/>
      <c r="X786" s="895"/>
      <c r="Y786" s="895"/>
      <c r="Z786" s="895"/>
    </row>
    <row r="787" spans="1:26">
      <c r="A787" s="895"/>
      <c r="B787" s="896"/>
      <c r="C787" s="161"/>
      <c r="D787" s="303"/>
      <c r="E787" s="162"/>
      <c r="F787" s="897"/>
      <c r="G787" s="694"/>
      <c r="H787" s="695"/>
      <c r="I787" s="696"/>
      <c r="J787" s="697"/>
      <c r="K787" s="697"/>
      <c r="L787" s="697"/>
      <c r="M787" s="697"/>
      <c r="N787" s="697"/>
      <c r="O787" s="895"/>
      <c r="P787" s="162"/>
      <c r="Q787" s="161"/>
      <c r="R787" s="161"/>
      <c r="S787" s="697"/>
      <c r="T787" s="937"/>
      <c r="U787" s="895"/>
      <c r="V787" s="895"/>
      <c r="W787" s="895"/>
      <c r="X787" s="895"/>
      <c r="Y787" s="895"/>
      <c r="Z787" s="895"/>
    </row>
    <row r="788" spans="1:26">
      <c r="A788" s="895"/>
      <c r="B788" s="896"/>
      <c r="C788" s="161"/>
      <c r="D788" s="303"/>
      <c r="E788" s="162"/>
      <c r="F788" s="897"/>
      <c r="G788" s="694"/>
      <c r="H788" s="695"/>
      <c r="I788" s="696"/>
      <c r="J788" s="697"/>
      <c r="K788" s="697"/>
      <c r="L788" s="697"/>
      <c r="M788" s="697"/>
      <c r="N788" s="697"/>
      <c r="O788" s="895"/>
      <c r="P788" s="162"/>
      <c r="Q788" s="161"/>
      <c r="R788" s="161"/>
      <c r="S788" s="697"/>
      <c r="T788" s="937"/>
      <c r="U788" s="895"/>
      <c r="V788" s="895"/>
      <c r="W788" s="895"/>
      <c r="X788" s="895"/>
      <c r="Y788" s="895"/>
      <c r="Z788" s="895"/>
    </row>
    <row r="789" spans="1:26">
      <c r="A789" s="895"/>
      <c r="B789" s="896"/>
      <c r="C789" s="161"/>
      <c r="D789" s="303"/>
      <c r="E789" s="162"/>
      <c r="F789" s="897"/>
      <c r="G789" s="694"/>
      <c r="H789" s="695"/>
      <c r="I789" s="696"/>
      <c r="J789" s="697"/>
      <c r="K789" s="697"/>
      <c r="L789" s="697"/>
      <c r="M789" s="697"/>
      <c r="N789" s="697"/>
      <c r="O789" s="895"/>
      <c r="P789" s="162"/>
      <c r="Q789" s="161"/>
      <c r="R789" s="161"/>
      <c r="S789" s="697"/>
      <c r="T789" s="937"/>
      <c r="U789" s="895"/>
      <c r="V789" s="895"/>
      <c r="W789" s="895"/>
      <c r="X789" s="895"/>
      <c r="Y789" s="895"/>
      <c r="Z789" s="895"/>
    </row>
    <row r="790" spans="1:26">
      <c r="A790" s="895"/>
      <c r="B790" s="896"/>
      <c r="C790" s="161"/>
      <c r="D790" s="303"/>
      <c r="E790" s="162"/>
      <c r="F790" s="897"/>
      <c r="G790" s="694"/>
      <c r="H790" s="695"/>
      <c r="I790" s="696"/>
      <c r="J790" s="697"/>
      <c r="K790" s="697"/>
      <c r="L790" s="697"/>
      <c r="M790" s="697"/>
      <c r="N790" s="697"/>
      <c r="O790" s="895"/>
      <c r="P790" s="162"/>
      <c r="Q790" s="161"/>
      <c r="R790" s="161"/>
      <c r="S790" s="697"/>
      <c r="T790" s="937"/>
      <c r="U790" s="895"/>
      <c r="V790" s="895"/>
      <c r="W790" s="895"/>
      <c r="X790" s="895"/>
      <c r="Y790" s="895"/>
      <c r="Z790" s="895"/>
    </row>
    <row r="791" spans="1:26">
      <c r="A791" s="895"/>
      <c r="B791" s="896"/>
      <c r="C791" s="161"/>
      <c r="D791" s="303"/>
      <c r="E791" s="162"/>
      <c r="F791" s="897"/>
      <c r="G791" s="694"/>
      <c r="H791" s="695"/>
      <c r="I791" s="696"/>
      <c r="J791" s="697"/>
      <c r="K791" s="697"/>
      <c r="L791" s="697"/>
      <c r="M791" s="697"/>
      <c r="N791" s="697"/>
      <c r="O791" s="895"/>
      <c r="P791" s="162"/>
      <c r="Q791" s="161"/>
      <c r="R791" s="161"/>
      <c r="S791" s="697"/>
      <c r="T791" s="937"/>
      <c r="U791" s="895"/>
      <c r="V791" s="895"/>
      <c r="W791" s="895"/>
      <c r="X791" s="895"/>
      <c r="Y791" s="895"/>
      <c r="Z791" s="895"/>
    </row>
    <row r="792" spans="1:26">
      <c r="A792" s="895"/>
      <c r="B792" s="896"/>
      <c r="C792" s="161"/>
      <c r="D792" s="303"/>
      <c r="E792" s="162"/>
      <c r="F792" s="897"/>
      <c r="G792" s="694"/>
      <c r="H792" s="695"/>
      <c r="I792" s="696"/>
      <c r="J792" s="697"/>
      <c r="K792" s="697"/>
      <c r="L792" s="697"/>
      <c r="M792" s="697"/>
      <c r="N792" s="697"/>
      <c r="O792" s="895"/>
      <c r="P792" s="162"/>
      <c r="Q792" s="161"/>
      <c r="R792" s="161"/>
      <c r="S792" s="697"/>
      <c r="T792" s="937"/>
      <c r="U792" s="895"/>
      <c r="V792" s="895"/>
      <c r="W792" s="895"/>
      <c r="X792" s="895"/>
      <c r="Y792" s="895"/>
      <c r="Z792" s="895"/>
    </row>
    <row r="793" spans="1:26">
      <c r="A793" s="895"/>
      <c r="B793" s="896"/>
      <c r="C793" s="161"/>
      <c r="D793" s="303"/>
      <c r="E793" s="162"/>
      <c r="F793" s="897"/>
      <c r="G793" s="694"/>
      <c r="H793" s="695"/>
      <c r="I793" s="696"/>
      <c r="J793" s="697"/>
      <c r="K793" s="697"/>
      <c r="L793" s="697"/>
      <c r="M793" s="697"/>
      <c r="N793" s="697"/>
      <c r="O793" s="895"/>
      <c r="P793" s="162"/>
      <c r="Q793" s="161"/>
      <c r="R793" s="161"/>
      <c r="S793" s="697"/>
      <c r="T793" s="937"/>
      <c r="U793" s="895"/>
      <c r="V793" s="895"/>
      <c r="W793" s="895"/>
      <c r="X793" s="895"/>
      <c r="Y793" s="895"/>
      <c r="Z793" s="895"/>
    </row>
    <row r="794" spans="1:26">
      <c r="A794" s="895"/>
      <c r="B794" s="896"/>
      <c r="C794" s="161"/>
      <c r="D794" s="303"/>
      <c r="E794" s="162"/>
      <c r="F794" s="897"/>
      <c r="G794" s="694"/>
      <c r="H794" s="695"/>
      <c r="I794" s="696"/>
      <c r="J794" s="697"/>
      <c r="K794" s="697"/>
      <c r="L794" s="697"/>
      <c r="M794" s="697"/>
      <c r="N794" s="697"/>
      <c r="O794" s="895"/>
      <c r="P794" s="162"/>
      <c r="Q794" s="161"/>
      <c r="R794" s="161"/>
      <c r="S794" s="697"/>
      <c r="T794" s="937"/>
      <c r="U794" s="895"/>
      <c r="V794" s="895"/>
      <c r="W794" s="895"/>
      <c r="X794" s="895"/>
      <c r="Y794" s="895"/>
      <c r="Z794" s="895"/>
    </row>
    <row r="795" spans="1:26">
      <c r="A795" s="895"/>
      <c r="B795" s="896"/>
      <c r="C795" s="161"/>
      <c r="D795" s="303"/>
      <c r="E795" s="162"/>
      <c r="F795" s="897"/>
      <c r="G795" s="694"/>
      <c r="H795" s="695"/>
      <c r="I795" s="696"/>
      <c r="J795" s="697"/>
      <c r="K795" s="697"/>
      <c r="L795" s="697"/>
      <c r="M795" s="697"/>
      <c r="N795" s="697"/>
      <c r="O795" s="895"/>
      <c r="P795" s="162"/>
      <c r="Q795" s="161"/>
      <c r="R795" s="161"/>
      <c r="S795" s="697"/>
      <c r="T795" s="937"/>
      <c r="U795" s="895"/>
      <c r="V795" s="895"/>
      <c r="W795" s="895"/>
      <c r="X795" s="895"/>
      <c r="Y795" s="895"/>
      <c r="Z795" s="895"/>
    </row>
    <row r="796" spans="1:26">
      <c r="A796" s="895"/>
      <c r="B796" s="896"/>
      <c r="C796" s="161"/>
      <c r="D796" s="303"/>
      <c r="E796" s="162"/>
      <c r="F796" s="897"/>
      <c r="G796" s="694"/>
      <c r="H796" s="695"/>
      <c r="I796" s="696"/>
      <c r="J796" s="697"/>
      <c r="K796" s="697"/>
      <c r="L796" s="697"/>
      <c r="M796" s="697"/>
      <c r="N796" s="697"/>
      <c r="O796" s="895"/>
      <c r="P796" s="162"/>
      <c r="Q796" s="161"/>
      <c r="R796" s="161"/>
      <c r="S796" s="697"/>
      <c r="T796" s="937"/>
      <c r="U796" s="895"/>
      <c r="V796" s="895"/>
      <c r="W796" s="895"/>
      <c r="X796" s="895"/>
      <c r="Y796" s="895"/>
      <c r="Z796" s="895"/>
    </row>
    <row r="797" spans="1:26">
      <c r="A797" s="895"/>
      <c r="B797" s="896"/>
      <c r="C797" s="161"/>
      <c r="D797" s="303"/>
      <c r="E797" s="162"/>
      <c r="F797" s="897"/>
      <c r="G797" s="694"/>
      <c r="H797" s="695"/>
      <c r="I797" s="696"/>
      <c r="J797" s="697"/>
      <c r="K797" s="697"/>
      <c r="L797" s="697"/>
      <c r="M797" s="697"/>
      <c r="N797" s="697"/>
      <c r="O797" s="895"/>
      <c r="P797" s="162"/>
      <c r="Q797" s="161"/>
      <c r="R797" s="161"/>
      <c r="S797" s="697"/>
      <c r="T797" s="937"/>
      <c r="U797" s="895"/>
      <c r="V797" s="895"/>
      <c r="W797" s="895"/>
      <c r="X797" s="895"/>
      <c r="Y797" s="895"/>
      <c r="Z797" s="895"/>
    </row>
    <row r="798" spans="1:26">
      <c r="A798" s="895"/>
      <c r="B798" s="896"/>
      <c r="C798" s="161"/>
      <c r="D798" s="303"/>
      <c r="E798" s="162"/>
      <c r="F798" s="897"/>
      <c r="G798" s="694"/>
      <c r="H798" s="695"/>
      <c r="I798" s="696"/>
      <c r="J798" s="697"/>
      <c r="K798" s="697"/>
      <c r="L798" s="697"/>
      <c r="M798" s="697"/>
      <c r="N798" s="697"/>
      <c r="O798" s="895"/>
      <c r="P798" s="162"/>
      <c r="Q798" s="161"/>
      <c r="R798" s="161"/>
      <c r="S798" s="697"/>
      <c r="T798" s="937"/>
      <c r="U798" s="895"/>
      <c r="V798" s="895"/>
      <c r="W798" s="895"/>
      <c r="X798" s="895"/>
      <c r="Y798" s="895"/>
      <c r="Z798" s="895"/>
    </row>
    <row r="799" spans="1:26">
      <c r="A799" s="895"/>
      <c r="B799" s="896"/>
      <c r="C799" s="161"/>
      <c r="D799" s="303"/>
      <c r="E799" s="162"/>
      <c r="F799" s="897"/>
      <c r="G799" s="694"/>
      <c r="H799" s="695"/>
      <c r="I799" s="696"/>
      <c r="J799" s="697"/>
      <c r="K799" s="697"/>
      <c r="L799" s="697"/>
      <c r="M799" s="697"/>
      <c r="N799" s="697"/>
      <c r="O799" s="895"/>
      <c r="P799" s="162"/>
      <c r="Q799" s="161"/>
      <c r="R799" s="161"/>
      <c r="S799" s="697"/>
      <c r="T799" s="937"/>
      <c r="U799" s="895"/>
      <c r="V799" s="895"/>
      <c r="W799" s="895"/>
      <c r="X799" s="895"/>
      <c r="Y799" s="895"/>
      <c r="Z799" s="895"/>
    </row>
    <row r="800" spans="1:26">
      <c r="A800" s="895"/>
      <c r="B800" s="896"/>
      <c r="C800" s="161"/>
      <c r="D800" s="303"/>
      <c r="E800" s="162"/>
      <c r="F800" s="897"/>
      <c r="G800" s="694"/>
      <c r="H800" s="695"/>
      <c r="I800" s="696"/>
      <c r="J800" s="697"/>
      <c r="K800" s="697"/>
      <c r="L800" s="697"/>
      <c r="M800" s="697"/>
      <c r="N800" s="697"/>
      <c r="O800" s="895"/>
      <c r="P800" s="162"/>
      <c r="Q800" s="161"/>
      <c r="R800" s="161"/>
      <c r="S800" s="697"/>
      <c r="T800" s="937"/>
      <c r="U800" s="895"/>
      <c r="V800" s="895"/>
      <c r="W800" s="895"/>
      <c r="X800" s="895"/>
      <c r="Y800" s="895"/>
      <c r="Z800" s="895"/>
    </row>
    <row r="801" spans="1:26">
      <c r="A801" s="895"/>
      <c r="B801" s="896"/>
      <c r="C801" s="161"/>
      <c r="D801" s="303"/>
      <c r="E801" s="162"/>
      <c r="F801" s="897"/>
      <c r="G801" s="694"/>
      <c r="H801" s="695"/>
      <c r="I801" s="696"/>
      <c r="J801" s="697"/>
      <c r="K801" s="697"/>
      <c r="L801" s="697"/>
      <c r="M801" s="697"/>
      <c r="N801" s="697"/>
      <c r="O801" s="895"/>
      <c r="P801" s="162"/>
      <c r="Q801" s="161"/>
      <c r="R801" s="161"/>
      <c r="S801" s="697"/>
      <c r="T801" s="937"/>
      <c r="U801" s="895"/>
      <c r="V801" s="895"/>
      <c r="W801" s="895"/>
      <c r="X801" s="895"/>
      <c r="Y801" s="895"/>
      <c r="Z801" s="895"/>
    </row>
    <row r="802" spans="1:26">
      <c r="A802" s="895"/>
      <c r="B802" s="896"/>
      <c r="C802" s="161"/>
      <c r="D802" s="303"/>
      <c r="E802" s="162"/>
      <c r="F802" s="897"/>
      <c r="G802" s="694"/>
      <c r="H802" s="695"/>
      <c r="I802" s="696"/>
      <c r="J802" s="697"/>
      <c r="K802" s="697"/>
      <c r="L802" s="697"/>
      <c r="M802" s="697"/>
      <c r="N802" s="697"/>
      <c r="O802" s="895"/>
      <c r="P802" s="162"/>
      <c r="Q802" s="161"/>
      <c r="R802" s="161"/>
      <c r="S802" s="697"/>
      <c r="T802" s="937"/>
      <c r="U802" s="895"/>
      <c r="V802" s="895"/>
      <c r="W802" s="895"/>
      <c r="X802" s="895"/>
      <c r="Y802" s="895"/>
      <c r="Z802" s="895"/>
    </row>
    <row r="803" spans="1:26">
      <c r="A803" s="895"/>
      <c r="B803" s="896"/>
      <c r="C803" s="161"/>
      <c r="D803" s="303"/>
      <c r="E803" s="162"/>
      <c r="F803" s="897"/>
      <c r="G803" s="694"/>
      <c r="H803" s="695"/>
      <c r="I803" s="696"/>
      <c r="J803" s="697"/>
      <c r="K803" s="697"/>
      <c r="L803" s="697"/>
      <c r="M803" s="697"/>
      <c r="N803" s="697"/>
      <c r="O803" s="895"/>
      <c r="P803" s="162"/>
      <c r="Q803" s="161"/>
      <c r="R803" s="161"/>
      <c r="S803" s="697"/>
      <c r="T803" s="937"/>
      <c r="U803" s="895"/>
      <c r="V803" s="895"/>
      <c r="W803" s="895"/>
      <c r="X803" s="895"/>
      <c r="Y803" s="895"/>
      <c r="Z803" s="895"/>
    </row>
    <row r="804" spans="1:26">
      <c r="A804" s="895"/>
      <c r="B804" s="896"/>
      <c r="C804" s="161"/>
      <c r="D804" s="303"/>
      <c r="E804" s="162"/>
      <c r="F804" s="897"/>
      <c r="G804" s="694"/>
      <c r="H804" s="695"/>
      <c r="I804" s="696"/>
      <c r="J804" s="697"/>
      <c r="K804" s="697"/>
      <c r="L804" s="697"/>
      <c r="M804" s="697"/>
      <c r="N804" s="697"/>
      <c r="O804" s="895"/>
      <c r="P804" s="162"/>
      <c r="Q804" s="161"/>
      <c r="R804" s="161"/>
      <c r="S804" s="697"/>
      <c r="T804" s="937"/>
      <c r="U804" s="895"/>
      <c r="V804" s="895"/>
      <c r="W804" s="895"/>
      <c r="X804" s="895"/>
      <c r="Y804" s="895"/>
      <c r="Z804" s="895"/>
    </row>
    <row r="805" spans="1:26">
      <c r="A805" s="895"/>
      <c r="B805" s="896"/>
      <c r="C805" s="161"/>
      <c r="D805" s="303"/>
      <c r="E805" s="162"/>
      <c r="F805" s="897"/>
      <c r="G805" s="694"/>
      <c r="H805" s="695"/>
      <c r="I805" s="696"/>
      <c r="J805" s="697"/>
      <c r="K805" s="697"/>
      <c r="L805" s="697"/>
      <c r="M805" s="697"/>
      <c r="N805" s="697"/>
      <c r="O805" s="895"/>
      <c r="P805" s="162"/>
      <c r="Q805" s="161"/>
      <c r="R805" s="161"/>
      <c r="S805" s="697"/>
      <c r="T805" s="937"/>
      <c r="U805" s="895"/>
      <c r="V805" s="895"/>
      <c r="W805" s="895"/>
      <c r="X805" s="895"/>
      <c r="Y805" s="895"/>
      <c r="Z805" s="895"/>
    </row>
    <row r="806" spans="1:26">
      <c r="A806" s="895"/>
      <c r="B806" s="896"/>
      <c r="C806" s="161"/>
      <c r="D806" s="303"/>
      <c r="E806" s="162"/>
      <c r="F806" s="897"/>
      <c r="G806" s="694"/>
      <c r="H806" s="695"/>
      <c r="I806" s="696"/>
      <c r="J806" s="697"/>
      <c r="K806" s="697"/>
      <c r="L806" s="697"/>
      <c r="M806" s="697"/>
      <c r="N806" s="697"/>
      <c r="O806" s="895"/>
      <c r="P806" s="162"/>
      <c r="Q806" s="161"/>
      <c r="R806" s="161"/>
      <c r="S806" s="697"/>
      <c r="T806" s="937"/>
      <c r="U806" s="895"/>
      <c r="V806" s="895"/>
      <c r="W806" s="895"/>
      <c r="X806" s="895"/>
      <c r="Y806" s="895"/>
      <c r="Z806" s="895"/>
    </row>
    <row r="807" spans="1:26">
      <c r="A807" s="895"/>
      <c r="B807" s="896"/>
      <c r="C807" s="161"/>
      <c r="D807" s="303"/>
      <c r="E807" s="162"/>
      <c r="F807" s="897"/>
      <c r="G807" s="694"/>
      <c r="H807" s="695"/>
      <c r="I807" s="696"/>
      <c r="J807" s="697"/>
      <c r="K807" s="697"/>
      <c r="L807" s="697"/>
      <c r="M807" s="697"/>
      <c r="N807" s="697"/>
      <c r="O807" s="895"/>
      <c r="P807" s="162"/>
      <c r="Q807" s="161"/>
      <c r="R807" s="161"/>
      <c r="S807" s="697"/>
      <c r="T807" s="937"/>
      <c r="U807" s="895"/>
      <c r="V807" s="895"/>
      <c r="W807" s="895"/>
      <c r="X807" s="895"/>
      <c r="Y807" s="895"/>
      <c r="Z807" s="895"/>
    </row>
    <row r="808" spans="1:26">
      <c r="A808" s="895"/>
      <c r="B808" s="896"/>
      <c r="C808" s="161"/>
      <c r="D808" s="303"/>
      <c r="E808" s="162"/>
      <c r="F808" s="897"/>
      <c r="G808" s="694"/>
      <c r="H808" s="695"/>
      <c r="I808" s="696"/>
      <c r="J808" s="697"/>
      <c r="K808" s="697"/>
      <c r="L808" s="697"/>
      <c r="M808" s="697"/>
      <c r="N808" s="697"/>
      <c r="O808" s="895"/>
      <c r="P808" s="162"/>
      <c r="Q808" s="161"/>
      <c r="R808" s="161"/>
      <c r="S808" s="697"/>
      <c r="T808" s="937"/>
      <c r="U808" s="895"/>
      <c r="V808" s="895"/>
      <c r="W808" s="895"/>
      <c r="X808" s="895"/>
      <c r="Y808" s="895"/>
      <c r="Z808" s="895"/>
    </row>
    <row r="809" spans="1:26">
      <c r="A809" s="895"/>
      <c r="B809" s="896"/>
      <c r="C809" s="161"/>
      <c r="D809" s="303"/>
      <c r="E809" s="162"/>
      <c r="F809" s="897"/>
      <c r="G809" s="694"/>
      <c r="H809" s="695"/>
      <c r="I809" s="696"/>
      <c r="J809" s="697"/>
      <c r="K809" s="697"/>
      <c r="L809" s="697"/>
      <c r="M809" s="697"/>
      <c r="N809" s="697"/>
      <c r="O809" s="895"/>
      <c r="P809" s="162"/>
      <c r="Q809" s="161"/>
      <c r="R809" s="161"/>
      <c r="S809" s="697"/>
      <c r="T809" s="937"/>
      <c r="U809" s="895"/>
      <c r="V809" s="895"/>
      <c r="W809" s="895"/>
      <c r="X809" s="895"/>
      <c r="Y809" s="895"/>
      <c r="Z809" s="895"/>
    </row>
    <row r="810" spans="1:26">
      <c r="A810" s="895"/>
      <c r="B810" s="896"/>
      <c r="C810" s="161"/>
      <c r="D810" s="303"/>
      <c r="E810" s="162"/>
      <c r="F810" s="897"/>
      <c r="G810" s="694"/>
      <c r="H810" s="695"/>
      <c r="I810" s="696"/>
      <c r="J810" s="697"/>
      <c r="K810" s="697"/>
      <c r="L810" s="697"/>
      <c r="M810" s="697"/>
      <c r="N810" s="697"/>
      <c r="O810" s="895"/>
      <c r="P810" s="162"/>
      <c r="Q810" s="161"/>
      <c r="R810" s="161"/>
      <c r="S810" s="697"/>
      <c r="T810" s="937"/>
      <c r="U810" s="895"/>
      <c r="V810" s="895"/>
      <c r="W810" s="895"/>
      <c r="X810" s="895"/>
      <c r="Y810" s="895"/>
      <c r="Z810" s="895"/>
    </row>
    <row r="811" spans="1:26">
      <c r="A811" s="895"/>
      <c r="B811" s="896"/>
      <c r="C811" s="161"/>
      <c r="D811" s="303"/>
      <c r="E811" s="162"/>
      <c r="F811" s="897"/>
      <c r="G811" s="694"/>
      <c r="H811" s="695"/>
      <c r="I811" s="696"/>
      <c r="J811" s="697"/>
      <c r="K811" s="697"/>
      <c r="L811" s="697"/>
      <c r="M811" s="697"/>
      <c r="N811" s="697"/>
      <c r="O811" s="895"/>
      <c r="P811" s="162"/>
      <c r="Q811" s="161"/>
      <c r="R811" s="161"/>
      <c r="S811" s="697"/>
      <c r="T811" s="937"/>
      <c r="U811" s="895"/>
      <c r="V811" s="895"/>
      <c r="W811" s="895"/>
      <c r="X811" s="895"/>
      <c r="Y811" s="895"/>
      <c r="Z811" s="895"/>
    </row>
    <row r="812" spans="1:26">
      <c r="A812" s="895"/>
      <c r="B812" s="896"/>
      <c r="C812" s="161"/>
      <c r="D812" s="303"/>
      <c r="E812" s="162"/>
      <c r="F812" s="897"/>
      <c r="G812" s="694"/>
      <c r="H812" s="695"/>
      <c r="I812" s="696"/>
      <c r="J812" s="697"/>
      <c r="K812" s="697"/>
      <c r="L812" s="697"/>
      <c r="M812" s="697"/>
      <c r="N812" s="697"/>
      <c r="O812" s="895"/>
      <c r="P812" s="162"/>
      <c r="Q812" s="161"/>
      <c r="R812" s="161"/>
      <c r="S812" s="697"/>
      <c r="T812" s="937"/>
      <c r="U812" s="895"/>
      <c r="V812" s="895"/>
      <c r="W812" s="895"/>
      <c r="X812" s="895"/>
      <c r="Y812" s="895"/>
      <c r="Z812" s="895"/>
    </row>
    <row r="813" spans="1:26">
      <c r="A813" s="895"/>
      <c r="B813" s="896"/>
      <c r="C813" s="161"/>
      <c r="D813" s="303"/>
      <c r="E813" s="162"/>
      <c r="F813" s="897"/>
      <c r="G813" s="694"/>
      <c r="H813" s="695"/>
      <c r="I813" s="696"/>
      <c r="J813" s="697"/>
      <c r="K813" s="697"/>
      <c r="L813" s="697"/>
      <c r="M813" s="697"/>
      <c r="N813" s="697"/>
      <c r="O813" s="895"/>
      <c r="P813" s="162"/>
      <c r="Q813" s="161"/>
      <c r="R813" s="161"/>
      <c r="S813" s="697"/>
      <c r="T813" s="937"/>
      <c r="U813" s="895"/>
      <c r="V813" s="895"/>
      <c r="W813" s="895"/>
      <c r="X813" s="895"/>
      <c r="Y813" s="895"/>
      <c r="Z813" s="895"/>
    </row>
    <row r="814" spans="1:26">
      <c r="A814" s="895"/>
      <c r="B814" s="896"/>
      <c r="C814" s="161"/>
      <c r="D814" s="303"/>
      <c r="E814" s="162"/>
      <c r="F814" s="897"/>
      <c r="G814" s="694"/>
      <c r="H814" s="695"/>
      <c r="I814" s="696"/>
      <c r="J814" s="697"/>
      <c r="K814" s="697"/>
      <c r="L814" s="697"/>
      <c r="M814" s="697"/>
      <c r="N814" s="697"/>
      <c r="O814" s="895"/>
      <c r="P814" s="162"/>
      <c r="Q814" s="161"/>
      <c r="R814" s="161"/>
      <c r="S814" s="697"/>
      <c r="T814" s="937"/>
      <c r="U814" s="895"/>
      <c r="V814" s="895"/>
      <c r="W814" s="895"/>
      <c r="X814" s="895"/>
      <c r="Y814" s="895"/>
      <c r="Z814" s="895"/>
    </row>
    <row r="815" spans="1:26">
      <c r="A815" s="895"/>
      <c r="B815" s="896"/>
      <c r="C815" s="161"/>
      <c r="D815" s="303"/>
      <c r="E815" s="162"/>
      <c r="F815" s="897"/>
      <c r="G815" s="694"/>
      <c r="H815" s="695"/>
      <c r="I815" s="696"/>
      <c r="J815" s="697"/>
      <c r="K815" s="697"/>
      <c r="L815" s="697"/>
      <c r="M815" s="697"/>
      <c r="N815" s="697"/>
      <c r="O815" s="895"/>
      <c r="P815" s="162"/>
      <c r="Q815" s="161"/>
      <c r="R815" s="161"/>
      <c r="S815" s="697"/>
      <c r="T815" s="937"/>
      <c r="U815" s="895"/>
      <c r="V815" s="895"/>
      <c r="W815" s="895"/>
      <c r="X815" s="895"/>
      <c r="Y815" s="895"/>
      <c r="Z815" s="895"/>
    </row>
    <row r="816" spans="1:26">
      <c r="A816" s="895"/>
      <c r="B816" s="896"/>
      <c r="C816" s="161"/>
      <c r="D816" s="303"/>
      <c r="E816" s="162"/>
      <c r="F816" s="897"/>
      <c r="G816" s="694"/>
      <c r="H816" s="695"/>
      <c r="I816" s="696"/>
      <c r="J816" s="697"/>
      <c r="K816" s="697"/>
      <c r="L816" s="697"/>
      <c r="M816" s="697"/>
      <c r="N816" s="697"/>
      <c r="O816" s="895"/>
      <c r="P816" s="162"/>
      <c r="Q816" s="161"/>
      <c r="R816" s="161"/>
      <c r="S816" s="697"/>
      <c r="T816" s="937"/>
      <c r="U816" s="895"/>
      <c r="V816" s="895"/>
      <c r="W816" s="895"/>
      <c r="X816" s="895"/>
      <c r="Y816" s="895"/>
      <c r="Z816" s="895"/>
    </row>
    <row r="817" spans="1:26">
      <c r="A817" s="895"/>
      <c r="B817" s="896"/>
      <c r="C817" s="161"/>
      <c r="D817" s="303"/>
      <c r="E817" s="162"/>
      <c r="F817" s="897"/>
      <c r="G817" s="694"/>
      <c r="H817" s="695"/>
      <c r="I817" s="696"/>
      <c r="J817" s="697"/>
      <c r="K817" s="697"/>
      <c r="L817" s="697"/>
      <c r="M817" s="697"/>
      <c r="N817" s="697"/>
      <c r="O817" s="895"/>
      <c r="P817" s="162"/>
      <c r="Q817" s="161"/>
      <c r="R817" s="161"/>
      <c r="S817" s="697"/>
      <c r="T817" s="937"/>
      <c r="U817" s="895"/>
      <c r="V817" s="895"/>
      <c r="W817" s="895"/>
      <c r="X817" s="895"/>
      <c r="Y817" s="895"/>
      <c r="Z817" s="895"/>
    </row>
    <row r="818" spans="1:26">
      <c r="A818" s="895"/>
      <c r="B818" s="896"/>
      <c r="C818" s="161"/>
      <c r="D818" s="303"/>
      <c r="E818" s="162"/>
      <c r="F818" s="897"/>
      <c r="G818" s="694"/>
      <c r="H818" s="695"/>
      <c r="I818" s="696"/>
      <c r="J818" s="697"/>
      <c r="K818" s="697"/>
      <c r="L818" s="697"/>
      <c r="M818" s="697"/>
      <c r="N818" s="697"/>
      <c r="O818" s="895"/>
      <c r="P818" s="162"/>
      <c r="Q818" s="161"/>
      <c r="R818" s="161"/>
      <c r="S818" s="697"/>
      <c r="T818" s="937"/>
      <c r="U818" s="895"/>
      <c r="V818" s="895"/>
      <c r="W818" s="895"/>
      <c r="X818" s="895"/>
      <c r="Y818" s="895"/>
      <c r="Z818" s="895"/>
    </row>
    <row r="819" spans="1:26">
      <c r="A819" s="895"/>
      <c r="B819" s="896"/>
      <c r="C819" s="161"/>
      <c r="D819" s="303"/>
      <c r="E819" s="162"/>
      <c r="F819" s="897"/>
      <c r="G819" s="694"/>
      <c r="H819" s="695"/>
      <c r="I819" s="696"/>
      <c r="J819" s="697"/>
      <c r="K819" s="697"/>
      <c r="L819" s="697"/>
      <c r="M819" s="697"/>
      <c r="N819" s="697"/>
      <c r="O819" s="895"/>
      <c r="P819" s="162"/>
      <c r="Q819" s="161"/>
      <c r="R819" s="161"/>
      <c r="S819" s="697"/>
      <c r="T819" s="937"/>
      <c r="U819" s="895"/>
      <c r="V819" s="895"/>
      <c r="W819" s="895"/>
      <c r="X819" s="895"/>
      <c r="Y819" s="895"/>
      <c r="Z819" s="895"/>
    </row>
    <row r="820" spans="1:26">
      <c r="A820" s="895"/>
      <c r="B820" s="896"/>
      <c r="C820" s="161"/>
      <c r="D820" s="303"/>
      <c r="E820" s="162"/>
      <c r="F820" s="897"/>
      <c r="G820" s="694"/>
      <c r="H820" s="695"/>
      <c r="I820" s="696"/>
      <c r="J820" s="697"/>
      <c r="K820" s="697"/>
      <c r="L820" s="697"/>
      <c r="M820" s="697"/>
      <c r="N820" s="697"/>
      <c r="O820" s="895"/>
      <c r="P820" s="162"/>
      <c r="Q820" s="161"/>
      <c r="R820" s="161"/>
      <c r="S820" s="697"/>
      <c r="T820" s="937"/>
      <c r="U820" s="895"/>
      <c r="V820" s="895"/>
      <c r="W820" s="895"/>
      <c r="X820" s="895"/>
      <c r="Y820" s="895"/>
      <c r="Z820" s="895"/>
    </row>
    <row r="821" spans="1:26">
      <c r="A821" s="895"/>
      <c r="B821" s="896"/>
      <c r="C821" s="161"/>
      <c r="D821" s="303"/>
      <c r="E821" s="162"/>
      <c r="F821" s="897"/>
      <c r="G821" s="694"/>
      <c r="H821" s="695"/>
      <c r="I821" s="696"/>
      <c r="J821" s="697"/>
      <c r="K821" s="697"/>
      <c r="L821" s="697"/>
      <c r="M821" s="697"/>
      <c r="N821" s="697"/>
      <c r="O821" s="895"/>
      <c r="P821" s="162"/>
      <c r="Q821" s="161"/>
      <c r="R821" s="161"/>
      <c r="S821" s="697"/>
      <c r="T821" s="937"/>
      <c r="U821" s="895"/>
      <c r="V821" s="895"/>
      <c r="W821" s="895"/>
      <c r="X821" s="895"/>
      <c r="Y821" s="895"/>
      <c r="Z821" s="895"/>
    </row>
    <row r="822" spans="1:26">
      <c r="A822" s="895"/>
      <c r="B822" s="896"/>
      <c r="C822" s="161"/>
      <c r="D822" s="303"/>
      <c r="E822" s="162"/>
      <c r="F822" s="897"/>
      <c r="G822" s="694"/>
      <c r="H822" s="695"/>
      <c r="I822" s="696"/>
      <c r="J822" s="697"/>
      <c r="K822" s="697"/>
      <c r="L822" s="697"/>
      <c r="M822" s="697"/>
      <c r="N822" s="697"/>
      <c r="O822" s="895"/>
      <c r="P822" s="162"/>
      <c r="Q822" s="161"/>
      <c r="R822" s="161"/>
      <c r="S822" s="697"/>
      <c r="T822" s="937"/>
      <c r="U822" s="895"/>
      <c r="V822" s="895"/>
      <c r="W822" s="895"/>
      <c r="X822" s="895"/>
      <c r="Y822" s="895"/>
      <c r="Z822" s="895"/>
    </row>
    <row r="823" spans="1:26">
      <c r="A823" s="895"/>
      <c r="B823" s="896"/>
      <c r="C823" s="161"/>
      <c r="D823" s="303"/>
      <c r="E823" s="162"/>
      <c r="F823" s="897"/>
      <c r="G823" s="694"/>
      <c r="H823" s="695"/>
      <c r="I823" s="696"/>
      <c r="J823" s="697"/>
      <c r="K823" s="697"/>
      <c r="L823" s="697"/>
      <c r="M823" s="697"/>
      <c r="N823" s="697"/>
      <c r="O823" s="895"/>
      <c r="P823" s="162"/>
      <c r="Q823" s="161"/>
      <c r="R823" s="161"/>
      <c r="S823" s="697"/>
      <c r="T823" s="937"/>
      <c r="U823" s="895"/>
      <c r="V823" s="895"/>
      <c r="W823" s="895"/>
      <c r="X823" s="895"/>
      <c r="Y823" s="895"/>
      <c r="Z823" s="895"/>
    </row>
    <row r="824" spans="1:26">
      <c r="A824" s="895"/>
      <c r="B824" s="896"/>
      <c r="C824" s="161"/>
      <c r="D824" s="303"/>
      <c r="E824" s="162"/>
      <c r="F824" s="897"/>
      <c r="G824" s="694"/>
      <c r="H824" s="695"/>
      <c r="I824" s="696"/>
      <c r="J824" s="697"/>
      <c r="K824" s="697"/>
      <c r="L824" s="697"/>
      <c r="M824" s="697"/>
      <c r="N824" s="697"/>
      <c r="O824" s="895"/>
      <c r="P824" s="162"/>
      <c r="Q824" s="161"/>
      <c r="R824" s="161"/>
      <c r="S824" s="697"/>
      <c r="T824" s="937"/>
      <c r="U824" s="895"/>
      <c r="V824" s="895"/>
      <c r="W824" s="895"/>
      <c r="X824" s="895"/>
      <c r="Y824" s="895"/>
      <c r="Z824" s="895"/>
    </row>
    <row r="825" spans="1:26">
      <c r="A825" s="895"/>
      <c r="B825" s="896"/>
      <c r="C825" s="161"/>
      <c r="D825" s="303"/>
      <c r="E825" s="162"/>
      <c r="F825" s="897"/>
      <c r="G825" s="694"/>
      <c r="H825" s="695"/>
      <c r="I825" s="696"/>
      <c r="J825" s="697"/>
      <c r="K825" s="697"/>
      <c r="L825" s="697"/>
      <c r="M825" s="697"/>
      <c r="N825" s="697"/>
      <c r="O825" s="895"/>
      <c r="P825" s="162"/>
      <c r="Q825" s="161"/>
      <c r="R825" s="161"/>
      <c r="S825" s="697"/>
      <c r="T825" s="937"/>
      <c r="U825" s="895"/>
      <c r="V825" s="895"/>
      <c r="W825" s="895"/>
      <c r="X825" s="895"/>
      <c r="Y825" s="895"/>
      <c r="Z825" s="895"/>
    </row>
    <row r="826" spans="1:26">
      <c r="A826" s="895"/>
      <c r="B826" s="896"/>
      <c r="C826" s="161"/>
      <c r="D826" s="303"/>
      <c r="E826" s="162"/>
      <c r="F826" s="897"/>
      <c r="G826" s="694"/>
      <c r="H826" s="695"/>
      <c r="I826" s="696"/>
      <c r="J826" s="697"/>
      <c r="K826" s="697"/>
      <c r="L826" s="697"/>
      <c r="M826" s="697"/>
      <c r="N826" s="697"/>
      <c r="O826" s="895"/>
      <c r="P826" s="162"/>
      <c r="Q826" s="161"/>
      <c r="R826" s="161"/>
      <c r="S826" s="697"/>
      <c r="T826" s="937"/>
      <c r="U826" s="895"/>
      <c r="V826" s="895"/>
      <c r="W826" s="895"/>
      <c r="X826" s="895"/>
      <c r="Y826" s="895"/>
      <c r="Z826" s="895"/>
    </row>
    <row r="827" spans="1:26">
      <c r="A827" s="895"/>
      <c r="B827" s="896"/>
      <c r="C827" s="161"/>
      <c r="D827" s="303"/>
      <c r="E827" s="162"/>
      <c r="F827" s="897"/>
      <c r="G827" s="694"/>
      <c r="H827" s="695"/>
      <c r="I827" s="696"/>
      <c r="J827" s="697"/>
      <c r="K827" s="697"/>
      <c r="L827" s="697"/>
      <c r="M827" s="697"/>
      <c r="N827" s="697"/>
      <c r="O827" s="895"/>
      <c r="P827" s="162"/>
      <c r="Q827" s="161"/>
      <c r="R827" s="161"/>
      <c r="S827" s="697"/>
      <c r="T827" s="937"/>
      <c r="U827" s="895"/>
      <c r="V827" s="895"/>
      <c r="W827" s="895"/>
      <c r="X827" s="895"/>
      <c r="Y827" s="895"/>
      <c r="Z827" s="895"/>
    </row>
    <row r="828" spans="1:26">
      <c r="A828" s="895"/>
      <c r="B828" s="896"/>
      <c r="C828" s="161"/>
      <c r="D828" s="303"/>
      <c r="E828" s="162"/>
      <c r="F828" s="897"/>
      <c r="G828" s="694"/>
      <c r="H828" s="695"/>
      <c r="I828" s="696"/>
      <c r="J828" s="697"/>
      <c r="K828" s="697"/>
      <c r="L828" s="697"/>
      <c r="M828" s="697"/>
      <c r="N828" s="697"/>
      <c r="O828" s="895"/>
      <c r="P828" s="162"/>
      <c r="Q828" s="161"/>
      <c r="R828" s="161"/>
      <c r="S828" s="697"/>
      <c r="T828" s="937"/>
      <c r="U828" s="895"/>
      <c r="V828" s="895"/>
      <c r="W828" s="895"/>
      <c r="X828" s="895"/>
      <c r="Y828" s="895"/>
      <c r="Z828" s="895"/>
    </row>
    <row r="829" spans="1:26">
      <c r="A829" s="895"/>
      <c r="B829" s="896"/>
      <c r="C829" s="161"/>
      <c r="D829" s="303"/>
      <c r="E829" s="162"/>
      <c r="F829" s="897"/>
      <c r="G829" s="694"/>
      <c r="H829" s="695"/>
      <c r="I829" s="696"/>
      <c r="J829" s="697"/>
      <c r="K829" s="697"/>
      <c r="L829" s="697"/>
      <c r="M829" s="697"/>
      <c r="N829" s="697"/>
      <c r="O829" s="895"/>
      <c r="P829" s="162"/>
      <c r="Q829" s="161"/>
      <c r="R829" s="161"/>
      <c r="S829" s="697"/>
      <c r="T829" s="937"/>
      <c r="U829" s="895"/>
      <c r="V829" s="895"/>
      <c r="W829" s="895"/>
      <c r="X829" s="895"/>
      <c r="Y829" s="895"/>
      <c r="Z829" s="895"/>
    </row>
    <row r="830" spans="1:26">
      <c r="A830" s="895"/>
      <c r="B830" s="896"/>
      <c r="C830" s="161"/>
      <c r="D830" s="303"/>
      <c r="E830" s="162"/>
      <c r="F830" s="897"/>
      <c r="G830" s="694"/>
      <c r="H830" s="695"/>
      <c r="I830" s="696"/>
      <c r="J830" s="697"/>
      <c r="K830" s="697"/>
      <c r="L830" s="697"/>
      <c r="M830" s="697"/>
      <c r="N830" s="697"/>
      <c r="O830" s="895"/>
      <c r="P830" s="162"/>
      <c r="Q830" s="161"/>
      <c r="R830" s="161"/>
      <c r="S830" s="697"/>
      <c r="T830" s="937"/>
      <c r="U830" s="895"/>
      <c r="V830" s="895"/>
      <c r="W830" s="895"/>
      <c r="X830" s="895"/>
      <c r="Y830" s="895"/>
      <c r="Z830" s="895"/>
    </row>
    <row r="831" spans="1:26">
      <c r="A831" s="895"/>
      <c r="B831" s="896"/>
      <c r="C831" s="161"/>
      <c r="D831" s="303"/>
      <c r="E831" s="162"/>
      <c r="F831" s="897"/>
      <c r="G831" s="694"/>
      <c r="H831" s="695"/>
      <c r="I831" s="696"/>
      <c r="J831" s="697"/>
      <c r="K831" s="697"/>
      <c r="L831" s="697"/>
      <c r="M831" s="697"/>
      <c r="N831" s="697"/>
      <c r="O831" s="895"/>
      <c r="P831" s="162"/>
      <c r="Q831" s="161"/>
      <c r="R831" s="161"/>
      <c r="S831" s="697"/>
      <c r="T831" s="937"/>
      <c r="U831" s="895"/>
      <c r="V831" s="895"/>
      <c r="W831" s="895"/>
      <c r="X831" s="895"/>
      <c r="Y831" s="895"/>
      <c r="Z831" s="895"/>
    </row>
    <row r="832" spans="1:26">
      <c r="A832" s="895"/>
      <c r="B832" s="896"/>
      <c r="C832" s="161"/>
      <c r="D832" s="303"/>
      <c r="E832" s="162"/>
      <c r="F832" s="897"/>
      <c r="G832" s="694"/>
      <c r="H832" s="695"/>
      <c r="I832" s="696"/>
      <c r="J832" s="697"/>
      <c r="K832" s="697"/>
      <c r="L832" s="697"/>
      <c r="M832" s="697"/>
      <c r="N832" s="697"/>
      <c r="O832" s="895"/>
      <c r="P832" s="162"/>
      <c r="Q832" s="161"/>
      <c r="R832" s="161"/>
      <c r="S832" s="697"/>
      <c r="T832" s="937"/>
      <c r="U832" s="895"/>
      <c r="V832" s="895"/>
      <c r="W832" s="895"/>
      <c r="X832" s="895"/>
      <c r="Y832" s="895"/>
      <c r="Z832" s="895"/>
    </row>
    <row r="833" spans="1:26">
      <c r="A833" s="895"/>
      <c r="B833" s="896"/>
      <c r="C833" s="161"/>
      <c r="D833" s="303"/>
      <c r="E833" s="162"/>
      <c r="F833" s="897"/>
      <c r="G833" s="694"/>
      <c r="H833" s="695"/>
      <c r="I833" s="696"/>
      <c r="J833" s="697"/>
      <c r="K833" s="697"/>
      <c r="L833" s="697"/>
      <c r="M833" s="697"/>
      <c r="N833" s="697"/>
      <c r="O833" s="895"/>
      <c r="P833" s="162"/>
      <c r="Q833" s="161"/>
      <c r="R833" s="161"/>
      <c r="S833" s="697"/>
      <c r="T833" s="937"/>
      <c r="U833" s="895"/>
      <c r="V833" s="895"/>
      <c r="W833" s="895"/>
      <c r="X833" s="895"/>
      <c r="Y833" s="895"/>
      <c r="Z833" s="895"/>
    </row>
    <row r="834" spans="1:26">
      <c r="A834" s="895"/>
      <c r="B834" s="896"/>
      <c r="C834" s="161"/>
      <c r="D834" s="303"/>
      <c r="E834" s="162"/>
      <c r="F834" s="897"/>
      <c r="G834" s="694"/>
      <c r="H834" s="695"/>
      <c r="I834" s="696"/>
      <c r="J834" s="697"/>
      <c r="K834" s="697"/>
      <c r="L834" s="697"/>
      <c r="M834" s="697"/>
      <c r="N834" s="697"/>
      <c r="O834" s="895"/>
      <c r="P834" s="162"/>
      <c r="Q834" s="161"/>
      <c r="R834" s="161"/>
      <c r="S834" s="697"/>
      <c r="T834" s="937"/>
      <c r="U834" s="895"/>
      <c r="V834" s="895"/>
      <c r="W834" s="895"/>
      <c r="X834" s="895"/>
      <c r="Y834" s="895"/>
      <c r="Z834" s="895"/>
    </row>
    <row r="835" spans="1:26">
      <c r="A835" s="895"/>
      <c r="B835" s="896"/>
      <c r="C835" s="161"/>
      <c r="D835" s="303"/>
      <c r="E835" s="162"/>
      <c r="F835" s="897"/>
      <c r="G835" s="694"/>
      <c r="H835" s="695"/>
      <c r="I835" s="696"/>
      <c r="J835" s="697"/>
      <c r="K835" s="697"/>
      <c r="L835" s="697"/>
      <c r="M835" s="697"/>
      <c r="N835" s="697"/>
      <c r="O835" s="895"/>
      <c r="P835" s="162"/>
      <c r="Q835" s="161"/>
      <c r="R835" s="161"/>
      <c r="S835" s="697"/>
      <c r="T835" s="937"/>
      <c r="U835" s="895"/>
      <c r="V835" s="895"/>
      <c r="W835" s="895"/>
      <c r="X835" s="895"/>
      <c r="Y835" s="895"/>
      <c r="Z835" s="895"/>
    </row>
    <row r="836" spans="1:26">
      <c r="A836" s="895"/>
      <c r="B836" s="896"/>
      <c r="C836" s="161"/>
      <c r="D836" s="303"/>
      <c r="E836" s="162"/>
      <c r="F836" s="897"/>
      <c r="G836" s="694"/>
      <c r="H836" s="695"/>
      <c r="I836" s="696"/>
      <c r="J836" s="697"/>
      <c r="K836" s="697"/>
      <c r="L836" s="697"/>
      <c r="M836" s="697"/>
      <c r="N836" s="697"/>
      <c r="O836" s="895"/>
      <c r="P836" s="162"/>
      <c r="Q836" s="161"/>
      <c r="R836" s="161"/>
      <c r="S836" s="697"/>
      <c r="T836" s="937"/>
      <c r="U836" s="895"/>
      <c r="V836" s="895"/>
      <c r="W836" s="895"/>
      <c r="X836" s="895"/>
      <c r="Y836" s="895"/>
      <c r="Z836" s="895"/>
    </row>
    <row r="837" spans="1:26">
      <c r="A837" s="895"/>
      <c r="B837" s="896"/>
      <c r="C837" s="161"/>
      <c r="D837" s="303"/>
      <c r="E837" s="162"/>
      <c r="F837" s="897"/>
      <c r="G837" s="694"/>
      <c r="H837" s="695"/>
      <c r="I837" s="696"/>
      <c r="J837" s="697"/>
      <c r="K837" s="697"/>
      <c r="L837" s="697"/>
      <c r="M837" s="697"/>
      <c r="N837" s="697"/>
      <c r="O837" s="895"/>
      <c r="P837" s="162"/>
      <c r="Q837" s="161"/>
      <c r="R837" s="161"/>
      <c r="S837" s="697"/>
      <c r="T837" s="937"/>
      <c r="U837" s="895"/>
      <c r="V837" s="895"/>
      <c r="W837" s="895"/>
      <c r="X837" s="895"/>
      <c r="Y837" s="895"/>
      <c r="Z837" s="895"/>
    </row>
    <row r="838" spans="1:26">
      <c r="A838" s="895"/>
      <c r="B838" s="896"/>
      <c r="C838" s="161"/>
      <c r="D838" s="303"/>
      <c r="E838" s="162"/>
      <c r="F838" s="897"/>
      <c r="G838" s="694"/>
      <c r="H838" s="695"/>
      <c r="I838" s="696"/>
      <c r="J838" s="697"/>
      <c r="K838" s="697"/>
      <c r="L838" s="697"/>
      <c r="M838" s="697"/>
      <c r="N838" s="697"/>
      <c r="O838" s="895"/>
      <c r="P838" s="162"/>
      <c r="Q838" s="161"/>
      <c r="R838" s="161"/>
      <c r="S838" s="697"/>
      <c r="T838" s="937"/>
      <c r="U838" s="895"/>
      <c r="V838" s="895"/>
      <c r="W838" s="895"/>
      <c r="X838" s="895"/>
      <c r="Y838" s="895"/>
      <c r="Z838" s="895"/>
    </row>
    <row r="839" spans="1:26">
      <c r="A839" s="895"/>
      <c r="B839" s="896"/>
      <c r="C839" s="161"/>
      <c r="D839" s="303"/>
      <c r="E839" s="162"/>
      <c r="F839" s="897"/>
      <c r="G839" s="694"/>
      <c r="H839" s="695"/>
      <c r="I839" s="696"/>
      <c r="J839" s="697"/>
      <c r="K839" s="697"/>
      <c r="L839" s="697"/>
      <c r="M839" s="697"/>
      <c r="N839" s="697"/>
      <c r="O839" s="895"/>
      <c r="P839" s="162"/>
      <c r="Q839" s="161"/>
      <c r="R839" s="161"/>
      <c r="S839" s="697"/>
      <c r="T839" s="937"/>
      <c r="U839" s="895"/>
      <c r="V839" s="895"/>
      <c r="W839" s="895"/>
      <c r="X839" s="895"/>
      <c r="Y839" s="895"/>
      <c r="Z839" s="895"/>
    </row>
    <row r="840" spans="1:26">
      <c r="A840" s="895"/>
      <c r="B840" s="896"/>
      <c r="C840" s="161"/>
      <c r="D840" s="303"/>
      <c r="E840" s="162"/>
      <c r="F840" s="897"/>
      <c r="G840" s="694"/>
      <c r="H840" s="695"/>
      <c r="I840" s="696"/>
      <c r="J840" s="697"/>
      <c r="K840" s="697"/>
      <c r="L840" s="697"/>
      <c r="M840" s="697"/>
      <c r="N840" s="697"/>
      <c r="O840" s="895"/>
      <c r="P840" s="162"/>
      <c r="Q840" s="161"/>
      <c r="R840" s="161"/>
      <c r="S840" s="697"/>
      <c r="T840" s="937"/>
      <c r="U840" s="895"/>
      <c r="V840" s="895"/>
      <c r="W840" s="895"/>
      <c r="X840" s="895"/>
      <c r="Y840" s="895"/>
      <c r="Z840" s="895"/>
    </row>
    <row r="841" spans="1:26">
      <c r="A841" s="895"/>
      <c r="B841" s="896"/>
      <c r="C841" s="161"/>
      <c r="D841" s="303"/>
      <c r="E841" s="162"/>
      <c r="F841" s="897"/>
      <c r="G841" s="694"/>
      <c r="H841" s="695"/>
      <c r="I841" s="696"/>
      <c r="J841" s="697"/>
      <c r="K841" s="697"/>
      <c r="L841" s="697"/>
      <c r="M841" s="697"/>
      <c r="N841" s="697"/>
      <c r="O841" s="895"/>
      <c r="P841" s="162"/>
      <c r="Q841" s="161"/>
      <c r="R841" s="161"/>
      <c r="S841" s="697"/>
      <c r="T841" s="937"/>
      <c r="U841" s="895"/>
      <c r="V841" s="895"/>
      <c r="W841" s="895"/>
      <c r="X841" s="895"/>
      <c r="Y841" s="895"/>
      <c r="Z841" s="895"/>
    </row>
    <row r="842" spans="1:26">
      <c r="A842" s="895"/>
      <c r="B842" s="896"/>
      <c r="C842" s="161"/>
      <c r="D842" s="303"/>
      <c r="E842" s="162"/>
      <c r="F842" s="897"/>
      <c r="G842" s="694"/>
      <c r="H842" s="695"/>
      <c r="I842" s="696"/>
      <c r="J842" s="697"/>
      <c r="K842" s="697"/>
      <c r="L842" s="697"/>
      <c r="M842" s="697"/>
      <c r="N842" s="697"/>
      <c r="O842" s="895"/>
      <c r="P842" s="162"/>
      <c r="Q842" s="161"/>
      <c r="R842" s="161"/>
      <c r="S842" s="697"/>
      <c r="T842" s="937"/>
      <c r="U842" s="895"/>
      <c r="V842" s="895"/>
      <c r="W842" s="895"/>
      <c r="X842" s="895"/>
      <c r="Y842" s="895"/>
      <c r="Z842" s="895"/>
    </row>
    <row r="843" spans="1:26">
      <c r="A843" s="895"/>
      <c r="B843" s="896"/>
      <c r="C843" s="161"/>
      <c r="D843" s="303"/>
      <c r="E843" s="162"/>
      <c r="F843" s="897"/>
      <c r="G843" s="694"/>
      <c r="H843" s="695"/>
      <c r="I843" s="696"/>
      <c r="J843" s="697"/>
      <c r="K843" s="697"/>
      <c r="L843" s="697"/>
      <c r="M843" s="697"/>
      <c r="N843" s="697"/>
      <c r="O843" s="895"/>
      <c r="P843" s="162"/>
      <c r="Q843" s="161"/>
      <c r="R843" s="161"/>
      <c r="S843" s="697"/>
      <c r="T843" s="937"/>
      <c r="U843" s="895"/>
      <c r="V843" s="895"/>
      <c r="W843" s="895"/>
      <c r="X843" s="895"/>
      <c r="Y843" s="895"/>
      <c r="Z843" s="895"/>
    </row>
    <row r="844" spans="1:26">
      <c r="A844" s="895"/>
      <c r="B844" s="896"/>
      <c r="C844" s="161"/>
      <c r="D844" s="303"/>
      <c r="E844" s="162"/>
      <c r="F844" s="897"/>
      <c r="G844" s="694"/>
      <c r="H844" s="695"/>
      <c r="I844" s="696"/>
      <c r="J844" s="697"/>
      <c r="K844" s="697"/>
      <c r="L844" s="697"/>
      <c r="M844" s="697"/>
      <c r="N844" s="697"/>
      <c r="O844" s="895"/>
      <c r="P844" s="162"/>
      <c r="Q844" s="161"/>
      <c r="R844" s="161"/>
      <c r="S844" s="697"/>
      <c r="T844" s="937"/>
      <c r="U844" s="895"/>
      <c r="V844" s="895"/>
      <c r="W844" s="895"/>
      <c r="X844" s="895"/>
      <c r="Y844" s="895"/>
      <c r="Z844" s="895"/>
    </row>
    <row r="845" spans="1:26">
      <c r="A845" s="895"/>
      <c r="B845" s="896"/>
      <c r="C845" s="161"/>
      <c r="D845" s="303"/>
      <c r="E845" s="162"/>
      <c r="F845" s="897"/>
      <c r="G845" s="694"/>
      <c r="H845" s="695"/>
      <c r="I845" s="696"/>
      <c r="J845" s="697"/>
      <c r="K845" s="697"/>
      <c r="L845" s="697"/>
      <c r="M845" s="697"/>
      <c r="N845" s="697"/>
      <c r="O845" s="895"/>
      <c r="P845" s="162"/>
      <c r="Q845" s="161"/>
      <c r="R845" s="161"/>
      <c r="S845" s="697"/>
      <c r="T845" s="937"/>
      <c r="U845" s="895"/>
      <c r="V845" s="895"/>
      <c r="W845" s="895"/>
      <c r="X845" s="895"/>
      <c r="Y845" s="895"/>
      <c r="Z845" s="895"/>
    </row>
    <row r="846" spans="1:26">
      <c r="A846" s="895"/>
      <c r="B846" s="896"/>
      <c r="C846" s="161"/>
      <c r="D846" s="303"/>
      <c r="E846" s="162"/>
      <c r="F846" s="897"/>
      <c r="G846" s="694"/>
      <c r="H846" s="695"/>
      <c r="I846" s="696"/>
      <c r="J846" s="697"/>
      <c r="K846" s="697"/>
      <c r="L846" s="697"/>
      <c r="M846" s="697"/>
      <c r="N846" s="697"/>
      <c r="O846" s="895"/>
      <c r="P846" s="162"/>
      <c r="Q846" s="161"/>
      <c r="R846" s="161"/>
      <c r="S846" s="697"/>
      <c r="T846" s="937"/>
      <c r="U846" s="895"/>
      <c r="V846" s="895"/>
      <c r="W846" s="895"/>
      <c r="X846" s="895"/>
      <c r="Y846" s="895"/>
      <c r="Z846" s="895"/>
    </row>
    <row r="847" spans="1:26">
      <c r="A847" s="895"/>
      <c r="B847" s="896"/>
      <c r="C847" s="161"/>
      <c r="D847" s="303"/>
      <c r="E847" s="162"/>
      <c r="F847" s="897"/>
      <c r="G847" s="694"/>
      <c r="H847" s="695"/>
      <c r="I847" s="696"/>
      <c r="J847" s="697"/>
      <c r="K847" s="697"/>
      <c r="L847" s="697"/>
      <c r="M847" s="697"/>
      <c r="N847" s="697"/>
      <c r="O847" s="895"/>
      <c r="P847" s="162"/>
      <c r="Q847" s="161"/>
      <c r="R847" s="161"/>
      <c r="S847" s="697"/>
      <c r="T847" s="937"/>
      <c r="U847" s="895"/>
      <c r="V847" s="895"/>
      <c r="W847" s="895"/>
      <c r="X847" s="895"/>
      <c r="Y847" s="895"/>
      <c r="Z847" s="895"/>
    </row>
    <row r="848" spans="1:26">
      <c r="A848" s="895"/>
      <c r="B848" s="896"/>
      <c r="C848" s="161"/>
      <c r="D848" s="303"/>
      <c r="E848" s="162"/>
      <c r="F848" s="897"/>
      <c r="G848" s="694"/>
      <c r="H848" s="695"/>
      <c r="I848" s="696"/>
      <c r="J848" s="697"/>
      <c r="K848" s="697"/>
      <c r="L848" s="697"/>
      <c r="M848" s="697"/>
      <c r="N848" s="697"/>
      <c r="O848" s="895"/>
      <c r="P848" s="162"/>
      <c r="Q848" s="161"/>
      <c r="R848" s="161"/>
      <c r="S848" s="697"/>
      <c r="T848" s="937"/>
      <c r="U848" s="895"/>
      <c r="V848" s="895"/>
      <c r="W848" s="895"/>
      <c r="X848" s="895"/>
      <c r="Y848" s="895"/>
      <c r="Z848" s="895"/>
    </row>
    <row r="849" spans="1:26">
      <c r="A849" s="895"/>
      <c r="B849" s="896"/>
      <c r="C849" s="161"/>
      <c r="D849" s="303"/>
      <c r="E849" s="162"/>
      <c r="F849" s="897"/>
      <c r="G849" s="694"/>
      <c r="H849" s="695"/>
      <c r="I849" s="696"/>
      <c r="J849" s="697"/>
      <c r="K849" s="697"/>
      <c r="L849" s="697"/>
      <c r="M849" s="697"/>
      <c r="N849" s="697"/>
      <c r="O849" s="895"/>
      <c r="P849" s="162"/>
      <c r="Q849" s="161"/>
      <c r="R849" s="161"/>
      <c r="S849" s="697"/>
      <c r="T849" s="937"/>
      <c r="U849" s="895"/>
      <c r="V849" s="895"/>
      <c r="W849" s="895"/>
      <c r="X849" s="895"/>
      <c r="Y849" s="895"/>
      <c r="Z849" s="895"/>
    </row>
    <row r="850" spans="1:26">
      <c r="A850" s="895"/>
      <c r="B850" s="896"/>
      <c r="C850" s="161"/>
      <c r="D850" s="303"/>
      <c r="E850" s="162"/>
      <c r="F850" s="897"/>
      <c r="G850" s="694"/>
      <c r="H850" s="695"/>
      <c r="I850" s="696"/>
      <c r="J850" s="697"/>
      <c r="K850" s="697"/>
      <c r="L850" s="697"/>
      <c r="M850" s="697"/>
      <c r="N850" s="697"/>
      <c r="O850" s="895"/>
      <c r="P850" s="162"/>
      <c r="Q850" s="161"/>
      <c r="R850" s="161"/>
      <c r="S850" s="697"/>
      <c r="T850" s="937"/>
      <c r="U850" s="895"/>
      <c r="V850" s="895"/>
      <c r="W850" s="895"/>
      <c r="X850" s="895"/>
      <c r="Y850" s="895"/>
      <c r="Z850" s="895"/>
    </row>
    <row r="851" spans="1:26">
      <c r="A851" s="895"/>
      <c r="B851" s="896"/>
      <c r="C851" s="161"/>
      <c r="D851" s="303"/>
      <c r="E851" s="162"/>
      <c r="F851" s="897"/>
      <c r="G851" s="694"/>
      <c r="H851" s="695"/>
      <c r="I851" s="696"/>
      <c r="J851" s="697"/>
      <c r="K851" s="697"/>
      <c r="L851" s="697"/>
      <c r="M851" s="697"/>
      <c r="N851" s="697"/>
      <c r="O851" s="895"/>
      <c r="P851" s="162"/>
      <c r="Q851" s="161"/>
      <c r="R851" s="161"/>
      <c r="S851" s="697"/>
      <c r="T851" s="937"/>
      <c r="U851" s="895"/>
      <c r="V851" s="895"/>
      <c r="W851" s="895"/>
      <c r="X851" s="895"/>
      <c r="Y851" s="895"/>
      <c r="Z851" s="895"/>
    </row>
    <row r="852" spans="1:26">
      <c r="A852" s="895"/>
      <c r="B852" s="896"/>
      <c r="C852" s="161"/>
      <c r="D852" s="303"/>
      <c r="E852" s="162"/>
      <c r="F852" s="897"/>
      <c r="G852" s="694"/>
      <c r="H852" s="695"/>
      <c r="I852" s="696"/>
      <c r="J852" s="697"/>
      <c r="K852" s="697"/>
      <c r="L852" s="697"/>
      <c r="M852" s="697"/>
      <c r="N852" s="697"/>
      <c r="O852" s="895"/>
      <c r="P852" s="162"/>
      <c r="Q852" s="161"/>
      <c r="R852" s="161"/>
      <c r="S852" s="697"/>
      <c r="T852" s="937"/>
      <c r="U852" s="895"/>
      <c r="V852" s="895"/>
      <c r="W852" s="895"/>
      <c r="X852" s="895"/>
      <c r="Y852" s="895"/>
      <c r="Z852" s="895"/>
    </row>
    <row r="853" spans="1:26">
      <c r="A853" s="895"/>
      <c r="B853" s="896"/>
      <c r="C853" s="161"/>
      <c r="D853" s="303"/>
      <c r="E853" s="162"/>
      <c r="F853" s="897"/>
      <c r="G853" s="694"/>
      <c r="H853" s="695"/>
      <c r="I853" s="696"/>
      <c r="J853" s="697"/>
      <c r="K853" s="697"/>
      <c r="L853" s="697"/>
      <c r="M853" s="697"/>
      <c r="N853" s="697"/>
      <c r="O853" s="895"/>
      <c r="P853" s="162"/>
      <c r="Q853" s="161"/>
      <c r="R853" s="161"/>
      <c r="S853" s="697"/>
      <c r="T853" s="937"/>
      <c r="U853" s="895"/>
      <c r="V853" s="895"/>
      <c r="W853" s="895"/>
      <c r="X853" s="895"/>
      <c r="Y853" s="895"/>
      <c r="Z853" s="895"/>
    </row>
    <row r="854" spans="1:26">
      <c r="A854" s="895"/>
      <c r="B854" s="896"/>
      <c r="C854" s="161"/>
      <c r="D854" s="303"/>
      <c r="E854" s="162"/>
      <c r="F854" s="897"/>
      <c r="G854" s="694"/>
      <c r="H854" s="695"/>
      <c r="I854" s="696"/>
      <c r="J854" s="697"/>
      <c r="K854" s="697"/>
      <c r="L854" s="697"/>
      <c r="M854" s="697"/>
      <c r="N854" s="697"/>
      <c r="O854" s="895"/>
      <c r="P854" s="162"/>
      <c r="Q854" s="161"/>
      <c r="R854" s="161"/>
      <c r="S854" s="697"/>
      <c r="T854" s="937"/>
      <c r="U854" s="895"/>
      <c r="V854" s="895"/>
      <c r="W854" s="895"/>
      <c r="X854" s="895"/>
      <c r="Y854" s="895"/>
      <c r="Z854" s="895"/>
    </row>
    <row r="855" spans="1:26">
      <c r="A855" s="895"/>
      <c r="B855" s="896"/>
      <c r="C855" s="161"/>
      <c r="D855" s="303"/>
      <c r="E855" s="162"/>
      <c r="F855" s="897"/>
      <c r="G855" s="694"/>
      <c r="H855" s="695"/>
      <c r="I855" s="696"/>
      <c r="J855" s="697"/>
      <c r="K855" s="697"/>
      <c r="L855" s="697"/>
      <c r="M855" s="697"/>
      <c r="N855" s="697"/>
      <c r="O855" s="895"/>
      <c r="P855" s="162"/>
      <c r="Q855" s="161"/>
      <c r="R855" s="161"/>
      <c r="S855" s="697"/>
      <c r="T855" s="937"/>
      <c r="U855" s="895"/>
      <c r="V855" s="895"/>
      <c r="W855" s="895"/>
      <c r="X855" s="895"/>
      <c r="Y855" s="895"/>
      <c r="Z855" s="895"/>
    </row>
    <row r="856" spans="1:26">
      <c r="A856" s="895"/>
      <c r="B856" s="896"/>
      <c r="C856" s="161"/>
      <c r="D856" s="303"/>
      <c r="E856" s="162"/>
      <c r="F856" s="897"/>
      <c r="G856" s="694"/>
      <c r="H856" s="695"/>
      <c r="I856" s="696"/>
      <c r="J856" s="697"/>
      <c r="K856" s="697"/>
      <c r="L856" s="697"/>
      <c r="M856" s="697"/>
      <c r="N856" s="697"/>
      <c r="O856" s="895"/>
      <c r="P856" s="162"/>
      <c r="Q856" s="161"/>
      <c r="R856" s="161"/>
      <c r="S856" s="697"/>
      <c r="T856" s="937"/>
      <c r="U856" s="895"/>
      <c r="V856" s="895"/>
      <c r="W856" s="895"/>
      <c r="X856" s="895"/>
      <c r="Y856" s="895"/>
      <c r="Z856" s="895"/>
    </row>
    <row r="857" spans="1:26">
      <c r="A857" s="895"/>
      <c r="B857" s="896"/>
      <c r="C857" s="161"/>
      <c r="D857" s="303"/>
      <c r="E857" s="162"/>
      <c r="F857" s="897"/>
      <c r="G857" s="694"/>
      <c r="H857" s="695"/>
      <c r="I857" s="696"/>
      <c r="J857" s="697"/>
      <c r="K857" s="697"/>
      <c r="L857" s="697"/>
      <c r="M857" s="697"/>
      <c r="N857" s="697"/>
      <c r="O857" s="895"/>
      <c r="P857" s="162"/>
      <c r="Q857" s="161"/>
      <c r="R857" s="161"/>
      <c r="S857" s="697"/>
      <c r="T857" s="937"/>
      <c r="U857" s="895"/>
      <c r="V857" s="895"/>
      <c r="W857" s="895"/>
      <c r="X857" s="895"/>
      <c r="Y857" s="895"/>
      <c r="Z857" s="895"/>
    </row>
    <row r="858" spans="1:26">
      <c r="A858" s="895"/>
      <c r="B858" s="896"/>
      <c r="C858" s="161"/>
      <c r="D858" s="303"/>
      <c r="E858" s="162"/>
      <c r="F858" s="897"/>
      <c r="G858" s="694"/>
      <c r="H858" s="695"/>
      <c r="I858" s="696"/>
      <c r="J858" s="697"/>
      <c r="K858" s="697"/>
      <c r="L858" s="697"/>
      <c r="M858" s="697"/>
      <c r="N858" s="697"/>
      <c r="O858" s="895"/>
      <c r="P858" s="162"/>
      <c r="Q858" s="161"/>
      <c r="R858" s="161"/>
      <c r="S858" s="697"/>
      <c r="T858" s="937"/>
      <c r="U858" s="895"/>
      <c r="V858" s="895"/>
      <c r="W858" s="895"/>
      <c r="X858" s="895"/>
      <c r="Y858" s="895"/>
      <c r="Z858" s="895"/>
    </row>
    <row r="859" spans="1:26">
      <c r="A859" s="895"/>
      <c r="B859" s="896"/>
      <c r="C859" s="161"/>
      <c r="D859" s="303"/>
      <c r="E859" s="162"/>
      <c r="F859" s="897"/>
      <c r="G859" s="694"/>
      <c r="H859" s="695"/>
      <c r="I859" s="696"/>
      <c r="J859" s="697"/>
      <c r="K859" s="697"/>
      <c r="L859" s="697"/>
      <c r="M859" s="697"/>
      <c r="N859" s="697"/>
      <c r="O859" s="895"/>
      <c r="P859" s="162"/>
      <c r="Q859" s="161"/>
      <c r="R859" s="161"/>
      <c r="S859" s="697"/>
      <c r="T859" s="937"/>
      <c r="U859" s="895"/>
      <c r="V859" s="895"/>
      <c r="W859" s="895"/>
      <c r="X859" s="895"/>
      <c r="Y859" s="895"/>
      <c r="Z859" s="895"/>
    </row>
    <row r="860" spans="1:26">
      <c r="A860" s="895"/>
      <c r="B860" s="896"/>
      <c r="C860" s="161"/>
      <c r="D860" s="303"/>
      <c r="E860" s="162"/>
      <c r="F860" s="897"/>
      <c r="G860" s="694"/>
      <c r="H860" s="695"/>
      <c r="I860" s="696"/>
      <c r="J860" s="697"/>
      <c r="K860" s="697"/>
      <c r="L860" s="697"/>
      <c r="M860" s="697"/>
      <c r="N860" s="697"/>
      <c r="O860" s="895"/>
      <c r="P860" s="162"/>
      <c r="Q860" s="161"/>
      <c r="R860" s="161"/>
      <c r="S860" s="697"/>
      <c r="T860" s="937"/>
      <c r="U860" s="895"/>
      <c r="V860" s="895"/>
      <c r="W860" s="895"/>
      <c r="X860" s="895"/>
      <c r="Y860" s="895"/>
      <c r="Z860" s="895"/>
    </row>
    <row r="861" spans="1:26">
      <c r="A861" s="895"/>
      <c r="B861" s="896"/>
      <c r="C861" s="161"/>
      <c r="D861" s="303"/>
      <c r="E861" s="162"/>
      <c r="F861" s="897"/>
      <c r="G861" s="694"/>
      <c r="H861" s="695"/>
      <c r="I861" s="696"/>
      <c r="J861" s="697"/>
      <c r="K861" s="697"/>
      <c r="L861" s="697"/>
      <c r="M861" s="697"/>
      <c r="N861" s="697"/>
      <c r="O861" s="895"/>
      <c r="P861" s="162"/>
      <c r="Q861" s="161"/>
      <c r="R861" s="161"/>
      <c r="S861" s="697"/>
      <c r="T861" s="937"/>
      <c r="U861" s="895"/>
      <c r="V861" s="895"/>
      <c r="W861" s="895"/>
      <c r="X861" s="895"/>
      <c r="Y861" s="895"/>
      <c r="Z861" s="895"/>
    </row>
    <row r="862" spans="1:26">
      <c r="A862" s="895"/>
      <c r="B862" s="896"/>
      <c r="C862" s="161"/>
      <c r="D862" s="303"/>
      <c r="E862" s="162"/>
      <c r="F862" s="897"/>
      <c r="G862" s="694"/>
      <c r="H862" s="695"/>
      <c r="I862" s="696"/>
      <c r="J862" s="697"/>
      <c r="K862" s="697"/>
      <c r="L862" s="697"/>
      <c r="M862" s="697"/>
      <c r="N862" s="697"/>
      <c r="O862" s="895"/>
      <c r="P862" s="162"/>
      <c r="Q862" s="161"/>
      <c r="R862" s="161"/>
      <c r="S862" s="697"/>
      <c r="T862" s="937"/>
      <c r="U862" s="895"/>
      <c r="V862" s="895"/>
      <c r="W862" s="895"/>
      <c r="X862" s="895"/>
      <c r="Y862" s="895"/>
      <c r="Z862" s="895"/>
    </row>
    <row r="863" spans="1:26">
      <c r="A863" s="895"/>
      <c r="B863" s="896"/>
      <c r="C863" s="161"/>
      <c r="D863" s="303"/>
      <c r="E863" s="162"/>
      <c r="F863" s="897"/>
      <c r="G863" s="694"/>
      <c r="H863" s="695"/>
      <c r="I863" s="696"/>
      <c r="J863" s="697"/>
      <c r="K863" s="697"/>
      <c r="L863" s="697"/>
      <c r="M863" s="697"/>
      <c r="N863" s="697"/>
      <c r="O863" s="895"/>
      <c r="P863" s="162"/>
      <c r="Q863" s="161"/>
      <c r="R863" s="161"/>
      <c r="S863" s="697"/>
      <c r="T863" s="937"/>
      <c r="U863" s="895"/>
      <c r="V863" s="895"/>
      <c r="W863" s="895"/>
      <c r="X863" s="895"/>
      <c r="Y863" s="895"/>
      <c r="Z863" s="895"/>
    </row>
    <row r="864" spans="1:26">
      <c r="A864" s="895"/>
      <c r="B864" s="896"/>
      <c r="C864" s="161"/>
      <c r="D864" s="303"/>
      <c r="E864" s="162"/>
      <c r="F864" s="897"/>
      <c r="G864" s="694"/>
      <c r="H864" s="695"/>
      <c r="I864" s="696"/>
      <c r="J864" s="697"/>
      <c r="K864" s="697"/>
      <c r="L864" s="697"/>
      <c r="M864" s="697"/>
      <c r="N864" s="697"/>
      <c r="O864" s="895"/>
      <c r="P864" s="162"/>
      <c r="Q864" s="161"/>
      <c r="R864" s="161"/>
      <c r="S864" s="697"/>
      <c r="T864" s="937"/>
      <c r="U864" s="895"/>
      <c r="V864" s="895"/>
      <c r="W864" s="895"/>
      <c r="X864" s="895"/>
      <c r="Y864" s="895"/>
      <c r="Z864" s="895"/>
    </row>
    <row r="865" spans="1:26">
      <c r="A865" s="895"/>
      <c r="B865" s="896"/>
      <c r="C865" s="161"/>
      <c r="D865" s="303"/>
      <c r="E865" s="162"/>
      <c r="F865" s="897"/>
      <c r="G865" s="694"/>
      <c r="H865" s="695"/>
      <c r="I865" s="696"/>
      <c r="J865" s="697"/>
      <c r="K865" s="697"/>
      <c r="L865" s="697"/>
      <c r="M865" s="697"/>
      <c r="N865" s="697"/>
      <c r="O865" s="895"/>
      <c r="P865" s="162"/>
      <c r="Q865" s="161"/>
      <c r="R865" s="161"/>
      <c r="S865" s="697"/>
      <c r="T865" s="937"/>
      <c r="U865" s="895"/>
      <c r="V865" s="895"/>
      <c r="W865" s="895"/>
      <c r="X865" s="895"/>
      <c r="Y865" s="895"/>
      <c r="Z865" s="895"/>
    </row>
    <row r="866" spans="1:26">
      <c r="A866" s="895"/>
      <c r="B866" s="896"/>
      <c r="C866" s="161"/>
      <c r="D866" s="303"/>
      <c r="E866" s="162"/>
      <c r="F866" s="897"/>
      <c r="G866" s="694"/>
      <c r="H866" s="695"/>
      <c r="I866" s="696"/>
      <c r="J866" s="697"/>
      <c r="K866" s="697"/>
      <c r="L866" s="697"/>
      <c r="M866" s="697"/>
      <c r="N866" s="697"/>
      <c r="O866" s="895"/>
      <c r="P866" s="162"/>
      <c r="Q866" s="161"/>
      <c r="R866" s="161"/>
      <c r="S866" s="697"/>
      <c r="T866" s="937"/>
      <c r="U866" s="895"/>
      <c r="V866" s="895"/>
      <c r="W866" s="895"/>
      <c r="X866" s="895"/>
      <c r="Y866" s="895"/>
      <c r="Z866" s="895"/>
    </row>
    <row r="867" spans="1:26">
      <c r="A867" s="895"/>
      <c r="B867" s="896"/>
      <c r="C867" s="161"/>
      <c r="D867" s="303"/>
      <c r="E867" s="162"/>
      <c r="F867" s="897"/>
      <c r="G867" s="694"/>
      <c r="H867" s="695"/>
      <c r="I867" s="696"/>
      <c r="J867" s="697"/>
      <c r="K867" s="697"/>
      <c r="L867" s="697"/>
      <c r="M867" s="697"/>
      <c r="N867" s="697"/>
      <c r="O867" s="895"/>
      <c r="P867" s="162"/>
      <c r="Q867" s="161"/>
      <c r="R867" s="161"/>
      <c r="S867" s="697"/>
      <c r="T867" s="937"/>
      <c r="U867" s="895"/>
      <c r="V867" s="895"/>
      <c r="W867" s="895"/>
      <c r="X867" s="895"/>
      <c r="Y867" s="895"/>
      <c r="Z867" s="895"/>
    </row>
    <row r="868" spans="1:26">
      <c r="A868" s="895"/>
      <c r="B868" s="896"/>
      <c r="C868" s="161"/>
      <c r="D868" s="303"/>
      <c r="E868" s="162"/>
      <c r="F868" s="897"/>
      <c r="G868" s="694"/>
      <c r="H868" s="695"/>
      <c r="I868" s="696"/>
      <c r="J868" s="697"/>
      <c r="K868" s="697"/>
      <c r="L868" s="697"/>
      <c r="M868" s="697"/>
      <c r="N868" s="697"/>
      <c r="O868" s="895"/>
      <c r="P868" s="162"/>
      <c r="Q868" s="161"/>
      <c r="R868" s="161"/>
      <c r="S868" s="697"/>
      <c r="T868" s="937"/>
      <c r="U868" s="895"/>
      <c r="V868" s="895"/>
      <c r="W868" s="895"/>
      <c r="X868" s="895"/>
      <c r="Y868" s="895"/>
      <c r="Z868" s="895"/>
    </row>
    <row r="869" spans="1:26">
      <c r="A869" s="895"/>
      <c r="B869" s="896"/>
      <c r="C869" s="161"/>
      <c r="D869" s="303"/>
      <c r="E869" s="162"/>
      <c r="F869" s="897"/>
      <c r="G869" s="694"/>
      <c r="H869" s="695"/>
      <c r="I869" s="696"/>
      <c r="J869" s="697"/>
      <c r="K869" s="697"/>
      <c r="L869" s="697"/>
      <c r="M869" s="697"/>
      <c r="N869" s="697"/>
      <c r="O869" s="895"/>
      <c r="P869" s="162"/>
      <c r="Q869" s="161"/>
      <c r="R869" s="161"/>
      <c r="S869" s="697"/>
      <c r="T869" s="937"/>
      <c r="U869" s="895"/>
      <c r="V869" s="895"/>
      <c r="W869" s="895"/>
      <c r="X869" s="895"/>
      <c r="Y869" s="895"/>
      <c r="Z869" s="895"/>
    </row>
    <row r="870" spans="1:26">
      <c r="A870" s="895"/>
      <c r="B870" s="896"/>
      <c r="C870" s="161"/>
      <c r="D870" s="303"/>
      <c r="E870" s="162"/>
      <c r="F870" s="897"/>
      <c r="G870" s="694"/>
      <c r="H870" s="695"/>
      <c r="I870" s="696"/>
      <c r="J870" s="697"/>
      <c r="K870" s="697"/>
      <c r="L870" s="697"/>
      <c r="M870" s="697"/>
      <c r="N870" s="697"/>
      <c r="O870" s="895"/>
      <c r="P870" s="162"/>
      <c r="Q870" s="161"/>
      <c r="R870" s="161"/>
      <c r="S870" s="697"/>
      <c r="T870" s="937"/>
      <c r="U870" s="895"/>
      <c r="V870" s="895"/>
      <c r="W870" s="895"/>
      <c r="X870" s="895"/>
      <c r="Y870" s="895"/>
      <c r="Z870" s="895"/>
    </row>
    <row r="871" spans="1:26">
      <c r="A871" s="895"/>
      <c r="B871" s="896"/>
      <c r="C871" s="161"/>
      <c r="D871" s="303"/>
      <c r="E871" s="162"/>
      <c r="F871" s="897"/>
      <c r="G871" s="694"/>
      <c r="H871" s="695"/>
      <c r="I871" s="696"/>
      <c r="J871" s="697"/>
      <c r="K871" s="697"/>
      <c r="L871" s="697"/>
      <c r="M871" s="697"/>
      <c r="N871" s="697"/>
      <c r="O871" s="895"/>
      <c r="P871" s="162"/>
      <c r="Q871" s="161"/>
      <c r="R871" s="161"/>
      <c r="S871" s="697"/>
      <c r="T871" s="937"/>
      <c r="U871" s="895"/>
      <c r="V871" s="895"/>
      <c r="W871" s="895"/>
      <c r="X871" s="895"/>
      <c r="Y871" s="895"/>
      <c r="Z871" s="895"/>
    </row>
    <row r="872" spans="1:26">
      <c r="A872" s="895"/>
      <c r="B872" s="896"/>
      <c r="C872" s="161"/>
      <c r="D872" s="303"/>
      <c r="E872" s="162"/>
      <c r="F872" s="897"/>
      <c r="G872" s="694"/>
      <c r="H872" s="695"/>
      <c r="I872" s="696"/>
      <c r="J872" s="697"/>
      <c r="K872" s="697"/>
      <c r="L872" s="697"/>
      <c r="M872" s="697"/>
      <c r="N872" s="697"/>
      <c r="O872" s="895"/>
      <c r="P872" s="162"/>
      <c r="Q872" s="161"/>
      <c r="R872" s="161"/>
      <c r="S872" s="697"/>
      <c r="T872" s="937"/>
      <c r="U872" s="895"/>
      <c r="V872" s="895"/>
      <c r="W872" s="895"/>
      <c r="X872" s="895"/>
      <c r="Y872" s="895"/>
      <c r="Z872" s="895"/>
    </row>
    <row r="873" spans="1:26">
      <c r="A873" s="895"/>
      <c r="B873" s="896"/>
      <c r="C873" s="161"/>
      <c r="D873" s="303"/>
      <c r="E873" s="162"/>
      <c r="F873" s="897"/>
      <c r="G873" s="694"/>
      <c r="H873" s="695"/>
      <c r="I873" s="696"/>
      <c r="J873" s="697"/>
      <c r="K873" s="697"/>
      <c r="L873" s="697"/>
      <c r="M873" s="697"/>
      <c r="N873" s="697"/>
      <c r="O873" s="895"/>
      <c r="P873" s="162"/>
      <c r="Q873" s="161"/>
      <c r="R873" s="161"/>
      <c r="S873" s="697"/>
      <c r="T873" s="937"/>
      <c r="U873" s="895"/>
      <c r="V873" s="895"/>
      <c r="W873" s="895"/>
      <c r="X873" s="895"/>
      <c r="Y873" s="895"/>
      <c r="Z873" s="895"/>
    </row>
    <row r="874" spans="1:26">
      <c r="A874" s="895"/>
      <c r="B874" s="896"/>
      <c r="C874" s="161"/>
      <c r="D874" s="303"/>
      <c r="E874" s="162"/>
      <c r="F874" s="897"/>
      <c r="G874" s="694"/>
      <c r="H874" s="695"/>
      <c r="I874" s="696"/>
      <c r="J874" s="697"/>
      <c r="K874" s="697"/>
      <c r="L874" s="697"/>
      <c r="M874" s="697"/>
      <c r="N874" s="697"/>
      <c r="O874" s="895"/>
      <c r="P874" s="162"/>
      <c r="Q874" s="161"/>
      <c r="R874" s="161"/>
      <c r="S874" s="697"/>
      <c r="T874" s="937"/>
      <c r="U874" s="895"/>
      <c r="V874" s="895"/>
      <c r="W874" s="895"/>
      <c r="X874" s="895"/>
      <c r="Y874" s="895"/>
      <c r="Z874" s="895"/>
    </row>
    <row r="875" spans="1:26">
      <c r="A875" s="895"/>
      <c r="B875" s="896"/>
      <c r="C875" s="161"/>
      <c r="D875" s="303"/>
      <c r="E875" s="162"/>
      <c r="F875" s="897"/>
      <c r="G875" s="694"/>
      <c r="H875" s="695"/>
      <c r="I875" s="696"/>
      <c r="J875" s="697"/>
      <c r="K875" s="697"/>
      <c r="L875" s="697"/>
      <c r="M875" s="697"/>
      <c r="N875" s="697"/>
      <c r="O875" s="895"/>
      <c r="P875" s="162"/>
      <c r="Q875" s="161"/>
      <c r="R875" s="161"/>
      <c r="S875" s="697"/>
      <c r="T875" s="937"/>
      <c r="U875" s="895"/>
      <c r="V875" s="895"/>
      <c r="W875" s="895"/>
      <c r="X875" s="895"/>
      <c r="Y875" s="895"/>
      <c r="Z875" s="895"/>
    </row>
    <row r="876" spans="1:26">
      <c r="A876" s="895"/>
      <c r="B876" s="896"/>
      <c r="C876" s="161"/>
      <c r="D876" s="303"/>
      <c r="E876" s="162"/>
      <c r="F876" s="897"/>
      <c r="G876" s="694"/>
      <c r="H876" s="695"/>
      <c r="I876" s="696"/>
      <c r="J876" s="697"/>
      <c r="K876" s="697"/>
      <c r="L876" s="697"/>
      <c r="M876" s="697"/>
      <c r="N876" s="697"/>
      <c r="O876" s="895"/>
      <c r="P876" s="162"/>
      <c r="Q876" s="161"/>
      <c r="R876" s="161"/>
      <c r="S876" s="697"/>
      <c r="T876" s="937"/>
      <c r="U876" s="895"/>
      <c r="V876" s="895"/>
      <c r="W876" s="895"/>
      <c r="X876" s="895"/>
      <c r="Y876" s="895"/>
      <c r="Z876" s="895"/>
    </row>
    <row r="877" spans="1:26">
      <c r="A877" s="895"/>
      <c r="B877" s="896"/>
      <c r="C877" s="161"/>
      <c r="D877" s="303"/>
      <c r="E877" s="162"/>
      <c r="F877" s="897"/>
      <c r="G877" s="694"/>
      <c r="H877" s="695"/>
      <c r="I877" s="696"/>
      <c r="J877" s="697"/>
      <c r="K877" s="697"/>
      <c r="L877" s="697"/>
      <c r="M877" s="697"/>
      <c r="N877" s="697"/>
      <c r="O877" s="895"/>
      <c r="P877" s="162"/>
      <c r="Q877" s="161"/>
      <c r="R877" s="161"/>
      <c r="S877" s="697"/>
      <c r="T877" s="937"/>
      <c r="U877" s="895"/>
      <c r="V877" s="895"/>
      <c r="W877" s="895"/>
      <c r="X877" s="895"/>
      <c r="Y877" s="895"/>
      <c r="Z877" s="895"/>
    </row>
    <row r="878" spans="1:26">
      <c r="A878" s="895"/>
      <c r="B878" s="896"/>
      <c r="C878" s="161"/>
      <c r="D878" s="303"/>
      <c r="E878" s="162"/>
      <c r="F878" s="897"/>
      <c r="G878" s="694"/>
      <c r="H878" s="695"/>
      <c r="I878" s="696"/>
      <c r="J878" s="697"/>
      <c r="K878" s="697"/>
      <c r="L878" s="697"/>
      <c r="M878" s="697"/>
      <c r="N878" s="697"/>
      <c r="O878" s="895"/>
      <c r="P878" s="162"/>
      <c r="Q878" s="161"/>
      <c r="R878" s="161"/>
      <c r="S878" s="697"/>
      <c r="T878" s="937"/>
      <c r="U878" s="895"/>
      <c r="V878" s="895"/>
      <c r="W878" s="895"/>
      <c r="X878" s="895"/>
      <c r="Y878" s="895"/>
      <c r="Z878" s="895"/>
    </row>
    <row r="879" spans="1:26">
      <c r="A879" s="895"/>
      <c r="B879" s="896"/>
      <c r="C879" s="161"/>
      <c r="D879" s="303"/>
      <c r="E879" s="162"/>
      <c r="F879" s="897"/>
      <c r="G879" s="694"/>
      <c r="H879" s="695"/>
      <c r="I879" s="696"/>
      <c r="J879" s="697"/>
      <c r="K879" s="697"/>
      <c r="L879" s="697"/>
      <c r="M879" s="697"/>
      <c r="N879" s="697"/>
      <c r="O879" s="895"/>
      <c r="P879" s="162"/>
      <c r="Q879" s="161"/>
      <c r="R879" s="161"/>
      <c r="S879" s="697"/>
      <c r="T879" s="937"/>
      <c r="U879" s="895"/>
      <c r="V879" s="895"/>
      <c r="W879" s="895"/>
      <c r="X879" s="895"/>
      <c r="Y879" s="895"/>
      <c r="Z879" s="895"/>
    </row>
    <row r="880" spans="1:26">
      <c r="A880" s="895"/>
      <c r="B880" s="896"/>
      <c r="C880" s="161"/>
      <c r="D880" s="303"/>
      <c r="E880" s="162"/>
      <c r="F880" s="897"/>
      <c r="G880" s="694"/>
      <c r="H880" s="695"/>
      <c r="I880" s="696"/>
      <c r="J880" s="697"/>
      <c r="K880" s="697"/>
      <c r="L880" s="697"/>
      <c r="M880" s="697"/>
      <c r="N880" s="697"/>
      <c r="O880" s="895"/>
      <c r="P880" s="162"/>
      <c r="Q880" s="161"/>
      <c r="R880" s="161"/>
      <c r="S880" s="697"/>
      <c r="T880" s="937"/>
      <c r="U880" s="895"/>
      <c r="V880" s="895"/>
      <c r="W880" s="895"/>
      <c r="X880" s="895"/>
      <c r="Y880" s="895"/>
      <c r="Z880" s="895"/>
    </row>
    <row r="881" spans="1:26">
      <c r="A881" s="895"/>
      <c r="B881" s="896"/>
      <c r="C881" s="161"/>
      <c r="D881" s="303"/>
      <c r="E881" s="162"/>
      <c r="F881" s="897"/>
      <c r="G881" s="694"/>
      <c r="H881" s="695"/>
      <c r="I881" s="696"/>
      <c r="J881" s="697"/>
      <c r="K881" s="697"/>
      <c r="L881" s="697"/>
      <c r="M881" s="697"/>
      <c r="N881" s="697"/>
      <c r="O881" s="895"/>
      <c r="P881" s="162"/>
      <c r="Q881" s="161"/>
      <c r="R881" s="161"/>
      <c r="S881" s="697"/>
      <c r="T881" s="937"/>
      <c r="U881" s="895"/>
      <c r="V881" s="895"/>
      <c r="W881" s="895"/>
      <c r="X881" s="895"/>
      <c r="Y881" s="895"/>
      <c r="Z881" s="895"/>
    </row>
    <row r="882" spans="1:26">
      <c r="A882" s="895"/>
      <c r="B882" s="896"/>
      <c r="C882" s="161"/>
      <c r="D882" s="303"/>
      <c r="E882" s="162"/>
      <c r="F882" s="897"/>
      <c r="G882" s="694"/>
      <c r="H882" s="695"/>
      <c r="I882" s="696"/>
      <c r="J882" s="697"/>
      <c r="K882" s="697"/>
      <c r="L882" s="697"/>
      <c r="M882" s="697"/>
      <c r="N882" s="697"/>
      <c r="O882" s="895"/>
      <c r="P882" s="162"/>
      <c r="Q882" s="161"/>
      <c r="R882" s="161"/>
      <c r="S882" s="697"/>
      <c r="T882" s="937"/>
      <c r="U882" s="895"/>
      <c r="V882" s="895"/>
      <c r="W882" s="895"/>
      <c r="X882" s="895"/>
      <c r="Y882" s="895"/>
      <c r="Z882" s="895"/>
    </row>
    <row r="883" spans="1:26">
      <c r="A883" s="895"/>
      <c r="B883" s="896"/>
      <c r="C883" s="161"/>
      <c r="D883" s="303"/>
      <c r="E883" s="162"/>
      <c r="F883" s="897"/>
      <c r="G883" s="694"/>
      <c r="H883" s="695"/>
      <c r="I883" s="696"/>
      <c r="J883" s="697"/>
      <c r="K883" s="697"/>
      <c r="L883" s="697"/>
      <c r="M883" s="697"/>
      <c r="N883" s="697"/>
      <c r="O883" s="895"/>
      <c r="P883" s="162"/>
      <c r="Q883" s="161"/>
      <c r="R883" s="161"/>
      <c r="S883" s="697"/>
      <c r="T883" s="937"/>
      <c r="U883" s="895"/>
      <c r="V883" s="895"/>
      <c r="W883" s="895"/>
      <c r="X883" s="895"/>
      <c r="Y883" s="895"/>
      <c r="Z883" s="895"/>
    </row>
    <row r="884" spans="1:26">
      <c r="A884" s="895"/>
      <c r="B884" s="896"/>
      <c r="C884" s="161"/>
      <c r="D884" s="303"/>
      <c r="E884" s="162"/>
      <c r="F884" s="897"/>
      <c r="G884" s="694"/>
      <c r="H884" s="695"/>
      <c r="I884" s="696"/>
      <c r="J884" s="697"/>
      <c r="K884" s="697"/>
      <c r="L884" s="697"/>
      <c r="M884" s="697"/>
      <c r="N884" s="697"/>
      <c r="O884" s="895"/>
      <c r="P884" s="162"/>
      <c r="Q884" s="161"/>
      <c r="R884" s="161"/>
      <c r="S884" s="697"/>
      <c r="T884" s="937"/>
      <c r="U884" s="895"/>
      <c r="V884" s="895"/>
      <c r="W884" s="895"/>
      <c r="X884" s="895"/>
      <c r="Y884" s="895"/>
      <c r="Z884" s="895"/>
    </row>
    <row r="885" spans="1:26">
      <c r="A885" s="895"/>
      <c r="B885" s="896"/>
      <c r="C885" s="161"/>
      <c r="D885" s="303"/>
      <c r="E885" s="162"/>
      <c r="F885" s="897"/>
      <c r="G885" s="694"/>
      <c r="H885" s="695"/>
      <c r="I885" s="696"/>
      <c r="J885" s="697"/>
      <c r="K885" s="697"/>
      <c r="L885" s="697"/>
      <c r="M885" s="697"/>
      <c r="N885" s="697"/>
      <c r="O885" s="895"/>
      <c r="P885" s="162"/>
      <c r="Q885" s="161"/>
      <c r="R885" s="161"/>
      <c r="S885" s="697"/>
      <c r="T885" s="937"/>
      <c r="U885" s="895"/>
      <c r="V885" s="895"/>
      <c r="W885" s="895"/>
      <c r="X885" s="895"/>
      <c r="Y885" s="895"/>
      <c r="Z885" s="895"/>
    </row>
    <row r="886" spans="1:26">
      <c r="A886" s="895"/>
      <c r="B886" s="896"/>
      <c r="C886" s="161"/>
      <c r="D886" s="303"/>
      <c r="E886" s="162"/>
      <c r="F886" s="897"/>
      <c r="G886" s="694"/>
      <c r="H886" s="695"/>
      <c r="I886" s="696"/>
      <c r="J886" s="697"/>
      <c r="K886" s="697"/>
      <c r="L886" s="697"/>
      <c r="M886" s="697"/>
      <c r="N886" s="697"/>
      <c r="O886" s="895"/>
      <c r="P886" s="162"/>
      <c r="Q886" s="161"/>
      <c r="R886" s="161"/>
      <c r="S886" s="697"/>
      <c r="T886" s="937"/>
      <c r="U886" s="895"/>
      <c r="V886" s="895"/>
      <c r="W886" s="895"/>
      <c r="X886" s="895"/>
      <c r="Y886" s="895"/>
      <c r="Z886" s="895"/>
    </row>
    <row r="887" spans="1:26">
      <c r="A887" s="895"/>
      <c r="B887" s="896"/>
      <c r="C887" s="161"/>
      <c r="D887" s="303"/>
      <c r="E887" s="162"/>
      <c r="F887" s="897"/>
      <c r="G887" s="694"/>
      <c r="H887" s="695"/>
      <c r="I887" s="696"/>
      <c r="J887" s="697"/>
      <c r="K887" s="697"/>
      <c r="L887" s="697"/>
      <c r="M887" s="697"/>
      <c r="N887" s="697"/>
      <c r="O887" s="895"/>
      <c r="P887" s="162"/>
      <c r="Q887" s="161"/>
      <c r="R887" s="161"/>
      <c r="S887" s="697"/>
      <c r="T887" s="937"/>
      <c r="U887" s="895"/>
      <c r="V887" s="895"/>
      <c r="W887" s="895"/>
      <c r="X887" s="895"/>
      <c r="Y887" s="895"/>
      <c r="Z887" s="895"/>
    </row>
    <row r="888" spans="1:26">
      <c r="A888" s="895"/>
      <c r="B888" s="896"/>
      <c r="C888" s="161"/>
      <c r="D888" s="303"/>
      <c r="E888" s="162"/>
      <c r="F888" s="897"/>
      <c r="G888" s="694"/>
      <c r="H888" s="695"/>
      <c r="I888" s="696"/>
      <c r="J888" s="697"/>
      <c r="K888" s="697"/>
      <c r="L888" s="697"/>
      <c r="M888" s="697"/>
      <c r="N888" s="697"/>
      <c r="O888" s="895"/>
      <c r="P888" s="162"/>
      <c r="Q888" s="161"/>
      <c r="R888" s="161"/>
      <c r="S888" s="697"/>
      <c r="T888" s="937"/>
      <c r="U888" s="895"/>
      <c r="V888" s="895"/>
      <c r="W888" s="895"/>
      <c r="X888" s="895"/>
      <c r="Y888" s="895"/>
      <c r="Z888" s="895"/>
    </row>
    <row r="889" spans="1:26">
      <c r="A889" s="895"/>
      <c r="B889" s="896"/>
      <c r="C889" s="161"/>
      <c r="D889" s="303"/>
      <c r="E889" s="162"/>
      <c r="F889" s="897"/>
      <c r="G889" s="694"/>
      <c r="H889" s="695"/>
      <c r="I889" s="696"/>
      <c r="J889" s="697"/>
      <c r="K889" s="697"/>
      <c r="L889" s="697"/>
      <c r="M889" s="697"/>
      <c r="N889" s="697"/>
      <c r="O889" s="895"/>
      <c r="P889" s="162"/>
      <c r="Q889" s="161"/>
      <c r="R889" s="161"/>
      <c r="S889" s="697"/>
      <c r="T889" s="937"/>
      <c r="U889" s="895"/>
      <c r="V889" s="895"/>
      <c r="W889" s="895"/>
      <c r="X889" s="895"/>
      <c r="Y889" s="895"/>
      <c r="Z889" s="895"/>
    </row>
    <row r="890" spans="1:26">
      <c r="A890" s="895"/>
      <c r="B890" s="896"/>
      <c r="C890" s="161"/>
      <c r="D890" s="303"/>
      <c r="E890" s="162"/>
      <c r="F890" s="897"/>
      <c r="G890" s="694"/>
      <c r="H890" s="695"/>
      <c r="I890" s="696"/>
      <c r="J890" s="697"/>
      <c r="K890" s="697"/>
      <c r="L890" s="697"/>
      <c r="M890" s="697"/>
      <c r="N890" s="697"/>
      <c r="O890" s="895"/>
      <c r="P890" s="162"/>
      <c r="Q890" s="161"/>
      <c r="R890" s="161"/>
      <c r="S890" s="697"/>
      <c r="T890" s="937"/>
      <c r="U890" s="895"/>
      <c r="V890" s="895"/>
      <c r="W890" s="895"/>
      <c r="X890" s="895"/>
      <c r="Y890" s="895"/>
      <c r="Z890" s="895"/>
    </row>
    <row r="891" spans="1:26">
      <c r="A891" s="895"/>
      <c r="B891" s="896"/>
      <c r="C891" s="161"/>
      <c r="D891" s="303"/>
      <c r="E891" s="162"/>
      <c r="F891" s="897"/>
      <c r="G891" s="694"/>
      <c r="H891" s="695"/>
      <c r="I891" s="696"/>
      <c r="J891" s="697"/>
      <c r="K891" s="697"/>
      <c r="L891" s="697"/>
      <c r="M891" s="697"/>
      <c r="N891" s="697"/>
      <c r="O891" s="895"/>
      <c r="P891" s="162"/>
      <c r="Q891" s="161"/>
      <c r="R891" s="161"/>
      <c r="S891" s="697"/>
      <c r="T891" s="937"/>
      <c r="U891" s="895"/>
      <c r="V891" s="895"/>
      <c r="W891" s="895"/>
      <c r="X891" s="895"/>
      <c r="Y891" s="895"/>
      <c r="Z891" s="895"/>
    </row>
    <row r="892" spans="1:26">
      <c r="A892" s="895"/>
      <c r="B892" s="896"/>
      <c r="C892" s="161"/>
      <c r="D892" s="303"/>
      <c r="E892" s="162"/>
      <c r="F892" s="897"/>
      <c r="G892" s="694"/>
      <c r="H892" s="695"/>
      <c r="I892" s="696"/>
      <c r="J892" s="697"/>
      <c r="K892" s="697"/>
      <c r="L892" s="697"/>
      <c r="M892" s="697"/>
      <c r="N892" s="697"/>
      <c r="O892" s="895"/>
      <c r="P892" s="162"/>
      <c r="Q892" s="161"/>
      <c r="R892" s="161"/>
      <c r="S892" s="697"/>
      <c r="T892" s="937"/>
      <c r="U892" s="895"/>
      <c r="V892" s="895"/>
      <c r="W892" s="895"/>
      <c r="X892" s="895"/>
      <c r="Y892" s="895"/>
      <c r="Z892" s="895"/>
    </row>
    <row r="893" spans="1:26">
      <c r="A893" s="895"/>
      <c r="B893" s="896"/>
      <c r="C893" s="161"/>
      <c r="D893" s="303"/>
      <c r="E893" s="162"/>
      <c r="F893" s="897"/>
      <c r="G893" s="694"/>
      <c r="H893" s="695"/>
      <c r="I893" s="696"/>
      <c r="J893" s="697"/>
      <c r="K893" s="697"/>
      <c r="L893" s="697"/>
      <c r="M893" s="697"/>
      <c r="N893" s="697"/>
      <c r="O893" s="895"/>
      <c r="P893" s="162"/>
      <c r="Q893" s="161"/>
      <c r="R893" s="161"/>
      <c r="S893" s="697"/>
      <c r="T893" s="937"/>
      <c r="U893" s="895"/>
      <c r="V893" s="895"/>
      <c r="W893" s="895"/>
      <c r="X893" s="895"/>
      <c r="Y893" s="895"/>
      <c r="Z893" s="895"/>
    </row>
    <row r="894" spans="1:26">
      <c r="A894" s="895"/>
      <c r="B894" s="896"/>
      <c r="C894" s="161"/>
      <c r="D894" s="303"/>
      <c r="E894" s="162"/>
      <c r="F894" s="897"/>
      <c r="G894" s="694"/>
      <c r="H894" s="695"/>
      <c r="I894" s="696"/>
      <c r="J894" s="697"/>
      <c r="K894" s="697"/>
      <c r="L894" s="697"/>
      <c r="M894" s="697"/>
      <c r="N894" s="697"/>
      <c r="O894" s="895"/>
      <c r="P894" s="162"/>
      <c r="Q894" s="161"/>
      <c r="R894" s="161"/>
      <c r="S894" s="697"/>
      <c r="T894" s="937"/>
      <c r="U894" s="895"/>
      <c r="V894" s="895"/>
      <c r="W894" s="895"/>
      <c r="X894" s="895"/>
      <c r="Y894" s="895"/>
      <c r="Z894" s="895"/>
    </row>
    <row r="895" spans="1:26">
      <c r="A895" s="895"/>
      <c r="B895" s="896"/>
      <c r="C895" s="161"/>
      <c r="D895" s="303"/>
      <c r="E895" s="162"/>
      <c r="F895" s="897"/>
      <c r="G895" s="694"/>
      <c r="H895" s="695"/>
      <c r="I895" s="696"/>
      <c r="J895" s="697"/>
      <c r="K895" s="697"/>
      <c r="L895" s="697"/>
      <c r="M895" s="697"/>
      <c r="N895" s="697"/>
      <c r="O895" s="895"/>
      <c r="P895" s="162"/>
      <c r="Q895" s="161"/>
      <c r="R895" s="161"/>
      <c r="S895" s="697"/>
      <c r="T895" s="937"/>
      <c r="U895" s="895"/>
      <c r="V895" s="895"/>
      <c r="W895" s="895"/>
      <c r="X895" s="895"/>
      <c r="Y895" s="895"/>
      <c r="Z895" s="895"/>
    </row>
    <row r="896" spans="1:26">
      <c r="A896" s="895"/>
      <c r="B896" s="896"/>
      <c r="C896" s="161"/>
      <c r="D896" s="303"/>
      <c r="E896" s="162"/>
      <c r="F896" s="897"/>
      <c r="G896" s="694"/>
      <c r="H896" s="695"/>
      <c r="I896" s="696"/>
      <c r="J896" s="697"/>
      <c r="K896" s="697"/>
      <c r="L896" s="697"/>
      <c r="M896" s="697"/>
      <c r="N896" s="697"/>
      <c r="O896" s="895"/>
      <c r="P896" s="162"/>
      <c r="Q896" s="161"/>
      <c r="R896" s="161"/>
      <c r="S896" s="697"/>
      <c r="T896" s="937"/>
      <c r="U896" s="895"/>
      <c r="V896" s="895"/>
      <c r="W896" s="895"/>
      <c r="X896" s="895"/>
      <c r="Y896" s="895"/>
      <c r="Z896" s="895"/>
    </row>
    <row r="897" spans="1:26">
      <c r="A897" s="895"/>
      <c r="B897" s="896"/>
      <c r="C897" s="161"/>
      <c r="D897" s="303"/>
      <c r="E897" s="162"/>
      <c r="F897" s="897"/>
      <c r="G897" s="694"/>
      <c r="H897" s="695"/>
      <c r="I897" s="696"/>
      <c r="J897" s="697"/>
      <c r="K897" s="697"/>
      <c r="L897" s="697"/>
      <c r="M897" s="697"/>
      <c r="N897" s="697"/>
      <c r="O897" s="895"/>
      <c r="P897" s="162"/>
      <c r="Q897" s="161"/>
      <c r="R897" s="161"/>
      <c r="S897" s="697"/>
      <c r="T897" s="937"/>
      <c r="U897" s="895"/>
      <c r="V897" s="895"/>
      <c r="W897" s="895"/>
      <c r="X897" s="895"/>
      <c r="Y897" s="895"/>
      <c r="Z897" s="895"/>
    </row>
    <row r="898" spans="1:26">
      <c r="A898" s="895"/>
      <c r="B898" s="896"/>
      <c r="C898" s="161"/>
      <c r="D898" s="303"/>
      <c r="E898" s="162"/>
      <c r="F898" s="897"/>
      <c r="G898" s="694"/>
      <c r="H898" s="695"/>
      <c r="I898" s="696"/>
      <c r="J898" s="697"/>
      <c r="K898" s="697"/>
      <c r="L898" s="697"/>
      <c r="M898" s="697"/>
      <c r="N898" s="697"/>
      <c r="O898" s="895"/>
      <c r="P898" s="162"/>
      <c r="Q898" s="161"/>
      <c r="R898" s="161"/>
      <c r="S898" s="697"/>
      <c r="T898" s="937"/>
      <c r="U898" s="895"/>
      <c r="V898" s="895"/>
      <c r="W898" s="895"/>
      <c r="X898" s="895"/>
      <c r="Y898" s="895"/>
      <c r="Z898" s="895"/>
    </row>
    <row r="899" spans="1:26">
      <c r="A899" s="895"/>
      <c r="B899" s="896"/>
      <c r="C899" s="161"/>
      <c r="D899" s="303"/>
      <c r="E899" s="162"/>
      <c r="F899" s="897"/>
      <c r="G899" s="694"/>
      <c r="H899" s="695"/>
      <c r="I899" s="696"/>
      <c r="J899" s="697"/>
      <c r="K899" s="697"/>
      <c r="L899" s="697"/>
      <c r="M899" s="697"/>
      <c r="N899" s="697"/>
      <c r="O899" s="895"/>
      <c r="P899" s="162"/>
      <c r="Q899" s="161"/>
      <c r="R899" s="161"/>
      <c r="S899" s="697"/>
      <c r="T899" s="937"/>
      <c r="U899" s="895"/>
      <c r="V899" s="895"/>
      <c r="W899" s="895"/>
      <c r="X899" s="895"/>
      <c r="Y899" s="895"/>
      <c r="Z899" s="895"/>
    </row>
    <row r="900" spans="1:26">
      <c r="A900" s="895"/>
      <c r="B900" s="896"/>
      <c r="C900" s="161"/>
      <c r="D900" s="303"/>
      <c r="E900" s="162"/>
      <c r="F900" s="897"/>
      <c r="G900" s="694"/>
      <c r="H900" s="695"/>
      <c r="I900" s="696"/>
      <c r="J900" s="697"/>
      <c r="K900" s="697"/>
      <c r="L900" s="697"/>
      <c r="M900" s="697"/>
      <c r="N900" s="697"/>
      <c r="O900" s="895"/>
      <c r="P900" s="162"/>
      <c r="Q900" s="161"/>
      <c r="R900" s="161"/>
      <c r="S900" s="697"/>
      <c r="T900" s="937"/>
      <c r="U900" s="895"/>
      <c r="V900" s="895"/>
      <c r="W900" s="895"/>
      <c r="X900" s="895"/>
      <c r="Y900" s="895"/>
      <c r="Z900" s="895"/>
    </row>
    <row r="901" spans="1:26">
      <c r="A901" s="895"/>
      <c r="B901" s="896"/>
      <c r="C901" s="161"/>
      <c r="D901" s="303"/>
      <c r="E901" s="162"/>
      <c r="F901" s="897"/>
      <c r="G901" s="694"/>
      <c r="H901" s="695"/>
      <c r="I901" s="696"/>
      <c r="J901" s="697"/>
      <c r="K901" s="697"/>
      <c r="L901" s="697"/>
      <c r="M901" s="697"/>
      <c r="N901" s="697"/>
      <c r="O901" s="895"/>
      <c r="P901" s="162"/>
      <c r="Q901" s="161"/>
      <c r="R901" s="161"/>
      <c r="S901" s="697"/>
      <c r="T901" s="937"/>
      <c r="U901" s="895"/>
      <c r="V901" s="895"/>
      <c r="W901" s="895"/>
      <c r="X901" s="895"/>
      <c r="Y901" s="895"/>
      <c r="Z901" s="895"/>
    </row>
    <row r="902" spans="1:26">
      <c r="A902" s="895"/>
      <c r="B902" s="896"/>
      <c r="C902" s="161"/>
      <c r="D902" s="303"/>
      <c r="E902" s="162"/>
      <c r="F902" s="897"/>
      <c r="G902" s="694"/>
      <c r="H902" s="695"/>
      <c r="I902" s="696"/>
      <c r="J902" s="697"/>
      <c r="K902" s="697"/>
      <c r="L902" s="697"/>
      <c r="M902" s="697"/>
      <c r="N902" s="697"/>
      <c r="O902" s="895"/>
      <c r="P902" s="162"/>
      <c r="Q902" s="161"/>
      <c r="R902" s="161"/>
      <c r="S902" s="697"/>
      <c r="T902" s="937"/>
      <c r="U902" s="895"/>
      <c r="V902" s="895"/>
      <c r="W902" s="895"/>
      <c r="X902" s="895"/>
      <c r="Y902" s="895"/>
      <c r="Z902" s="895"/>
    </row>
    <row r="903" spans="1:26">
      <c r="A903" s="895"/>
      <c r="B903" s="896"/>
      <c r="C903" s="161"/>
      <c r="D903" s="303"/>
      <c r="E903" s="162"/>
      <c r="F903" s="897"/>
      <c r="G903" s="694"/>
      <c r="H903" s="695"/>
      <c r="I903" s="696"/>
      <c r="J903" s="697"/>
      <c r="K903" s="697"/>
      <c r="L903" s="697"/>
      <c r="M903" s="697"/>
      <c r="N903" s="697"/>
      <c r="O903" s="895"/>
      <c r="P903" s="162"/>
      <c r="Q903" s="161"/>
      <c r="R903" s="161"/>
      <c r="S903" s="697"/>
      <c r="T903" s="937"/>
      <c r="U903" s="895"/>
      <c r="V903" s="895"/>
      <c r="W903" s="895"/>
      <c r="X903" s="895"/>
      <c r="Y903" s="895"/>
      <c r="Z903" s="895"/>
    </row>
    <row r="904" spans="1:26">
      <c r="A904" s="895"/>
      <c r="B904" s="896"/>
      <c r="C904" s="161"/>
      <c r="D904" s="303"/>
      <c r="E904" s="162"/>
      <c r="F904" s="897"/>
      <c r="G904" s="694"/>
      <c r="H904" s="695"/>
      <c r="I904" s="696"/>
      <c r="J904" s="697"/>
      <c r="K904" s="697"/>
      <c r="L904" s="697"/>
      <c r="M904" s="697"/>
      <c r="N904" s="697"/>
      <c r="O904" s="895"/>
      <c r="P904" s="162"/>
      <c r="Q904" s="161"/>
      <c r="R904" s="161"/>
      <c r="S904" s="697"/>
      <c r="T904" s="937"/>
      <c r="U904" s="895"/>
      <c r="V904" s="895"/>
      <c r="W904" s="895"/>
      <c r="X904" s="895"/>
      <c r="Y904" s="895"/>
      <c r="Z904" s="895"/>
    </row>
    <row r="905" spans="1:26">
      <c r="A905" s="895"/>
      <c r="B905" s="896"/>
      <c r="C905" s="161"/>
      <c r="D905" s="303"/>
      <c r="E905" s="162"/>
      <c r="F905" s="897"/>
      <c r="G905" s="694"/>
      <c r="H905" s="695"/>
      <c r="I905" s="696"/>
      <c r="J905" s="697"/>
      <c r="K905" s="697"/>
      <c r="L905" s="697"/>
      <c r="M905" s="697"/>
      <c r="N905" s="697"/>
      <c r="O905" s="895"/>
      <c r="P905" s="162"/>
      <c r="Q905" s="161"/>
      <c r="R905" s="161"/>
      <c r="S905" s="697"/>
      <c r="T905" s="937"/>
      <c r="U905" s="895"/>
      <c r="V905" s="895"/>
      <c r="W905" s="895"/>
      <c r="X905" s="895"/>
      <c r="Y905" s="895"/>
      <c r="Z905" s="895"/>
    </row>
    <row r="906" spans="1:26">
      <c r="A906" s="895"/>
      <c r="B906" s="896"/>
      <c r="C906" s="161"/>
      <c r="D906" s="303"/>
      <c r="E906" s="162"/>
      <c r="F906" s="897"/>
      <c r="G906" s="694"/>
      <c r="H906" s="695"/>
      <c r="I906" s="696"/>
      <c r="J906" s="697"/>
      <c r="K906" s="697"/>
      <c r="L906" s="697"/>
      <c r="M906" s="697"/>
      <c r="N906" s="697"/>
      <c r="O906" s="895"/>
      <c r="P906" s="162"/>
      <c r="Q906" s="161"/>
      <c r="R906" s="161"/>
      <c r="S906" s="697"/>
      <c r="T906" s="937"/>
      <c r="U906" s="895"/>
      <c r="V906" s="895"/>
      <c r="W906" s="895"/>
      <c r="X906" s="895"/>
      <c r="Y906" s="895"/>
      <c r="Z906" s="895"/>
    </row>
    <row r="907" spans="1:26">
      <c r="A907" s="895"/>
      <c r="B907" s="896"/>
      <c r="C907" s="161"/>
      <c r="D907" s="303"/>
      <c r="E907" s="162"/>
      <c r="F907" s="897"/>
      <c r="G907" s="694"/>
      <c r="H907" s="695"/>
      <c r="I907" s="696"/>
      <c r="J907" s="697"/>
      <c r="K907" s="697"/>
      <c r="L907" s="697"/>
      <c r="M907" s="697"/>
      <c r="N907" s="697"/>
      <c r="O907" s="895"/>
      <c r="P907" s="162"/>
      <c r="Q907" s="161"/>
      <c r="R907" s="161"/>
      <c r="S907" s="697"/>
      <c r="T907" s="937"/>
      <c r="U907" s="895"/>
      <c r="V907" s="895"/>
      <c r="W907" s="895"/>
      <c r="X907" s="895"/>
      <c r="Y907" s="895"/>
      <c r="Z907" s="895"/>
    </row>
    <row r="908" spans="1:26">
      <c r="A908" s="895"/>
      <c r="B908" s="896"/>
      <c r="C908" s="161"/>
      <c r="D908" s="303"/>
      <c r="E908" s="162"/>
      <c r="F908" s="897"/>
      <c r="G908" s="694"/>
      <c r="H908" s="695"/>
      <c r="I908" s="696"/>
      <c r="J908" s="697"/>
      <c r="K908" s="697"/>
      <c r="L908" s="697"/>
      <c r="M908" s="697"/>
      <c r="N908" s="697"/>
      <c r="O908" s="895"/>
      <c r="P908" s="162"/>
      <c r="Q908" s="161"/>
      <c r="R908" s="161"/>
      <c r="S908" s="697"/>
      <c r="T908" s="937"/>
      <c r="U908" s="895"/>
      <c r="V908" s="895"/>
      <c r="W908" s="895"/>
      <c r="X908" s="895"/>
      <c r="Y908" s="895"/>
      <c r="Z908" s="895"/>
    </row>
    <row r="909" spans="1:26">
      <c r="A909" s="895"/>
      <c r="B909" s="896"/>
      <c r="C909" s="161"/>
      <c r="D909" s="303"/>
      <c r="E909" s="162"/>
      <c r="F909" s="897"/>
      <c r="G909" s="694"/>
      <c r="H909" s="695"/>
      <c r="I909" s="696"/>
      <c r="J909" s="697"/>
      <c r="K909" s="697"/>
      <c r="L909" s="697"/>
      <c r="M909" s="697"/>
      <c r="N909" s="697"/>
      <c r="O909" s="895"/>
      <c r="P909" s="162"/>
      <c r="Q909" s="161"/>
      <c r="R909" s="161"/>
      <c r="S909" s="697"/>
      <c r="T909" s="937"/>
      <c r="U909" s="895"/>
      <c r="V909" s="895"/>
      <c r="W909" s="895"/>
      <c r="X909" s="895"/>
      <c r="Y909" s="895"/>
      <c r="Z909" s="895"/>
    </row>
    <row r="910" spans="1:26">
      <c r="A910" s="895"/>
      <c r="B910" s="896"/>
      <c r="C910" s="161"/>
      <c r="D910" s="303"/>
      <c r="E910" s="162"/>
      <c r="F910" s="897"/>
      <c r="G910" s="694"/>
      <c r="H910" s="695"/>
      <c r="I910" s="696"/>
      <c r="J910" s="697"/>
      <c r="K910" s="697"/>
      <c r="L910" s="697"/>
      <c r="M910" s="697"/>
      <c r="N910" s="697"/>
      <c r="O910" s="895"/>
      <c r="P910" s="162"/>
      <c r="Q910" s="161"/>
      <c r="R910" s="161"/>
      <c r="S910" s="697"/>
      <c r="T910" s="937"/>
      <c r="U910" s="895"/>
      <c r="V910" s="895"/>
      <c r="W910" s="895"/>
      <c r="X910" s="895"/>
      <c r="Y910" s="895"/>
      <c r="Z910" s="895"/>
    </row>
    <row r="911" spans="1:26">
      <c r="A911" s="895"/>
      <c r="B911" s="896"/>
      <c r="C911" s="161"/>
      <c r="D911" s="303"/>
      <c r="E911" s="162"/>
      <c r="F911" s="897"/>
      <c r="G911" s="694"/>
      <c r="H911" s="695"/>
      <c r="I911" s="696"/>
      <c r="J911" s="697"/>
      <c r="K911" s="697"/>
      <c r="L911" s="697"/>
      <c r="M911" s="697"/>
      <c r="N911" s="697"/>
      <c r="O911" s="895"/>
      <c r="P911" s="162"/>
      <c r="Q911" s="161"/>
      <c r="R911" s="161"/>
      <c r="S911" s="697"/>
      <c r="T911" s="937"/>
      <c r="U911" s="895"/>
      <c r="V911" s="895"/>
      <c r="W911" s="895"/>
      <c r="X911" s="895"/>
      <c r="Y911" s="895"/>
      <c r="Z911" s="895"/>
    </row>
    <row r="912" spans="1:26">
      <c r="A912" s="895"/>
      <c r="B912" s="896"/>
      <c r="C912" s="161"/>
      <c r="D912" s="303"/>
      <c r="E912" s="162"/>
      <c r="F912" s="897"/>
      <c r="G912" s="694"/>
      <c r="H912" s="695"/>
      <c r="I912" s="696"/>
      <c r="J912" s="697"/>
      <c r="K912" s="697"/>
      <c r="L912" s="697"/>
      <c r="M912" s="697"/>
      <c r="N912" s="697"/>
      <c r="O912" s="895"/>
      <c r="P912" s="162"/>
      <c r="Q912" s="161"/>
      <c r="R912" s="161"/>
      <c r="S912" s="697"/>
      <c r="T912" s="937"/>
      <c r="U912" s="895"/>
      <c r="V912" s="895"/>
      <c r="W912" s="895"/>
      <c r="X912" s="895"/>
      <c r="Y912" s="895"/>
      <c r="Z912" s="895"/>
    </row>
    <row r="913" spans="1:26">
      <c r="A913" s="895"/>
      <c r="B913" s="896"/>
      <c r="C913" s="161"/>
      <c r="D913" s="303"/>
      <c r="E913" s="162"/>
      <c r="F913" s="897"/>
      <c r="G913" s="694"/>
      <c r="H913" s="695"/>
      <c r="I913" s="696"/>
      <c r="J913" s="697"/>
      <c r="K913" s="697"/>
      <c r="L913" s="697"/>
      <c r="M913" s="697"/>
      <c r="N913" s="697"/>
      <c r="O913" s="895"/>
      <c r="P913" s="162"/>
      <c r="Q913" s="161"/>
      <c r="R913" s="161"/>
      <c r="S913" s="697"/>
      <c r="T913" s="937"/>
      <c r="U913" s="895"/>
      <c r="V913" s="895"/>
      <c r="W913" s="895"/>
      <c r="X913" s="895"/>
      <c r="Y913" s="895"/>
      <c r="Z913" s="895"/>
    </row>
    <row r="914" spans="1:26">
      <c r="A914" s="895"/>
      <c r="B914" s="896"/>
      <c r="C914" s="161"/>
      <c r="D914" s="303"/>
      <c r="E914" s="162"/>
      <c r="F914" s="897"/>
      <c r="G914" s="694"/>
      <c r="H914" s="695"/>
      <c r="I914" s="696"/>
      <c r="J914" s="697"/>
      <c r="K914" s="697"/>
      <c r="L914" s="697"/>
      <c r="M914" s="697"/>
      <c r="N914" s="697"/>
      <c r="O914" s="895"/>
      <c r="P914" s="162"/>
      <c r="Q914" s="161"/>
      <c r="R914" s="161"/>
      <c r="S914" s="697"/>
      <c r="T914" s="937"/>
      <c r="U914" s="895"/>
      <c r="V914" s="895"/>
      <c r="W914" s="895"/>
      <c r="X914" s="895"/>
      <c r="Y914" s="895"/>
      <c r="Z914" s="895"/>
    </row>
    <row r="915" spans="1:26">
      <c r="A915" s="895"/>
      <c r="B915" s="896"/>
      <c r="C915" s="161"/>
      <c r="D915" s="303"/>
      <c r="E915" s="162"/>
      <c r="F915" s="897"/>
      <c r="G915" s="694"/>
      <c r="H915" s="695"/>
      <c r="I915" s="696"/>
      <c r="J915" s="697"/>
      <c r="K915" s="697"/>
      <c r="L915" s="697"/>
      <c r="M915" s="697"/>
      <c r="N915" s="697"/>
      <c r="O915" s="895"/>
      <c r="P915" s="162"/>
      <c r="Q915" s="161"/>
      <c r="R915" s="161"/>
      <c r="S915" s="697"/>
      <c r="T915" s="937"/>
      <c r="U915" s="895"/>
      <c r="V915" s="895"/>
      <c r="W915" s="895"/>
      <c r="X915" s="895"/>
      <c r="Y915" s="895"/>
      <c r="Z915" s="895"/>
    </row>
    <row r="916" spans="1:26">
      <c r="A916" s="895"/>
      <c r="B916" s="896"/>
      <c r="C916" s="161"/>
      <c r="D916" s="303"/>
      <c r="E916" s="162"/>
      <c r="F916" s="897"/>
      <c r="G916" s="694"/>
      <c r="H916" s="695"/>
      <c r="I916" s="696"/>
      <c r="J916" s="697"/>
      <c r="K916" s="697"/>
      <c r="L916" s="697"/>
      <c r="M916" s="697"/>
      <c r="N916" s="697"/>
      <c r="O916" s="895"/>
      <c r="P916" s="162"/>
      <c r="Q916" s="161"/>
      <c r="R916" s="161"/>
      <c r="S916" s="697"/>
      <c r="T916" s="937"/>
      <c r="U916" s="895"/>
      <c r="V916" s="895"/>
      <c r="W916" s="895"/>
      <c r="X916" s="895"/>
      <c r="Y916" s="895"/>
      <c r="Z916" s="895"/>
    </row>
    <row r="917" spans="1:26">
      <c r="A917" s="895"/>
      <c r="B917" s="896"/>
      <c r="C917" s="161"/>
      <c r="D917" s="303"/>
      <c r="E917" s="162"/>
      <c r="F917" s="897"/>
      <c r="G917" s="694"/>
      <c r="H917" s="695"/>
      <c r="I917" s="696"/>
      <c r="J917" s="697"/>
      <c r="K917" s="697"/>
      <c r="L917" s="697"/>
      <c r="M917" s="697"/>
      <c r="N917" s="697"/>
      <c r="O917" s="895"/>
      <c r="P917" s="162"/>
      <c r="Q917" s="161"/>
      <c r="R917" s="161"/>
      <c r="S917" s="697"/>
      <c r="T917" s="937"/>
      <c r="U917" s="895"/>
      <c r="V917" s="895"/>
      <c r="W917" s="895"/>
      <c r="X917" s="895"/>
      <c r="Y917" s="895"/>
      <c r="Z917" s="895"/>
    </row>
    <row r="918" spans="1:26">
      <c r="A918" s="895"/>
      <c r="B918" s="896"/>
      <c r="C918" s="161"/>
      <c r="D918" s="303"/>
      <c r="E918" s="162"/>
      <c r="F918" s="897"/>
      <c r="G918" s="694"/>
      <c r="H918" s="695"/>
      <c r="I918" s="696"/>
      <c r="J918" s="697"/>
      <c r="K918" s="697"/>
      <c r="L918" s="697"/>
      <c r="M918" s="697"/>
      <c r="N918" s="697"/>
      <c r="O918" s="895"/>
      <c r="P918" s="162"/>
      <c r="Q918" s="161"/>
      <c r="R918" s="161"/>
      <c r="S918" s="697"/>
      <c r="T918" s="937"/>
      <c r="U918" s="895"/>
      <c r="V918" s="895"/>
      <c r="W918" s="895"/>
      <c r="X918" s="895"/>
      <c r="Y918" s="895"/>
      <c r="Z918" s="895"/>
    </row>
    <row r="919" spans="1:26">
      <c r="A919" s="895"/>
      <c r="B919" s="896"/>
      <c r="C919" s="161"/>
      <c r="D919" s="303"/>
      <c r="E919" s="162"/>
      <c r="F919" s="897"/>
      <c r="G919" s="694"/>
      <c r="H919" s="695"/>
      <c r="I919" s="696"/>
      <c r="J919" s="697"/>
      <c r="K919" s="697"/>
      <c r="L919" s="697"/>
      <c r="M919" s="697"/>
      <c r="N919" s="697"/>
      <c r="O919" s="895"/>
      <c r="P919" s="162"/>
      <c r="Q919" s="161"/>
      <c r="R919" s="161"/>
      <c r="S919" s="697"/>
      <c r="T919" s="937"/>
      <c r="U919" s="895"/>
      <c r="V919" s="895"/>
      <c r="W919" s="895"/>
      <c r="X919" s="895"/>
      <c r="Y919" s="895"/>
      <c r="Z919" s="895"/>
    </row>
    <row r="920" spans="1:26">
      <c r="A920" s="895"/>
      <c r="B920" s="896"/>
      <c r="C920" s="161"/>
      <c r="D920" s="303"/>
      <c r="E920" s="162"/>
      <c r="F920" s="897"/>
      <c r="G920" s="694"/>
      <c r="H920" s="695"/>
      <c r="I920" s="696"/>
      <c r="J920" s="697"/>
      <c r="K920" s="697"/>
      <c r="L920" s="697"/>
      <c r="M920" s="697"/>
      <c r="N920" s="697"/>
      <c r="O920" s="895"/>
      <c r="P920" s="162"/>
      <c r="Q920" s="161"/>
      <c r="R920" s="161"/>
      <c r="S920" s="697"/>
      <c r="T920" s="937"/>
      <c r="U920" s="895"/>
      <c r="V920" s="895"/>
      <c r="W920" s="895"/>
      <c r="X920" s="895"/>
      <c r="Y920" s="895"/>
      <c r="Z920" s="895"/>
    </row>
    <row r="921" spans="1:26">
      <c r="A921" s="895"/>
      <c r="B921" s="896"/>
      <c r="C921" s="161"/>
      <c r="D921" s="303"/>
      <c r="E921" s="162"/>
      <c r="F921" s="897"/>
      <c r="G921" s="694"/>
      <c r="H921" s="695"/>
      <c r="I921" s="696"/>
      <c r="J921" s="697"/>
      <c r="K921" s="697"/>
      <c r="L921" s="697"/>
      <c r="M921" s="697"/>
      <c r="N921" s="697"/>
      <c r="O921" s="895"/>
      <c r="P921" s="162"/>
      <c r="Q921" s="161"/>
      <c r="R921" s="161"/>
      <c r="S921" s="697"/>
      <c r="T921" s="937"/>
      <c r="U921" s="895"/>
      <c r="V921" s="895"/>
      <c r="W921" s="895"/>
      <c r="X921" s="895"/>
      <c r="Y921" s="895"/>
      <c r="Z921" s="895"/>
    </row>
    <row r="922" spans="1:26">
      <c r="A922" s="895"/>
      <c r="B922" s="896"/>
      <c r="C922" s="161"/>
      <c r="D922" s="303"/>
      <c r="E922" s="162"/>
      <c r="F922" s="897"/>
      <c r="G922" s="694"/>
      <c r="H922" s="695"/>
      <c r="I922" s="696"/>
      <c r="J922" s="697"/>
      <c r="K922" s="697"/>
      <c r="L922" s="697"/>
      <c r="M922" s="697"/>
      <c r="N922" s="697"/>
      <c r="O922" s="895"/>
      <c r="P922" s="162"/>
      <c r="Q922" s="161"/>
      <c r="R922" s="161"/>
      <c r="S922" s="697"/>
      <c r="T922" s="937"/>
      <c r="U922" s="895"/>
      <c r="V922" s="895"/>
      <c r="W922" s="895"/>
      <c r="X922" s="895"/>
      <c r="Y922" s="895"/>
      <c r="Z922" s="895"/>
    </row>
    <row r="923" spans="1:26">
      <c r="A923" s="895"/>
      <c r="B923" s="896"/>
      <c r="C923" s="161"/>
      <c r="D923" s="303"/>
      <c r="E923" s="162"/>
      <c r="F923" s="897"/>
      <c r="G923" s="694"/>
      <c r="H923" s="695"/>
      <c r="I923" s="696"/>
      <c r="J923" s="697"/>
      <c r="K923" s="697"/>
      <c r="L923" s="697"/>
      <c r="M923" s="697"/>
      <c r="N923" s="697"/>
      <c r="O923" s="895"/>
      <c r="P923" s="162"/>
      <c r="Q923" s="161"/>
      <c r="R923" s="161"/>
      <c r="S923" s="697"/>
      <c r="T923" s="937"/>
      <c r="U923" s="895"/>
      <c r="V923" s="895"/>
      <c r="W923" s="895"/>
      <c r="X923" s="895"/>
      <c r="Y923" s="895"/>
      <c r="Z923" s="895"/>
    </row>
    <row r="924" spans="1:26">
      <c r="A924" s="895"/>
      <c r="B924" s="896"/>
      <c r="C924" s="161"/>
      <c r="D924" s="303"/>
      <c r="E924" s="162"/>
      <c r="F924" s="897"/>
      <c r="G924" s="694"/>
      <c r="H924" s="695"/>
      <c r="I924" s="696"/>
      <c r="J924" s="697"/>
      <c r="K924" s="697"/>
      <c r="L924" s="697"/>
      <c r="M924" s="697"/>
      <c r="N924" s="697"/>
      <c r="O924" s="895"/>
      <c r="P924" s="162"/>
      <c r="Q924" s="161"/>
      <c r="R924" s="161"/>
      <c r="S924" s="697"/>
      <c r="T924" s="937"/>
      <c r="U924" s="895"/>
      <c r="V924" s="895"/>
      <c r="W924" s="895"/>
      <c r="X924" s="895"/>
      <c r="Y924" s="895"/>
      <c r="Z924" s="895"/>
    </row>
    <row r="925" spans="1:26">
      <c r="A925" s="895"/>
      <c r="B925" s="896"/>
      <c r="C925" s="161"/>
      <c r="D925" s="303"/>
      <c r="E925" s="162"/>
      <c r="F925" s="897"/>
      <c r="G925" s="694"/>
      <c r="H925" s="695"/>
      <c r="I925" s="696"/>
      <c r="J925" s="697"/>
      <c r="K925" s="697"/>
      <c r="L925" s="697"/>
      <c r="M925" s="697"/>
      <c r="N925" s="697"/>
      <c r="O925" s="895"/>
      <c r="P925" s="162"/>
      <c r="Q925" s="161"/>
      <c r="R925" s="161"/>
      <c r="S925" s="697"/>
      <c r="T925" s="937"/>
      <c r="U925" s="895"/>
      <c r="V925" s="895"/>
      <c r="W925" s="895"/>
      <c r="X925" s="895"/>
      <c r="Y925" s="895"/>
      <c r="Z925" s="895"/>
    </row>
    <row r="926" spans="1:26">
      <c r="A926" s="895"/>
      <c r="B926" s="896"/>
      <c r="C926" s="161"/>
      <c r="D926" s="303"/>
      <c r="E926" s="162"/>
      <c r="F926" s="897"/>
      <c r="G926" s="694"/>
      <c r="H926" s="695"/>
      <c r="I926" s="696"/>
      <c r="J926" s="697"/>
      <c r="K926" s="697"/>
      <c r="L926" s="697"/>
      <c r="M926" s="697"/>
      <c r="N926" s="697"/>
      <c r="O926" s="895"/>
      <c r="P926" s="162"/>
      <c r="Q926" s="161"/>
      <c r="R926" s="161"/>
      <c r="S926" s="697"/>
      <c r="T926" s="937"/>
      <c r="U926" s="895"/>
      <c r="V926" s="895"/>
      <c r="W926" s="895"/>
      <c r="X926" s="895"/>
      <c r="Y926" s="895"/>
      <c r="Z926" s="895"/>
    </row>
    <row r="927" spans="1:26">
      <c r="A927" s="895"/>
      <c r="B927" s="896"/>
      <c r="C927" s="161"/>
      <c r="D927" s="303"/>
      <c r="E927" s="162"/>
      <c r="F927" s="897"/>
      <c r="G927" s="694"/>
      <c r="H927" s="695"/>
      <c r="I927" s="696"/>
      <c r="J927" s="697"/>
      <c r="K927" s="697"/>
      <c r="L927" s="697"/>
      <c r="M927" s="697"/>
      <c r="N927" s="697"/>
      <c r="O927" s="895"/>
      <c r="P927" s="162"/>
      <c r="Q927" s="161"/>
      <c r="R927" s="161"/>
      <c r="S927" s="697"/>
      <c r="T927" s="937"/>
      <c r="U927" s="895"/>
      <c r="V927" s="895"/>
      <c r="W927" s="895"/>
      <c r="X927" s="895"/>
      <c r="Y927" s="895"/>
      <c r="Z927" s="895"/>
    </row>
    <row r="928" spans="1:26">
      <c r="A928" s="895"/>
      <c r="B928" s="896"/>
      <c r="C928" s="161"/>
      <c r="D928" s="303"/>
      <c r="E928" s="162"/>
      <c r="F928" s="897"/>
      <c r="G928" s="694"/>
      <c r="H928" s="695"/>
      <c r="I928" s="696"/>
      <c r="J928" s="697"/>
      <c r="K928" s="697"/>
      <c r="L928" s="697"/>
      <c r="M928" s="697"/>
      <c r="N928" s="697"/>
      <c r="O928" s="895"/>
      <c r="P928" s="162"/>
      <c r="Q928" s="161"/>
      <c r="R928" s="161"/>
      <c r="S928" s="697"/>
      <c r="T928" s="937"/>
      <c r="U928" s="895"/>
      <c r="V928" s="895"/>
      <c r="W928" s="895"/>
      <c r="X928" s="895"/>
      <c r="Y928" s="895"/>
      <c r="Z928" s="895"/>
    </row>
    <row r="929" spans="1:26">
      <c r="A929" s="895"/>
      <c r="B929" s="896"/>
      <c r="C929" s="161"/>
      <c r="D929" s="303"/>
      <c r="E929" s="162"/>
      <c r="F929" s="897"/>
      <c r="G929" s="694"/>
      <c r="H929" s="695"/>
      <c r="I929" s="696"/>
      <c r="J929" s="697"/>
      <c r="K929" s="697"/>
      <c r="L929" s="697"/>
      <c r="M929" s="697"/>
      <c r="N929" s="697"/>
      <c r="O929" s="895"/>
      <c r="P929" s="162"/>
      <c r="Q929" s="161"/>
      <c r="R929" s="161"/>
      <c r="S929" s="697"/>
      <c r="T929" s="937"/>
      <c r="U929" s="895"/>
      <c r="V929" s="895"/>
      <c r="W929" s="895"/>
      <c r="X929" s="895"/>
      <c r="Y929" s="895"/>
      <c r="Z929" s="895"/>
    </row>
  </sheetData>
  <sheetProtection formatCells="0" formatColumns="0" formatRows="0" autoFilter="0" pivotTables="0"/>
  <protectedRanges>
    <protectedRange password="CC45" sqref="B193" name="Range1_1_1"/>
  </protectedRanges>
  <autoFilter ref="A3:Z329" xr:uid="{639B1A6B-224F-48FF-AA97-11F885490F5E}">
    <filterColumn colId="10">
      <filters>
        <filter val="All Filter"/>
        <filter val="Equipment"/>
      </filters>
    </filterColumn>
    <filterColumn colId="11">
      <filters>
        <filter val="Action pending"/>
        <filter val="All Filter"/>
        <filter val="Bill submitted"/>
        <filter val="Order placed"/>
      </filters>
    </filterColumn>
    <filterColumn colId="15">
      <customFilters>
        <customFilter operator="notEqual" val=" "/>
      </customFilters>
    </filterColumn>
  </autoFilter>
  <sortState xmlns:xlrd2="http://schemas.microsoft.com/office/spreadsheetml/2017/richdata2" ref="A108:I134">
    <sortCondition ref="F108:F134"/>
  </sortState>
  <mergeCells count="2">
    <mergeCell ref="A1:K1"/>
    <mergeCell ref="A2:K2"/>
  </mergeCells>
  <dataValidations disablePrompts="1" count="9">
    <dataValidation type="list" allowBlank="1" showInputMessage="1" showErrorMessage="1" sqref="L92 L269 L266 L109 L321 L223 L318:L319 L274:L279 L281:L283" xr:uid="{6F4A61C6-3475-4C56-BCFB-AD20E4EABC49}">
      <formula1>"Bid Published,Under Scrutiny,Pre DPC/DLPC,Under DPC, Under DLPC,Order placed, Delivered,Item Rejected,Not Supplied,Bid cancelled,Order Cancelled,Bill submitted , Not approved"</formula1>
    </dataValidation>
    <dataValidation type="list" allowBlank="1" showInputMessage="1" showErrorMessage="1" sqref="L285 L242:L251 L93:L108 L66:L80 L126:L160 L19:L20 L235 L267:L268 L200:L208 L178:L196 L228 L237:L240 L230:L233 L220:L222 L110:L124 L24:L30 L32:L56 L58:L60 L62 L64 L316 L13:L17 L82:L91 L212:L215 L254:L257 L325:L328 L11 L174" xr:uid="{FE0E4A9C-5A7B-4F60-A023-ED1929424548}">
      <formula1>"Action pending,Bid Published,Under Scrutiny,Pre DPC/DLPC,Under DPC, Under DLPC,Order placed, Delivered,Item Rejected,Not Supplied,Bid cancelled,Order Cancelled,Bill submitted "</formula1>
    </dataValidation>
    <dataValidation type="list" allowBlank="1" showInputMessage="1" showErrorMessage="1" sqref="L81 L5 L7:L8 L18 L21:L23 L31 L57 L61 L63 L65 L164 L166:L173 L197:L199 L209 L216:L217 L226:L227 L229 L234 L236 L241 L270:L273 L286 L313:L315 L317" xr:uid="{D7EFDC1A-D667-4ABF-9C04-68BA7A53BE24}">
      <formula1>"Action pending,Under Sign,Bid Published,Under Scrutiny,Pre DPC/DLPC,Under DPC, Under DLPC,Order placed, Delivered,Item Rejected,Not Supplied,Bid cancelled,Order Cancelled,Bill submitted "</formula1>
    </dataValidation>
    <dataValidation type="list" allowBlank="1" showInputMessage="1" showErrorMessage="1" sqref="L161:L162" xr:uid="{2F22D067-2BA1-4890-BADE-3271D4564E3B}">
      <formula1>"Action pending,Bid Published,Under Scrutiny,Pre DPC/DLPC,Under DPC, Under DLPC,Order placed, Delivered,Item Rejected,Not Supplied,Bid cancelled,Order Cancelled,Bill submitted , Re-Bid"</formula1>
    </dataValidation>
    <dataValidation type="list" allowBlank="1" showInputMessage="1" showErrorMessage="1" sqref="L163 L125 L218:L219" xr:uid="{665AF5BB-53E6-4B9E-ADE8-938D2B38AD42}">
      <formula1>"Action pending,Bid Published,Under Scrutiny,Pre DPC/DLPC,Under DPC, Under DLPC,Order placed, Delivered,Item Rejected,Not Supplied,Bid cancelled,Order Cancelled,Bill submitted ,Approved"</formula1>
    </dataValidation>
    <dataValidation type="list" allowBlank="1" showInputMessage="1" showErrorMessage="1" sqref="L264" xr:uid="{AD7AD5C9-9C47-474F-AC58-D8828F8635E3}">
      <formula1>"Action pending,Bid Published,Under Scrutiny,Pre DPC/DLPC,Under DPC, Under DLPC,Order placed, Delivered,Item Rejected,Not Supplied,Bid cancelled,Order Cancelled,Bill submitted , Undersign"</formula1>
    </dataValidation>
    <dataValidation type="list" allowBlank="1" showInputMessage="1" showErrorMessage="1" sqref="L287:L312 L252:L253 L320 L329 L322:L323" xr:uid="{E6AC31B0-C0E4-4078-8A92-93FCC7E04D4F}">
      <formula1>"Action pending,Bid Published,Under Scrutiny,Pre DPC/DLPC,Under DPC, Under DLPC,Order placed, Delivered,Item Rejected,Not Supplied,Bid cancelled,Order Cancelled,Bill submitted ,Under Sign"</formula1>
    </dataValidation>
    <dataValidation type="list" allowBlank="1" showInputMessage="1" showErrorMessage="1" sqref="L165" xr:uid="{D0455874-9C83-4634-8785-6BCB182EB4CC}">
      <formula1>"Action pending,Bid Published,Under Scrutiny,Pre DPC/DLPC,Under DPC, Under DLPC,Order placed, Delivered,Item Rejected,Not Supplied,Bid cancelled,Order Cancelled,Bill submitted , Not Approved"</formula1>
    </dataValidation>
    <dataValidation type="list" allowBlank="1" showInputMessage="1" showErrorMessage="1" sqref="L6 L9:L10 L12 L175:L177 L210:L211 L224 L258:L263 L265 L280 L284 L324" xr:uid="{12463E66-92C6-4B89-BFAD-D535EE28E6EB}">
      <formula1>"Action pending,Bid Published,Under Scrutiny,Pre DPC/DLPC,Under DPC, Under DLPC,Order placed, Delivered,Item Rejected,Not Supplied,Bid cancelled,Order Cancelled,Bill submitted,Rejected,Not Supply "</formula1>
    </dataValidation>
  </dataValidations>
  <printOptions horizontalCentered="1" gridLines="1"/>
  <pageMargins left="0.11811023622047245" right="0.11811023622047245" top="0.47244094488188981" bottom="0.35433070866141736" header="0" footer="0"/>
  <pageSetup paperSize="9" scale="65" orientation="landscape" r:id="rId1"/>
  <headerFooter>
    <oddFooter>&amp;C&amp;P of &amp;N</oddFooter>
  </headerFooter>
  <rowBreaks count="3" manualBreakCount="3">
    <brk id="71" max="7" man="1"/>
    <brk id="95" max="7" man="1"/>
    <brk id="117" max="7" man="1"/>
  </rowBreaks>
  <ignoredErrors>
    <ignoredError sqref="E166:E167 E162:E163 E168:E171 E198 E199:E210 E211:E215 E273 E274:E284 N1 E311 Q1 E318:E319 E323:E324 T178:T183 E325:E329 T186" unlockedFormula="1"/>
    <ignoredError sqref="S282:S283 S218:S219 S187 S22:S23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5E89-A4E4-45F5-9096-1FC945C572B8}">
  <dimension ref="A1:H80"/>
  <sheetViews>
    <sheetView workbookViewId="0">
      <selection activeCell="G44" sqref="G44"/>
    </sheetView>
  </sheetViews>
  <sheetFormatPr defaultRowHeight="12.75"/>
  <cols>
    <col min="1" max="1" width="23.7109375" customWidth="1"/>
    <col min="2" max="2" width="29" bestFit="1" customWidth="1"/>
    <col min="3" max="3" width="25.7109375" bestFit="1" customWidth="1"/>
    <col min="4" max="4" width="16.42578125" bestFit="1" customWidth="1"/>
    <col min="5" max="5" width="18" bestFit="1" customWidth="1"/>
    <col min="6" max="6" width="18.85546875" style="291" bestFit="1" customWidth="1"/>
    <col min="7" max="7" width="48.7109375" bestFit="1" customWidth="1"/>
    <col min="8" max="19" width="25.7109375" bestFit="1" customWidth="1"/>
    <col min="20" max="20" width="11.7109375" bestFit="1" customWidth="1"/>
  </cols>
  <sheetData>
    <row r="1" spans="1:6" s="169" customFormat="1" ht="28.5" customHeight="1">
      <c r="A1" s="169" t="s">
        <v>798</v>
      </c>
      <c r="D1" s="169" t="s">
        <v>799</v>
      </c>
      <c r="F1" s="305"/>
    </row>
    <row r="3" spans="1:6" hidden="1">
      <c r="D3" s="168" t="s">
        <v>800</v>
      </c>
      <c r="F3"/>
    </row>
    <row r="4" spans="1:6">
      <c r="A4" s="168" t="s">
        <v>82</v>
      </c>
      <c r="B4" s="168" t="s">
        <v>80</v>
      </c>
      <c r="C4" s="168" t="s">
        <v>100</v>
      </c>
      <c r="D4" s="29" t="s">
        <v>801</v>
      </c>
      <c r="E4" t="s">
        <v>802</v>
      </c>
      <c r="F4"/>
    </row>
    <row r="5" spans="1:6" ht="20.100000000000001" customHeight="1">
      <c r="A5" t="s">
        <v>83</v>
      </c>
      <c r="B5" t="s">
        <v>146</v>
      </c>
      <c r="C5" t="s">
        <v>37</v>
      </c>
      <c r="D5" s="170">
        <v>165000</v>
      </c>
      <c r="E5" s="170"/>
      <c r="F5"/>
    </row>
    <row r="6" spans="1:6" ht="20.100000000000001" customHeight="1">
      <c r="C6" t="s">
        <v>39</v>
      </c>
      <c r="D6" s="170">
        <v>2500000</v>
      </c>
      <c r="E6" s="170"/>
      <c r="F6"/>
    </row>
    <row r="7" spans="1:6" ht="20.100000000000001" customHeight="1">
      <c r="C7" t="s">
        <v>40</v>
      </c>
      <c r="D7" s="170">
        <v>2500000</v>
      </c>
      <c r="E7" s="170"/>
      <c r="F7"/>
    </row>
    <row r="8" spans="1:6" ht="20.100000000000001" customHeight="1">
      <c r="C8" t="s">
        <v>42</v>
      </c>
      <c r="D8" s="170">
        <v>230000</v>
      </c>
      <c r="E8" s="170"/>
      <c r="F8"/>
    </row>
    <row r="9" spans="1:6" ht="20.100000000000001" customHeight="1">
      <c r="C9" t="s">
        <v>48</v>
      </c>
      <c r="D9" s="170">
        <v>2490000</v>
      </c>
      <c r="E9" s="170"/>
      <c r="F9"/>
    </row>
    <row r="10" spans="1:6" ht="20.100000000000001" customHeight="1">
      <c r="C10" t="s">
        <v>49</v>
      </c>
      <c r="D10" s="170">
        <v>8000000</v>
      </c>
      <c r="E10" s="170"/>
      <c r="F10"/>
    </row>
    <row r="11" spans="1:6" ht="20.100000000000001" customHeight="1">
      <c r="C11" t="s">
        <v>89</v>
      </c>
      <c r="D11" s="170">
        <v>4263000</v>
      </c>
      <c r="E11" s="170"/>
      <c r="F11"/>
    </row>
    <row r="12" spans="1:6" ht="20.100000000000001" customHeight="1">
      <c r="C12" t="s">
        <v>87</v>
      </c>
      <c r="D12" s="170">
        <v>1000000</v>
      </c>
      <c r="E12" s="170"/>
      <c r="F12"/>
    </row>
    <row r="13" spans="1:6" ht="20.100000000000001" customHeight="1">
      <c r="C13" t="s">
        <v>90</v>
      </c>
      <c r="D13" s="170">
        <v>17500</v>
      </c>
      <c r="E13" s="170"/>
      <c r="F13"/>
    </row>
    <row r="14" spans="1:6" ht="20.100000000000001" customHeight="1">
      <c r="C14" t="s">
        <v>88</v>
      </c>
      <c r="D14" s="170">
        <v>4565671</v>
      </c>
      <c r="E14" s="170"/>
      <c r="F14"/>
    </row>
    <row r="15" spans="1:6" ht="20.100000000000001" customHeight="1">
      <c r="B15" s="366" t="s">
        <v>803</v>
      </c>
      <c r="C15" s="366"/>
      <c r="D15" s="367">
        <v>25731171</v>
      </c>
      <c r="E15" s="367"/>
      <c r="F15" s="749" t="s">
        <v>804</v>
      </c>
    </row>
    <row r="16" spans="1:6" ht="20.100000000000001" customHeight="1">
      <c r="B16" t="s">
        <v>331</v>
      </c>
      <c r="C16" t="s">
        <v>39</v>
      </c>
      <c r="D16" s="170">
        <v>3900000</v>
      </c>
      <c r="E16" s="170">
        <v>3350000</v>
      </c>
      <c r="F16"/>
    </row>
    <row r="17" spans="2:6" ht="20.100000000000001" customHeight="1">
      <c r="C17" t="s">
        <v>40</v>
      </c>
      <c r="D17" s="170">
        <v>600000</v>
      </c>
      <c r="E17" s="170">
        <v>596250</v>
      </c>
      <c r="F17"/>
    </row>
    <row r="18" spans="2:6" ht="20.100000000000001" customHeight="1">
      <c r="C18" t="s">
        <v>42</v>
      </c>
      <c r="D18" s="170">
        <v>2350000</v>
      </c>
      <c r="E18" s="170">
        <v>2216000</v>
      </c>
      <c r="F18"/>
    </row>
    <row r="19" spans="2:6" ht="20.100000000000001" customHeight="1">
      <c r="C19" t="s">
        <v>48</v>
      </c>
      <c r="D19" s="170">
        <v>2000000</v>
      </c>
      <c r="E19" s="170">
        <v>1896000</v>
      </c>
      <c r="F19"/>
    </row>
    <row r="20" spans="2:6" ht="20.100000000000001" customHeight="1">
      <c r="C20" t="s">
        <v>89</v>
      </c>
      <c r="D20" s="170">
        <v>1770000</v>
      </c>
      <c r="E20" s="170">
        <v>1900000</v>
      </c>
      <c r="F20"/>
    </row>
    <row r="21" spans="2:6" ht="20.100000000000001" customHeight="1">
      <c r="B21" s="366" t="s">
        <v>805</v>
      </c>
      <c r="C21" s="366"/>
      <c r="D21" s="367">
        <v>10620000</v>
      </c>
      <c r="E21" s="367">
        <v>9958250</v>
      </c>
      <c r="F21"/>
    </row>
    <row r="22" spans="2:6" ht="20.100000000000001" customHeight="1">
      <c r="B22" t="s">
        <v>233</v>
      </c>
      <c r="C22" t="s">
        <v>42</v>
      </c>
      <c r="D22" s="170">
        <v>120000</v>
      </c>
      <c r="E22" s="170">
        <v>0</v>
      </c>
      <c r="F22"/>
    </row>
    <row r="23" spans="2:6" ht="20.100000000000001" customHeight="1">
      <c r="C23" t="s">
        <v>240</v>
      </c>
      <c r="D23" s="170">
        <v>281000</v>
      </c>
      <c r="E23" s="170">
        <v>0</v>
      </c>
      <c r="F23"/>
    </row>
    <row r="24" spans="2:6" ht="20.100000000000001" customHeight="1">
      <c r="C24" t="s">
        <v>44</v>
      </c>
      <c r="D24" s="170">
        <v>1780000</v>
      </c>
      <c r="E24" s="170">
        <v>0</v>
      </c>
      <c r="F24"/>
    </row>
    <row r="25" spans="2:6" ht="20.100000000000001" customHeight="1">
      <c r="B25" s="366" t="s">
        <v>806</v>
      </c>
      <c r="C25" s="366"/>
      <c r="D25" s="367">
        <v>2181000</v>
      </c>
      <c r="E25" s="367">
        <v>0</v>
      </c>
      <c r="F25"/>
    </row>
    <row r="26" spans="2:6" ht="20.100000000000001" customHeight="1">
      <c r="B26" t="s">
        <v>401</v>
      </c>
      <c r="C26" t="s">
        <v>36</v>
      </c>
      <c r="D26" s="170">
        <v>529000</v>
      </c>
      <c r="E26" s="170">
        <v>371780</v>
      </c>
      <c r="F26"/>
    </row>
    <row r="27" spans="2:6" ht="20.100000000000001" customHeight="1">
      <c r="C27" t="s">
        <v>38</v>
      </c>
      <c r="D27" s="170">
        <v>1750000</v>
      </c>
      <c r="E27" s="170">
        <v>1048500</v>
      </c>
      <c r="F27"/>
    </row>
    <row r="28" spans="2:6" ht="20.100000000000001" customHeight="1">
      <c r="C28" t="s">
        <v>39</v>
      </c>
      <c r="D28" s="170">
        <v>700000</v>
      </c>
      <c r="E28" s="170">
        <v>498900</v>
      </c>
      <c r="F28"/>
    </row>
    <row r="29" spans="2:6" ht="24.75" customHeight="1">
      <c r="C29" t="s">
        <v>42</v>
      </c>
      <c r="D29" s="170">
        <v>1205000</v>
      </c>
      <c r="E29" s="170">
        <v>970100</v>
      </c>
      <c r="F29"/>
    </row>
    <row r="30" spans="2:6" ht="19.5" customHeight="1">
      <c r="C30" t="s">
        <v>89</v>
      </c>
      <c r="D30" s="170">
        <v>300000</v>
      </c>
      <c r="E30" s="170">
        <v>289900</v>
      </c>
      <c r="F30"/>
    </row>
    <row r="31" spans="2:6" ht="20.100000000000001" customHeight="1">
      <c r="C31" t="s">
        <v>90</v>
      </c>
      <c r="D31" s="170">
        <v>247225</v>
      </c>
      <c r="E31" s="170">
        <v>212224</v>
      </c>
      <c r="F31"/>
    </row>
    <row r="32" spans="2:6" ht="20.100000000000001" customHeight="1">
      <c r="C32" t="s">
        <v>43</v>
      </c>
      <c r="D32" s="170">
        <v>3500000</v>
      </c>
      <c r="E32" s="170">
        <v>2097000</v>
      </c>
      <c r="F32"/>
    </row>
    <row r="33" spans="1:7" ht="24" customHeight="1">
      <c r="C33" t="s">
        <v>88</v>
      </c>
      <c r="D33" s="170">
        <v>4980500</v>
      </c>
      <c r="E33" s="170">
        <v>3222560</v>
      </c>
      <c r="F33"/>
    </row>
    <row r="34" spans="1:7" ht="23.25" customHeight="1">
      <c r="B34" s="366" t="s">
        <v>807</v>
      </c>
      <c r="C34" s="366"/>
      <c r="D34" s="367">
        <v>13211725</v>
      </c>
      <c r="E34" s="367">
        <v>8710964</v>
      </c>
      <c r="F34"/>
    </row>
    <row r="35" spans="1:7" ht="24.75" customHeight="1">
      <c r="B35" t="s">
        <v>304</v>
      </c>
      <c r="C35" t="s">
        <v>89</v>
      </c>
      <c r="D35" s="170"/>
      <c r="E35" s="170">
        <v>0</v>
      </c>
      <c r="F35"/>
    </row>
    <row r="36" spans="1:7" ht="20.100000000000001" customHeight="1">
      <c r="C36" t="s">
        <v>88</v>
      </c>
      <c r="D36" s="170">
        <v>1119950</v>
      </c>
      <c r="E36" s="170">
        <v>0</v>
      </c>
      <c r="F36"/>
    </row>
    <row r="37" spans="1:7" ht="20.100000000000001" customHeight="1">
      <c r="B37" s="366" t="s">
        <v>808</v>
      </c>
      <c r="C37" s="366"/>
      <c r="D37" s="367">
        <v>1119950</v>
      </c>
      <c r="E37" s="367">
        <v>0</v>
      </c>
      <c r="F37"/>
      <c r="G37" s="291"/>
    </row>
    <row r="38" spans="1:7" s="286" customFormat="1" ht="30.75" customHeight="1">
      <c r="A38"/>
      <c r="B38" t="s">
        <v>81</v>
      </c>
      <c r="C38" t="s">
        <v>36</v>
      </c>
      <c r="D38" s="170">
        <v>1528000</v>
      </c>
      <c r="E38" s="170">
        <v>1096919</v>
      </c>
      <c r="F38"/>
    </row>
    <row r="39" spans="1:7" ht="36" customHeight="1">
      <c r="C39" t="s">
        <v>37</v>
      </c>
      <c r="D39" s="170">
        <v>600000</v>
      </c>
      <c r="E39" s="170">
        <v>334600</v>
      </c>
      <c r="F39"/>
    </row>
    <row r="40" spans="1:7" ht="34.5" customHeight="1">
      <c r="C40" t="s">
        <v>38</v>
      </c>
      <c r="D40" s="170">
        <v>1250000</v>
      </c>
      <c r="E40" s="170">
        <v>1123247</v>
      </c>
      <c r="F40"/>
    </row>
    <row r="41" spans="1:7" ht="19.5" customHeight="1">
      <c r="C41" t="s">
        <v>39</v>
      </c>
      <c r="D41" s="170">
        <v>10717000</v>
      </c>
      <c r="E41" s="170">
        <v>5757726</v>
      </c>
      <c r="F41"/>
    </row>
    <row r="42" spans="1:7" ht="19.5" customHeight="1">
      <c r="C42" t="s">
        <v>40</v>
      </c>
      <c r="D42" s="170">
        <v>535000</v>
      </c>
      <c r="E42" s="170">
        <v>421500</v>
      </c>
      <c r="F42"/>
    </row>
    <row r="43" spans="1:7" ht="19.5" customHeight="1">
      <c r="C43" t="s">
        <v>42</v>
      </c>
      <c r="D43" s="170">
        <v>3519000</v>
      </c>
      <c r="E43" s="170">
        <v>1758701</v>
      </c>
      <c r="F43"/>
    </row>
    <row r="44" spans="1:7" ht="19.5" customHeight="1">
      <c r="C44" t="s">
        <v>44</v>
      </c>
      <c r="D44" s="170">
        <v>2401000</v>
      </c>
      <c r="E44" s="170">
        <v>1587640</v>
      </c>
      <c r="F44"/>
    </row>
    <row r="45" spans="1:7" ht="24.75" customHeight="1">
      <c r="C45" t="s">
        <v>48</v>
      </c>
      <c r="D45" s="170">
        <v>762916</v>
      </c>
      <c r="E45" s="170">
        <v>560705</v>
      </c>
      <c r="F45"/>
    </row>
    <row r="46" spans="1:7" ht="24.75" customHeight="1">
      <c r="C46" t="s">
        <v>49</v>
      </c>
      <c r="D46" s="170">
        <v>360000</v>
      </c>
      <c r="E46" s="170">
        <v>239400</v>
      </c>
      <c r="F46"/>
    </row>
    <row r="47" spans="1:7" ht="27" customHeight="1">
      <c r="C47" t="s">
        <v>52</v>
      </c>
      <c r="D47" s="170">
        <v>4324700</v>
      </c>
      <c r="E47" s="170">
        <v>3938790</v>
      </c>
      <c r="F47"/>
    </row>
    <row r="48" spans="1:7" ht="26.25" customHeight="1">
      <c r="C48" t="s">
        <v>89</v>
      </c>
      <c r="D48" s="170">
        <v>1695000</v>
      </c>
      <c r="E48" s="170">
        <v>1078485</v>
      </c>
      <c r="F48"/>
    </row>
    <row r="49" spans="1:8" s="286" customFormat="1" ht="26.25" customHeight="1">
      <c r="A49"/>
      <c r="B49"/>
      <c r="C49" t="s">
        <v>87</v>
      </c>
      <c r="D49" s="170">
        <v>3478000</v>
      </c>
      <c r="E49" s="170">
        <v>3171594</v>
      </c>
      <c r="F49"/>
    </row>
    <row r="50" spans="1:8" s="286" customFormat="1" ht="29.25" customHeight="1">
      <c r="A50"/>
      <c r="B50"/>
      <c r="C50" t="s">
        <v>90</v>
      </c>
      <c r="D50" s="170">
        <v>2448000</v>
      </c>
      <c r="E50" s="170">
        <v>2150212</v>
      </c>
      <c r="F50"/>
    </row>
    <row r="51" spans="1:8" ht="32.25" customHeight="1">
      <c r="C51" t="s">
        <v>88</v>
      </c>
      <c r="D51" s="170">
        <v>3145690</v>
      </c>
      <c r="E51" s="170">
        <v>2472000</v>
      </c>
      <c r="G51" s="705">
        <f>GETPIVOTDATA("Sum of L1 Amount",$A$3,"Product /Service","Equipment","Status","Bill submitted ")-'All Summary'!O23</f>
        <v>115737</v>
      </c>
      <c r="H51" s="170" t="s">
        <v>809</v>
      </c>
    </row>
    <row r="52" spans="1:8" ht="31.5" customHeight="1">
      <c r="B52" s="366" t="s">
        <v>810</v>
      </c>
      <c r="C52" s="366"/>
      <c r="D52" s="367">
        <v>36764306</v>
      </c>
      <c r="E52" s="367">
        <v>25691519</v>
      </c>
      <c r="F52"/>
      <c r="G52" s="568">
        <f>GETPIVOTDATA("Sum of L1 Amount",$A$3,"Product /Service","Equipment","Status","Bill submitted ")-G51</f>
        <v>25575782</v>
      </c>
      <c r="H52" t="s">
        <v>811</v>
      </c>
    </row>
    <row r="53" spans="1:8" ht="22.5" customHeight="1">
      <c r="A53" s="931" t="s">
        <v>812</v>
      </c>
      <c r="B53" s="931"/>
      <c r="C53" s="931"/>
      <c r="D53" s="930">
        <v>89628152</v>
      </c>
      <c r="E53" s="930">
        <v>44360733</v>
      </c>
      <c r="F53"/>
    </row>
    <row r="54" spans="1:8" ht="26.25" customHeight="1">
      <c r="A54" s="931" t="s">
        <v>17</v>
      </c>
      <c r="B54" s="931"/>
      <c r="C54" s="931"/>
      <c r="D54" s="930">
        <v>89628152</v>
      </c>
      <c r="E54" s="930">
        <v>44360733</v>
      </c>
      <c r="F54"/>
    </row>
    <row r="55" spans="1:8" ht="34.5" customHeight="1">
      <c r="F55"/>
    </row>
    <row r="56" spans="1:8" ht="30.75" customHeight="1">
      <c r="F56"/>
      <c r="G56" s="170"/>
      <c r="H56" s="170"/>
    </row>
    <row r="57" spans="1:8" ht="27" customHeight="1">
      <c r="F57"/>
    </row>
    <row r="58" spans="1:8" ht="24" customHeight="1">
      <c r="F58"/>
    </row>
    <row r="59" spans="1:8" ht="29.25" customHeight="1">
      <c r="F59"/>
    </row>
    <row r="60" spans="1:8" ht="28.5" customHeight="1">
      <c r="F60"/>
    </row>
    <row r="61" spans="1:8" ht="36.75" customHeight="1">
      <c r="F61"/>
    </row>
    <row r="62" spans="1:8" ht="30.75" customHeight="1">
      <c r="F62"/>
    </row>
    <row r="63" spans="1:8">
      <c r="F63"/>
    </row>
    <row r="64" spans="1:8" ht="31.5" customHeight="1">
      <c r="F64"/>
    </row>
    <row r="65" spans="6:6" ht="32.25" customHeight="1">
      <c r="F65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80" spans="6:6">
      <c r="F80"/>
    </row>
  </sheetData>
  <printOptions gridLines="1"/>
  <pageMargins left="0.2" right="0.15748031496062992" top="0.35433070866141736" bottom="0.27559055118110237" header="0.15748031496062992" footer="0.15748031496062992"/>
  <pageSetup paperSize="9" scale="75" orientation="portrait" r:id="rId2"/>
  <headerFooter>
    <oddHeader>&amp;C&amp;16L.D College of Engineering,Ahmedabad</oddHeader>
    <oddFooter>&amp;CPage &amp;P of &amp;N&amp;R&amp;D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368D-51D4-4F01-8532-AFF1E3F1574A}">
  <sheetPr filterMode="1"/>
  <dimension ref="A1:XFB99"/>
  <sheetViews>
    <sheetView view="pageBreakPreview" zoomScale="85" zoomScaleNormal="100" zoomScaleSheetLayoutView="85" workbookViewId="0">
      <selection activeCell="L9" sqref="L9"/>
    </sheetView>
  </sheetViews>
  <sheetFormatPr defaultRowHeight="24.95" customHeight="1"/>
  <cols>
    <col min="1" max="1" width="9.140625" style="596"/>
    <col min="2" max="2" width="19.7109375" hidden="1" customWidth="1"/>
    <col min="3" max="3" width="50.42578125" customWidth="1"/>
    <col min="4" max="4" width="13" style="29" customWidth="1"/>
    <col min="5" max="5" width="16.42578125" style="594" customWidth="1"/>
    <col min="6" max="6" width="18.140625" customWidth="1"/>
    <col min="7" max="7" width="21" customWidth="1"/>
    <col min="8" max="8" width="18.42578125" customWidth="1"/>
    <col min="9" max="9" width="18.5703125" style="29" customWidth="1"/>
    <col min="10" max="10" width="16" style="29" bestFit="1" customWidth="1"/>
    <col min="11" max="11" width="19" customWidth="1"/>
    <col min="12" max="12" width="35.28515625" customWidth="1"/>
    <col min="13" max="13" width="21.42578125" customWidth="1"/>
    <col min="14" max="14" width="14.140625" customWidth="1"/>
    <col min="15" max="15" width="10.7109375" bestFit="1" customWidth="1"/>
  </cols>
  <sheetData>
    <row r="1" spans="1:15" ht="48" customHeight="1">
      <c r="A1" s="721" t="s">
        <v>813</v>
      </c>
      <c r="B1" s="756" t="s">
        <v>95</v>
      </c>
      <c r="C1" s="754" t="s">
        <v>96</v>
      </c>
      <c r="D1" s="721" t="s">
        <v>97</v>
      </c>
      <c r="E1" s="755" t="s">
        <v>98</v>
      </c>
      <c r="F1" s="721" t="s">
        <v>99</v>
      </c>
      <c r="G1" s="721" t="s">
        <v>100</v>
      </c>
      <c r="H1" s="721" t="s">
        <v>104</v>
      </c>
      <c r="I1" s="721" t="s">
        <v>82</v>
      </c>
      <c r="J1" s="758" t="s">
        <v>80</v>
      </c>
      <c r="K1" s="758" t="s">
        <v>58</v>
      </c>
      <c r="L1" s="760" t="s">
        <v>59</v>
      </c>
      <c r="M1" s="758" t="s">
        <v>105</v>
      </c>
      <c r="N1" s="761"/>
    </row>
    <row r="2" spans="1:15" ht="24.95" customHeight="1">
      <c r="A2" s="736">
        <f>SUBTOTAL(2,A3:A97)</f>
        <v>82</v>
      </c>
      <c r="B2" s="716">
        <f>SUBTOTAL(2,B3:B97)+1</f>
        <v>66</v>
      </c>
      <c r="C2" s="681" t="s">
        <v>111</v>
      </c>
      <c r="D2" s="737">
        <f>SUBTOTAL(2,D3:D97)</f>
        <v>82</v>
      </c>
      <c r="E2" s="713" t="s">
        <v>112</v>
      </c>
      <c r="F2" s="738">
        <f>SUBTOTAL(9,F3:F97)</f>
        <v>24767000</v>
      </c>
      <c r="G2" s="681" t="s">
        <v>111</v>
      </c>
      <c r="H2" s="681" t="s">
        <v>111</v>
      </c>
      <c r="I2" s="681" t="s">
        <v>111</v>
      </c>
      <c r="J2" s="684" t="s">
        <v>111</v>
      </c>
      <c r="K2" s="738">
        <f>SUBTOTAL(9,K3:K91)</f>
        <v>15612392</v>
      </c>
      <c r="L2" s="684" t="s">
        <v>111</v>
      </c>
      <c r="M2" s="684" t="s">
        <v>111</v>
      </c>
      <c r="O2" s="170">
        <f>F2-K2</f>
        <v>9154608</v>
      </c>
    </row>
    <row r="3" spans="1:15" ht="30" customHeight="1">
      <c r="A3" s="596">
        <v>1</v>
      </c>
      <c r="B3" s="171">
        <v>17</v>
      </c>
      <c r="C3" s="192" t="s">
        <v>157</v>
      </c>
      <c r="D3" s="246">
        <v>3</v>
      </c>
      <c r="E3" s="733">
        <v>20000</v>
      </c>
      <c r="F3" s="220">
        <v>60000</v>
      </c>
      <c r="G3" s="222" t="s">
        <v>38</v>
      </c>
      <c r="H3" s="574" t="s">
        <v>20</v>
      </c>
      <c r="I3" s="555" t="s">
        <v>83</v>
      </c>
      <c r="J3" s="642" t="s">
        <v>814</v>
      </c>
      <c r="K3" s="734">
        <v>48300</v>
      </c>
      <c r="L3" s="735" t="s">
        <v>160</v>
      </c>
      <c r="M3" s="334" t="s">
        <v>161</v>
      </c>
    </row>
    <row r="4" spans="1:15" ht="30" customHeight="1">
      <c r="A4" s="596">
        <v>2</v>
      </c>
      <c r="B4" s="171">
        <v>18</v>
      </c>
      <c r="C4" s="192" t="s">
        <v>164</v>
      </c>
      <c r="D4" s="193">
        <v>3</v>
      </c>
      <c r="E4" s="194">
        <v>20000</v>
      </c>
      <c r="F4" s="175">
        <v>60000</v>
      </c>
      <c r="G4" s="176" t="s">
        <v>38</v>
      </c>
      <c r="H4" s="179" t="s">
        <v>20</v>
      </c>
      <c r="I4" s="211" t="s">
        <v>83</v>
      </c>
      <c r="J4" s="264" t="s">
        <v>814</v>
      </c>
      <c r="K4" s="304">
        <v>58587</v>
      </c>
      <c r="L4" s="316" t="s">
        <v>165</v>
      </c>
      <c r="M4" s="276" t="s">
        <v>161</v>
      </c>
    </row>
    <row r="5" spans="1:15" ht="30" customHeight="1">
      <c r="A5" s="596">
        <v>3</v>
      </c>
      <c r="B5" s="171">
        <v>19</v>
      </c>
      <c r="C5" s="196" t="s">
        <v>168</v>
      </c>
      <c r="D5" s="176">
        <v>3</v>
      </c>
      <c r="E5" s="194">
        <v>20000</v>
      </c>
      <c r="F5" s="175">
        <v>60000</v>
      </c>
      <c r="G5" s="176" t="s">
        <v>38</v>
      </c>
      <c r="H5" s="179" t="s">
        <v>20</v>
      </c>
      <c r="I5" s="211" t="s">
        <v>83</v>
      </c>
      <c r="J5" s="264" t="s">
        <v>814</v>
      </c>
      <c r="K5" s="304">
        <v>58410</v>
      </c>
      <c r="L5" s="316" t="s">
        <v>165</v>
      </c>
      <c r="M5" s="276" t="s">
        <v>161</v>
      </c>
      <c r="O5" s="170"/>
    </row>
    <row r="6" spans="1:15" s="607" customFormat="1" ht="45" hidden="1" customHeight="1">
      <c r="A6" s="608">
        <v>4</v>
      </c>
      <c r="B6" s="609">
        <v>92</v>
      </c>
      <c r="C6" s="610" t="s">
        <v>284</v>
      </c>
      <c r="D6" s="609">
        <v>1</v>
      </c>
      <c r="E6" s="611">
        <v>60000</v>
      </c>
      <c r="F6" s="612">
        <v>60000</v>
      </c>
      <c r="G6" s="613" t="s">
        <v>89</v>
      </c>
      <c r="H6" s="613" t="s">
        <v>20</v>
      </c>
      <c r="I6" s="609" t="s">
        <v>83</v>
      </c>
      <c r="J6" s="614" t="s">
        <v>304</v>
      </c>
      <c r="K6" s="615">
        <v>39900</v>
      </c>
      <c r="L6" s="616" t="s">
        <v>305</v>
      </c>
      <c r="M6" s="617" t="s">
        <v>306</v>
      </c>
    </row>
    <row r="7" spans="1:15" ht="60" customHeight="1">
      <c r="A7" s="596">
        <v>5</v>
      </c>
      <c r="B7" s="171">
        <v>125</v>
      </c>
      <c r="C7" s="209" t="s">
        <v>358</v>
      </c>
      <c r="D7" s="186">
        <v>1</v>
      </c>
      <c r="E7" s="187">
        <v>1138000</v>
      </c>
      <c r="F7" s="210">
        <v>1138000</v>
      </c>
      <c r="G7" s="186" t="s">
        <v>52</v>
      </c>
      <c r="H7" s="204" t="s">
        <v>20</v>
      </c>
      <c r="I7" s="211" t="s">
        <v>83</v>
      </c>
      <c r="J7" s="264" t="s">
        <v>814</v>
      </c>
      <c r="K7" s="304">
        <v>864480</v>
      </c>
      <c r="L7" s="316" t="s">
        <v>359</v>
      </c>
      <c r="M7" s="276" t="s">
        <v>161</v>
      </c>
    </row>
    <row r="8" spans="1:15" ht="30" customHeight="1">
      <c r="A8" s="596">
        <v>6</v>
      </c>
      <c r="B8" s="315">
        <v>6</v>
      </c>
      <c r="C8" s="313" t="s">
        <v>419</v>
      </c>
      <c r="D8" s="314">
        <v>1</v>
      </c>
      <c r="E8" s="265">
        <v>300000</v>
      </c>
      <c r="F8" s="265">
        <v>300000</v>
      </c>
      <c r="G8" s="186" t="s">
        <v>406</v>
      </c>
      <c r="H8" s="274" t="s">
        <v>396</v>
      </c>
      <c r="I8" s="264" t="s">
        <v>408</v>
      </c>
      <c r="J8" s="264" t="s">
        <v>814</v>
      </c>
      <c r="K8" s="304">
        <v>164880</v>
      </c>
      <c r="L8" s="316" t="s">
        <v>420</v>
      </c>
      <c r="M8" s="276" t="s">
        <v>161</v>
      </c>
    </row>
    <row r="9" spans="1:15" ht="30" customHeight="1">
      <c r="A9" s="596">
        <v>7</v>
      </c>
      <c r="B9" s="280">
        <v>31</v>
      </c>
      <c r="C9" s="281" t="s">
        <v>486</v>
      </c>
      <c r="D9" s="280">
        <v>1</v>
      </c>
      <c r="E9" s="459">
        <v>111000</v>
      </c>
      <c r="F9" s="459">
        <v>111000</v>
      </c>
      <c r="G9" s="280" t="s">
        <v>52</v>
      </c>
      <c r="H9" s="460" t="s">
        <v>396</v>
      </c>
      <c r="I9" s="460" t="s">
        <v>83</v>
      </c>
      <c r="J9" s="546" t="s">
        <v>814</v>
      </c>
      <c r="K9" s="461">
        <v>94636</v>
      </c>
      <c r="L9" s="462" t="s">
        <v>359</v>
      </c>
      <c r="M9" s="333" t="s">
        <v>161</v>
      </c>
    </row>
    <row r="10" spans="1:15" ht="30" customHeight="1">
      <c r="A10" s="596">
        <v>1</v>
      </c>
      <c r="B10" s="456">
        <v>1</v>
      </c>
      <c r="C10" s="153" t="s">
        <v>443</v>
      </c>
      <c r="D10" s="112">
        <v>1</v>
      </c>
      <c r="E10" s="458">
        <v>140000</v>
      </c>
      <c r="F10" s="458">
        <v>140000</v>
      </c>
      <c r="G10" s="112" t="s">
        <v>39</v>
      </c>
      <c r="H10" s="288" t="s">
        <v>396</v>
      </c>
      <c r="I10" s="288" t="s">
        <v>83</v>
      </c>
      <c r="J10" s="546" t="s">
        <v>814</v>
      </c>
      <c r="K10" s="364">
        <v>78842</v>
      </c>
      <c r="L10" s="463" t="s">
        <v>445</v>
      </c>
      <c r="M10" s="276" t="s">
        <v>288</v>
      </c>
    </row>
    <row r="11" spans="1:15" ht="30" customHeight="1">
      <c r="A11" s="596">
        <v>2</v>
      </c>
      <c r="B11" s="456">
        <v>2</v>
      </c>
      <c r="C11" s="153" t="s">
        <v>447</v>
      </c>
      <c r="D11" s="112">
        <v>1</v>
      </c>
      <c r="E11" s="458">
        <v>250000</v>
      </c>
      <c r="F11" s="458">
        <v>250000</v>
      </c>
      <c r="G11" s="112" t="s">
        <v>39</v>
      </c>
      <c r="H11" s="288" t="s">
        <v>396</v>
      </c>
      <c r="I11" s="288" t="s">
        <v>83</v>
      </c>
      <c r="J11" s="546" t="s">
        <v>814</v>
      </c>
      <c r="K11" s="364">
        <v>146706</v>
      </c>
      <c r="L11" s="463" t="s">
        <v>445</v>
      </c>
      <c r="M11" s="276" t="s">
        <v>288</v>
      </c>
    </row>
    <row r="12" spans="1:15" ht="30" customHeight="1">
      <c r="A12" s="596">
        <v>3</v>
      </c>
      <c r="B12" s="456">
        <v>3</v>
      </c>
      <c r="C12" s="153" t="s">
        <v>449</v>
      </c>
      <c r="D12" s="112">
        <v>1</v>
      </c>
      <c r="E12" s="458">
        <v>300000</v>
      </c>
      <c r="F12" s="458">
        <v>300000</v>
      </c>
      <c r="G12" s="112" t="s">
        <v>39</v>
      </c>
      <c r="H12" s="288" t="s">
        <v>396</v>
      </c>
      <c r="I12" s="288" t="s">
        <v>83</v>
      </c>
      <c r="J12" s="546" t="s">
        <v>814</v>
      </c>
      <c r="K12" s="364">
        <v>119760</v>
      </c>
      <c r="L12" s="463" t="s">
        <v>445</v>
      </c>
      <c r="M12" s="276" t="s">
        <v>288</v>
      </c>
    </row>
    <row r="13" spans="1:15" ht="30" customHeight="1">
      <c r="A13" s="596">
        <v>4</v>
      </c>
      <c r="B13" s="456">
        <v>4</v>
      </c>
      <c r="C13" s="153" t="s">
        <v>451</v>
      </c>
      <c r="D13" s="112">
        <v>1</v>
      </c>
      <c r="E13" s="458">
        <v>310000</v>
      </c>
      <c r="F13" s="458">
        <v>310000</v>
      </c>
      <c r="G13" s="112" t="s">
        <v>39</v>
      </c>
      <c r="H13" s="288" t="s">
        <v>396</v>
      </c>
      <c r="I13" s="288" t="s">
        <v>83</v>
      </c>
      <c r="J13" s="546" t="s">
        <v>814</v>
      </c>
      <c r="K13" s="364">
        <v>117754</v>
      </c>
      <c r="L13" s="463" t="s">
        <v>445</v>
      </c>
      <c r="M13" s="276" t="s">
        <v>288</v>
      </c>
    </row>
    <row r="14" spans="1:15" ht="30" customHeight="1">
      <c r="A14" s="596">
        <v>5</v>
      </c>
      <c r="B14" s="456">
        <v>5</v>
      </c>
      <c r="C14" s="153" t="s">
        <v>453</v>
      </c>
      <c r="D14" s="112">
        <v>1</v>
      </c>
      <c r="E14" s="458">
        <v>320000</v>
      </c>
      <c r="F14" s="458">
        <v>320000</v>
      </c>
      <c r="G14" s="112" t="s">
        <v>39</v>
      </c>
      <c r="H14" s="288" t="s">
        <v>396</v>
      </c>
      <c r="I14" s="288" t="s">
        <v>83</v>
      </c>
      <c r="J14" s="546" t="s">
        <v>814</v>
      </c>
      <c r="K14" s="364">
        <v>187600</v>
      </c>
      <c r="L14" s="463" t="s">
        <v>445</v>
      </c>
      <c r="M14" s="276" t="s">
        <v>288</v>
      </c>
    </row>
    <row r="15" spans="1:15" ht="30" customHeight="1">
      <c r="A15" s="596">
        <v>6</v>
      </c>
      <c r="B15" s="456">
        <v>6</v>
      </c>
      <c r="C15" s="153" t="s">
        <v>455</v>
      </c>
      <c r="D15" s="112">
        <v>1</v>
      </c>
      <c r="E15" s="458">
        <v>360000</v>
      </c>
      <c r="F15" s="458">
        <v>360000</v>
      </c>
      <c r="G15" s="112" t="s">
        <v>39</v>
      </c>
      <c r="H15" s="288" t="s">
        <v>396</v>
      </c>
      <c r="I15" s="288" t="s">
        <v>83</v>
      </c>
      <c r="J15" s="546" t="s">
        <v>814</v>
      </c>
      <c r="K15" s="364">
        <v>235528</v>
      </c>
      <c r="L15" s="463" t="s">
        <v>445</v>
      </c>
      <c r="M15" s="276" t="s">
        <v>288</v>
      </c>
    </row>
    <row r="16" spans="1:15" ht="30" customHeight="1">
      <c r="A16" s="596">
        <v>7</v>
      </c>
      <c r="B16" s="456">
        <v>7</v>
      </c>
      <c r="C16" s="153" t="s">
        <v>457</v>
      </c>
      <c r="D16" s="112">
        <v>1</v>
      </c>
      <c r="E16" s="458">
        <v>1750000</v>
      </c>
      <c r="F16" s="458">
        <v>1750000</v>
      </c>
      <c r="G16" s="112" t="s">
        <v>39</v>
      </c>
      <c r="H16" s="288" t="s">
        <v>396</v>
      </c>
      <c r="I16" s="288" t="s">
        <v>83</v>
      </c>
      <c r="J16" s="546" t="s">
        <v>814</v>
      </c>
      <c r="K16" s="364">
        <v>576000</v>
      </c>
      <c r="L16" s="463" t="s">
        <v>445</v>
      </c>
      <c r="M16" s="276" t="s">
        <v>288</v>
      </c>
    </row>
    <row r="17" spans="1:16382" ht="30" customHeight="1">
      <c r="A17" s="596">
        <v>8</v>
      </c>
      <c r="B17" s="456">
        <v>8</v>
      </c>
      <c r="C17" s="153" t="s">
        <v>459</v>
      </c>
      <c r="D17" s="112">
        <v>1</v>
      </c>
      <c r="E17" s="458">
        <v>1000000</v>
      </c>
      <c r="F17" s="458">
        <v>1000000</v>
      </c>
      <c r="G17" s="112" t="s">
        <v>39</v>
      </c>
      <c r="H17" s="288" t="s">
        <v>396</v>
      </c>
      <c r="I17" s="288" t="s">
        <v>83</v>
      </c>
      <c r="J17" s="546" t="s">
        <v>814</v>
      </c>
      <c r="K17" s="364">
        <v>499000</v>
      </c>
      <c r="L17" s="463" t="s">
        <v>445</v>
      </c>
      <c r="M17" s="276" t="s">
        <v>288</v>
      </c>
    </row>
    <row r="18" spans="1:16382" ht="30" customHeight="1">
      <c r="A18" s="596">
        <v>9</v>
      </c>
      <c r="B18" s="456">
        <v>9</v>
      </c>
      <c r="C18" s="153" t="s">
        <v>461</v>
      </c>
      <c r="D18" s="112">
        <v>1</v>
      </c>
      <c r="E18" s="458">
        <v>500000</v>
      </c>
      <c r="F18" s="458">
        <v>500000</v>
      </c>
      <c r="G18" s="112" t="s">
        <v>39</v>
      </c>
      <c r="H18" s="288" t="s">
        <v>396</v>
      </c>
      <c r="I18" s="288" t="s">
        <v>83</v>
      </c>
      <c r="J18" s="546" t="s">
        <v>814</v>
      </c>
      <c r="K18" s="364">
        <v>180000</v>
      </c>
      <c r="L18" s="463" t="s">
        <v>445</v>
      </c>
      <c r="M18" s="276" t="s">
        <v>288</v>
      </c>
    </row>
    <row r="19" spans="1:16382" ht="30" customHeight="1">
      <c r="A19" s="596">
        <v>10</v>
      </c>
      <c r="B19" s="456">
        <v>10</v>
      </c>
      <c r="C19" s="153" t="s">
        <v>463</v>
      </c>
      <c r="D19" s="457">
        <v>1</v>
      </c>
      <c r="E19" s="458">
        <v>1070000</v>
      </c>
      <c r="F19" s="458">
        <v>1070000</v>
      </c>
      <c r="G19" s="112" t="s">
        <v>39</v>
      </c>
      <c r="H19" s="288" t="s">
        <v>396</v>
      </c>
      <c r="I19" s="288" t="s">
        <v>83</v>
      </c>
      <c r="J19" s="546" t="s">
        <v>814</v>
      </c>
      <c r="K19" s="364">
        <v>879000</v>
      </c>
      <c r="L19" s="524" t="s">
        <v>464</v>
      </c>
      <c r="M19" s="276" t="s">
        <v>288</v>
      </c>
    </row>
    <row r="20" spans="1:16382" ht="22.5" customHeight="1">
      <c r="A20" s="596">
        <v>11</v>
      </c>
      <c r="B20" s="456">
        <v>7</v>
      </c>
      <c r="C20" s="14" t="s">
        <v>542</v>
      </c>
      <c r="D20" s="11">
        <v>26</v>
      </c>
      <c r="E20" s="464">
        <v>21153.846153846152</v>
      </c>
      <c r="F20" s="455">
        <v>550000</v>
      </c>
      <c r="G20" s="11" t="s">
        <v>412</v>
      </c>
      <c r="H20" s="11" t="s">
        <v>531</v>
      </c>
      <c r="I20" s="11" t="s">
        <v>408</v>
      </c>
      <c r="J20" s="546" t="s">
        <v>814</v>
      </c>
      <c r="K20" s="455">
        <v>235950</v>
      </c>
      <c r="L20" s="32" t="s">
        <v>543</v>
      </c>
      <c r="M20" s="276" t="s">
        <v>288</v>
      </c>
      <c r="N20" s="303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  <c r="DG20" s="160"/>
      <c r="DH20" s="160"/>
      <c r="DI20" s="160"/>
      <c r="DJ20" s="160"/>
      <c r="DK20" s="160"/>
      <c r="DL20" s="160"/>
      <c r="DM20" s="160"/>
      <c r="DN20" s="160"/>
      <c r="DO20" s="160"/>
      <c r="DP20" s="160"/>
      <c r="DQ20" s="160"/>
      <c r="DR20" s="160"/>
      <c r="DS20" s="160"/>
      <c r="DT20" s="160"/>
      <c r="DU20" s="160"/>
      <c r="DV20" s="160"/>
      <c r="DW20" s="160"/>
      <c r="DX20" s="160"/>
      <c r="DY20" s="160"/>
      <c r="DZ20" s="160"/>
      <c r="EA20" s="160"/>
      <c r="EB20" s="160"/>
      <c r="EC20" s="160"/>
      <c r="ED20" s="160"/>
      <c r="EE20" s="160"/>
      <c r="EF20" s="160"/>
      <c r="EG20" s="160"/>
      <c r="EH20" s="160"/>
      <c r="EI20" s="160"/>
      <c r="EJ20" s="160"/>
      <c r="EK20" s="160"/>
      <c r="EL20" s="160"/>
      <c r="EM20" s="160"/>
      <c r="EN20" s="160"/>
      <c r="EO20" s="160"/>
      <c r="EP20" s="160"/>
      <c r="EQ20" s="160"/>
      <c r="ER20" s="160"/>
      <c r="ES20" s="160"/>
      <c r="ET20" s="160"/>
      <c r="EU20" s="160"/>
      <c r="EV20" s="160"/>
      <c r="EW20" s="160"/>
      <c r="EX20" s="160"/>
      <c r="EY20" s="160"/>
      <c r="EZ20" s="160"/>
      <c r="FA20" s="160"/>
      <c r="FB20" s="160"/>
      <c r="FC20" s="160"/>
      <c r="FD20" s="160"/>
      <c r="FE20" s="160"/>
      <c r="FF20" s="160"/>
      <c r="FG20" s="160"/>
      <c r="FH20" s="160"/>
      <c r="FI20" s="160"/>
      <c r="FJ20" s="160"/>
      <c r="FK20" s="160"/>
      <c r="FL20" s="160"/>
      <c r="FM20" s="160"/>
      <c r="FN20" s="160"/>
      <c r="FO20" s="160"/>
      <c r="FP20" s="160"/>
      <c r="FQ20" s="160"/>
      <c r="FR20" s="160"/>
      <c r="FS20" s="160"/>
      <c r="FT20" s="160"/>
      <c r="FU20" s="160"/>
      <c r="FV20" s="160"/>
      <c r="FW20" s="160"/>
      <c r="FX20" s="160"/>
      <c r="FY20" s="160"/>
      <c r="FZ20" s="160"/>
      <c r="GA20" s="160"/>
      <c r="GB20" s="160"/>
      <c r="GC20" s="160"/>
      <c r="GD20" s="160"/>
      <c r="GE20" s="160"/>
      <c r="GF20" s="160"/>
      <c r="GG20" s="160"/>
      <c r="GH20" s="160"/>
      <c r="GI20" s="160"/>
      <c r="GJ20" s="160"/>
      <c r="GK20" s="160"/>
      <c r="GL20" s="160"/>
      <c r="GM20" s="160"/>
      <c r="GN20" s="160"/>
      <c r="GO20" s="160"/>
      <c r="GP20" s="160"/>
      <c r="GQ20" s="160"/>
      <c r="GR20" s="160"/>
      <c r="GS20" s="160"/>
      <c r="GT20" s="160"/>
      <c r="GU20" s="160"/>
      <c r="GV20" s="160"/>
      <c r="GW20" s="160"/>
      <c r="GX20" s="160"/>
      <c r="GY20" s="160"/>
      <c r="GZ20" s="160"/>
      <c r="HA20" s="160"/>
      <c r="HB20" s="160"/>
      <c r="HC20" s="160"/>
      <c r="HD20" s="160"/>
      <c r="HE20" s="160"/>
      <c r="HF20" s="160"/>
      <c r="HG20" s="160"/>
      <c r="HH20" s="160"/>
      <c r="HI20" s="160"/>
      <c r="HJ20" s="160"/>
      <c r="HK20" s="160"/>
      <c r="HL20" s="160"/>
      <c r="HM20" s="160"/>
      <c r="HN20" s="160"/>
      <c r="HO20" s="160"/>
      <c r="HP20" s="160"/>
      <c r="HQ20" s="160"/>
      <c r="HR20" s="160"/>
      <c r="HS20" s="160"/>
      <c r="HT20" s="160"/>
      <c r="HU20" s="160"/>
      <c r="HV20" s="160"/>
      <c r="HW20" s="160"/>
      <c r="HX20" s="160"/>
      <c r="HY20" s="160"/>
      <c r="HZ20" s="160"/>
      <c r="IA20" s="160"/>
      <c r="IB20" s="160"/>
      <c r="IC20" s="160"/>
      <c r="ID20" s="160"/>
      <c r="IE20" s="160"/>
      <c r="IF20" s="160"/>
      <c r="IG20" s="160"/>
      <c r="IH20" s="160"/>
      <c r="II20" s="160"/>
      <c r="IJ20" s="160"/>
      <c r="IK20" s="160"/>
      <c r="IL20" s="160"/>
      <c r="IM20" s="160"/>
      <c r="IN20" s="160"/>
      <c r="IO20" s="160"/>
      <c r="IP20" s="160"/>
      <c r="IQ20" s="160"/>
      <c r="IR20" s="160"/>
      <c r="IS20" s="160"/>
      <c r="IT20" s="160"/>
      <c r="IU20" s="160"/>
      <c r="IV20" s="160"/>
      <c r="IW20" s="160"/>
      <c r="IX20" s="160"/>
      <c r="IY20" s="160"/>
      <c r="IZ20" s="160"/>
      <c r="JA20" s="160"/>
      <c r="JB20" s="160"/>
      <c r="JC20" s="160"/>
      <c r="JD20" s="160"/>
      <c r="JE20" s="160"/>
      <c r="JF20" s="160"/>
      <c r="JG20" s="160"/>
      <c r="JH20" s="160"/>
      <c r="JI20" s="160"/>
      <c r="JJ20" s="160"/>
      <c r="JK20" s="160"/>
      <c r="JL20" s="160"/>
      <c r="JM20" s="160"/>
      <c r="JN20" s="160"/>
      <c r="JO20" s="160"/>
      <c r="JP20" s="160"/>
      <c r="JQ20" s="160"/>
      <c r="JR20" s="160"/>
      <c r="JS20" s="160"/>
      <c r="JT20" s="160"/>
      <c r="JU20" s="160"/>
      <c r="JV20" s="160"/>
      <c r="JW20" s="160"/>
      <c r="JX20" s="160"/>
      <c r="JY20" s="160"/>
      <c r="JZ20" s="160"/>
      <c r="KA20" s="160"/>
      <c r="KB20" s="160"/>
      <c r="KC20" s="160"/>
      <c r="KD20" s="160"/>
      <c r="KE20" s="160"/>
      <c r="KF20" s="160"/>
      <c r="KG20" s="160"/>
      <c r="KH20" s="160"/>
      <c r="KI20" s="160"/>
      <c r="KJ20" s="160"/>
      <c r="KK20" s="160"/>
      <c r="KL20" s="160"/>
      <c r="KM20" s="160"/>
      <c r="KN20" s="160"/>
      <c r="KO20" s="160"/>
      <c r="KP20" s="160"/>
      <c r="KQ20" s="160"/>
      <c r="KR20" s="160"/>
      <c r="KS20" s="160"/>
      <c r="KT20" s="160"/>
      <c r="KU20" s="160"/>
      <c r="KV20" s="160"/>
      <c r="KW20" s="160"/>
      <c r="KX20" s="160"/>
      <c r="KY20" s="160"/>
      <c r="KZ20" s="160"/>
      <c r="LA20" s="160"/>
      <c r="LB20" s="160"/>
      <c r="LC20" s="160"/>
      <c r="LD20" s="160"/>
      <c r="LE20" s="160"/>
      <c r="LF20" s="160"/>
      <c r="LG20" s="160"/>
      <c r="LH20" s="160"/>
      <c r="LI20" s="160"/>
      <c r="LJ20" s="160"/>
      <c r="LK20" s="160"/>
      <c r="LL20" s="160"/>
      <c r="LM20" s="160"/>
      <c r="LN20" s="160"/>
      <c r="LO20" s="160"/>
      <c r="LP20" s="160"/>
      <c r="LQ20" s="160"/>
      <c r="LR20" s="160"/>
      <c r="LS20" s="160"/>
      <c r="LT20" s="160"/>
      <c r="LU20" s="160"/>
      <c r="LV20" s="160"/>
      <c r="LW20" s="160"/>
      <c r="LX20" s="160"/>
      <c r="LY20" s="160"/>
      <c r="LZ20" s="160"/>
      <c r="MA20" s="160"/>
      <c r="MB20" s="160"/>
      <c r="MC20" s="160"/>
      <c r="MD20" s="160"/>
      <c r="ME20" s="160"/>
      <c r="MF20" s="160"/>
      <c r="MG20" s="160"/>
      <c r="MH20" s="160"/>
      <c r="MI20" s="160"/>
      <c r="MJ20" s="160"/>
      <c r="MK20" s="160"/>
      <c r="ML20" s="160"/>
      <c r="MM20" s="160"/>
      <c r="MN20" s="160"/>
      <c r="MO20" s="160"/>
      <c r="MP20" s="160"/>
      <c r="MQ20" s="160"/>
      <c r="MR20" s="160"/>
      <c r="MS20" s="160"/>
      <c r="MT20" s="160"/>
      <c r="MU20" s="160"/>
      <c r="MV20" s="160"/>
      <c r="MW20" s="160"/>
      <c r="MX20" s="160"/>
      <c r="MY20" s="160"/>
      <c r="MZ20" s="160"/>
      <c r="NA20" s="160"/>
      <c r="NB20" s="160"/>
      <c r="NC20" s="160"/>
      <c r="ND20" s="160"/>
      <c r="NE20" s="160"/>
      <c r="NF20" s="160"/>
      <c r="NG20" s="160"/>
      <c r="NH20" s="160"/>
      <c r="NI20" s="160"/>
      <c r="NJ20" s="160"/>
      <c r="NK20" s="160"/>
      <c r="NL20" s="160"/>
      <c r="NM20" s="160"/>
      <c r="NN20" s="160"/>
      <c r="NO20" s="160"/>
      <c r="NP20" s="160"/>
      <c r="NQ20" s="160"/>
      <c r="NR20" s="160"/>
      <c r="NS20" s="160"/>
      <c r="NT20" s="160"/>
      <c r="NU20" s="160"/>
      <c r="NV20" s="160"/>
      <c r="NW20" s="160"/>
      <c r="NX20" s="160"/>
      <c r="NY20" s="160"/>
      <c r="NZ20" s="160"/>
      <c r="OA20" s="160"/>
      <c r="OB20" s="160"/>
      <c r="OC20" s="160"/>
      <c r="OD20" s="160"/>
      <c r="OE20" s="160"/>
      <c r="OF20" s="160"/>
      <c r="OG20" s="160"/>
      <c r="OH20" s="160"/>
      <c r="OI20" s="160"/>
      <c r="OJ20" s="160"/>
      <c r="OK20" s="160"/>
      <c r="OL20" s="160"/>
      <c r="OM20" s="160"/>
      <c r="ON20" s="160"/>
      <c r="OO20" s="160"/>
      <c r="OP20" s="160"/>
      <c r="OQ20" s="160"/>
      <c r="OR20" s="160"/>
      <c r="OS20" s="160"/>
      <c r="OT20" s="160"/>
      <c r="OU20" s="160"/>
      <c r="OV20" s="160"/>
      <c r="OW20" s="160"/>
      <c r="OX20" s="160"/>
      <c r="OY20" s="160"/>
      <c r="OZ20" s="160"/>
      <c r="PA20" s="160"/>
      <c r="PB20" s="160"/>
      <c r="PC20" s="160"/>
      <c r="PD20" s="160"/>
      <c r="PE20" s="160"/>
      <c r="PF20" s="160"/>
      <c r="PG20" s="160"/>
      <c r="PH20" s="160"/>
      <c r="PI20" s="160"/>
      <c r="PJ20" s="160"/>
      <c r="PK20" s="160"/>
      <c r="PL20" s="160"/>
      <c r="PM20" s="160"/>
      <c r="PN20" s="160"/>
      <c r="PO20" s="160"/>
      <c r="PP20" s="160"/>
      <c r="PQ20" s="160"/>
      <c r="PR20" s="160"/>
      <c r="PS20" s="160"/>
      <c r="PT20" s="160"/>
      <c r="PU20" s="160"/>
      <c r="PV20" s="160"/>
      <c r="PW20" s="160"/>
      <c r="PX20" s="160"/>
      <c r="PY20" s="160"/>
      <c r="PZ20" s="160"/>
      <c r="QA20" s="160"/>
      <c r="QB20" s="160"/>
      <c r="QC20" s="160"/>
      <c r="QD20" s="160"/>
      <c r="QE20" s="160"/>
      <c r="QF20" s="160"/>
      <c r="QG20" s="160"/>
      <c r="QH20" s="160"/>
      <c r="QI20" s="160"/>
      <c r="QJ20" s="160"/>
      <c r="QK20" s="160"/>
      <c r="QL20" s="160"/>
      <c r="QM20" s="160"/>
      <c r="QN20" s="160"/>
      <c r="QO20" s="160"/>
      <c r="QP20" s="160"/>
      <c r="QQ20" s="160"/>
      <c r="QR20" s="160"/>
      <c r="QS20" s="160"/>
      <c r="QT20" s="160"/>
      <c r="QU20" s="160"/>
      <c r="QV20" s="160"/>
      <c r="QW20" s="160"/>
      <c r="QX20" s="160"/>
      <c r="QY20" s="160"/>
      <c r="QZ20" s="160"/>
      <c r="RA20" s="160"/>
      <c r="RB20" s="160"/>
      <c r="RC20" s="160"/>
      <c r="RD20" s="160"/>
      <c r="RE20" s="160"/>
      <c r="RF20" s="160"/>
      <c r="RG20" s="160"/>
      <c r="RH20" s="160"/>
      <c r="RI20" s="160"/>
      <c r="RJ20" s="160"/>
      <c r="RK20" s="160"/>
      <c r="RL20" s="160"/>
      <c r="RM20" s="160"/>
      <c r="RN20" s="160"/>
      <c r="RO20" s="160"/>
      <c r="RP20" s="160"/>
      <c r="RQ20" s="160"/>
      <c r="RR20" s="160"/>
      <c r="RS20" s="160"/>
      <c r="RT20" s="160"/>
      <c r="RU20" s="160"/>
      <c r="RV20" s="160"/>
      <c r="RW20" s="160"/>
      <c r="RX20" s="160"/>
      <c r="RY20" s="160"/>
      <c r="RZ20" s="160"/>
      <c r="SA20" s="160"/>
      <c r="SB20" s="160"/>
      <c r="SC20" s="160"/>
      <c r="SD20" s="160"/>
      <c r="SE20" s="160"/>
      <c r="SF20" s="160"/>
      <c r="SG20" s="160"/>
      <c r="SH20" s="160"/>
      <c r="SI20" s="160"/>
      <c r="SJ20" s="160"/>
      <c r="SK20" s="160"/>
      <c r="SL20" s="160"/>
      <c r="SM20" s="160"/>
      <c r="SN20" s="160"/>
      <c r="SO20" s="160"/>
      <c r="SP20" s="160"/>
      <c r="SQ20" s="160"/>
      <c r="SR20" s="160"/>
      <c r="SS20" s="160"/>
      <c r="ST20" s="160"/>
      <c r="SU20" s="160"/>
      <c r="SV20" s="160"/>
      <c r="SW20" s="160"/>
      <c r="SX20" s="160"/>
      <c r="SY20" s="160"/>
      <c r="SZ20" s="160"/>
      <c r="TA20" s="160"/>
      <c r="TB20" s="160"/>
      <c r="TC20" s="160"/>
      <c r="TD20" s="160"/>
      <c r="TE20" s="160"/>
      <c r="TF20" s="160"/>
      <c r="TG20" s="160"/>
      <c r="TH20" s="160"/>
      <c r="TI20" s="160"/>
      <c r="TJ20" s="160"/>
      <c r="TK20" s="160"/>
      <c r="TL20" s="160"/>
      <c r="TM20" s="160"/>
      <c r="TN20" s="160"/>
      <c r="TO20" s="160"/>
      <c r="TP20" s="160"/>
      <c r="TQ20" s="160"/>
      <c r="TR20" s="160"/>
      <c r="TS20" s="160"/>
      <c r="TT20" s="160"/>
      <c r="TU20" s="160"/>
      <c r="TV20" s="160"/>
      <c r="TW20" s="160"/>
      <c r="TX20" s="160"/>
      <c r="TY20" s="160"/>
      <c r="TZ20" s="160"/>
      <c r="UA20" s="160"/>
      <c r="UB20" s="160"/>
      <c r="UC20" s="160"/>
      <c r="UD20" s="160"/>
      <c r="UE20" s="160"/>
      <c r="UF20" s="160"/>
      <c r="UG20" s="160"/>
      <c r="UH20" s="160"/>
      <c r="UI20" s="160"/>
      <c r="UJ20" s="160"/>
      <c r="UK20" s="160"/>
      <c r="UL20" s="160"/>
      <c r="UM20" s="160"/>
      <c r="UN20" s="160"/>
      <c r="UO20" s="160"/>
      <c r="UP20" s="160"/>
      <c r="UQ20" s="160"/>
      <c r="UR20" s="160"/>
      <c r="US20" s="160"/>
      <c r="UT20" s="160"/>
      <c r="UU20" s="160"/>
      <c r="UV20" s="160"/>
      <c r="UW20" s="160"/>
      <c r="UX20" s="160"/>
      <c r="UY20" s="160"/>
      <c r="UZ20" s="160"/>
      <c r="VA20" s="160"/>
      <c r="VB20" s="160"/>
      <c r="VC20" s="160"/>
      <c r="VD20" s="160"/>
      <c r="VE20" s="160"/>
      <c r="VF20" s="160"/>
      <c r="VG20" s="160"/>
      <c r="VH20" s="160"/>
      <c r="VI20" s="160"/>
      <c r="VJ20" s="160"/>
      <c r="VK20" s="160"/>
      <c r="VL20" s="160"/>
      <c r="VM20" s="160"/>
      <c r="VN20" s="160"/>
      <c r="VO20" s="160"/>
      <c r="VP20" s="160"/>
      <c r="VQ20" s="160"/>
      <c r="VR20" s="160"/>
      <c r="VS20" s="160"/>
      <c r="VT20" s="160"/>
      <c r="VU20" s="160"/>
      <c r="VV20" s="160"/>
      <c r="VW20" s="160"/>
      <c r="VX20" s="160"/>
      <c r="VY20" s="160"/>
      <c r="VZ20" s="160"/>
      <c r="WA20" s="160"/>
      <c r="WB20" s="160"/>
      <c r="WC20" s="160"/>
      <c r="WD20" s="160"/>
      <c r="WE20" s="160"/>
      <c r="WF20" s="160"/>
      <c r="WG20" s="160"/>
      <c r="WH20" s="160"/>
      <c r="WI20" s="160"/>
      <c r="WJ20" s="160"/>
      <c r="WK20" s="160"/>
      <c r="WL20" s="160"/>
      <c r="WM20" s="160"/>
      <c r="WN20" s="160"/>
      <c r="WO20" s="160"/>
      <c r="WP20" s="160"/>
      <c r="WQ20" s="160"/>
      <c r="WR20" s="160"/>
      <c r="WS20" s="160"/>
      <c r="WT20" s="160"/>
      <c r="WU20" s="160"/>
      <c r="WV20" s="160"/>
      <c r="WW20" s="160"/>
      <c r="WX20" s="160"/>
      <c r="WY20" s="160"/>
      <c r="WZ20" s="160"/>
      <c r="XA20" s="160"/>
      <c r="XB20" s="160"/>
      <c r="XC20" s="160"/>
      <c r="XD20" s="160"/>
      <c r="XE20" s="160"/>
      <c r="XF20" s="160"/>
      <c r="XG20" s="160"/>
      <c r="XH20" s="160"/>
      <c r="XI20" s="160"/>
      <c r="XJ20" s="160"/>
      <c r="XK20" s="160"/>
      <c r="XL20" s="160"/>
      <c r="XM20" s="160"/>
      <c r="XN20" s="160"/>
      <c r="XO20" s="160"/>
      <c r="XP20" s="160"/>
      <c r="XQ20" s="160"/>
      <c r="XR20" s="160"/>
      <c r="XS20" s="160"/>
      <c r="XT20" s="160"/>
      <c r="XU20" s="160"/>
      <c r="XV20" s="160"/>
      <c r="XW20" s="160"/>
      <c r="XX20" s="160"/>
      <c r="XY20" s="160"/>
      <c r="XZ20" s="160"/>
      <c r="YA20" s="160"/>
      <c r="YB20" s="160"/>
      <c r="YC20" s="160"/>
      <c r="YD20" s="160"/>
      <c r="YE20" s="160"/>
      <c r="YF20" s="160"/>
      <c r="YG20" s="160"/>
      <c r="YH20" s="160"/>
      <c r="YI20" s="160"/>
      <c r="YJ20" s="160"/>
      <c r="YK20" s="160"/>
      <c r="YL20" s="160"/>
      <c r="YM20" s="160"/>
      <c r="YN20" s="160"/>
      <c r="YO20" s="160"/>
      <c r="YP20" s="160"/>
      <c r="YQ20" s="160"/>
      <c r="YR20" s="160"/>
      <c r="YS20" s="160"/>
      <c r="YT20" s="160"/>
      <c r="YU20" s="160"/>
      <c r="YV20" s="160"/>
      <c r="YW20" s="160"/>
      <c r="YX20" s="160"/>
      <c r="YY20" s="160"/>
      <c r="YZ20" s="160"/>
      <c r="ZA20" s="160"/>
      <c r="ZB20" s="160"/>
      <c r="ZC20" s="160"/>
      <c r="ZD20" s="160"/>
      <c r="ZE20" s="160"/>
      <c r="ZF20" s="160"/>
      <c r="ZG20" s="160"/>
      <c r="ZH20" s="160"/>
      <c r="ZI20" s="160"/>
      <c r="ZJ20" s="160"/>
      <c r="ZK20" s="160"/>
      <c r="ZL20" s="160"/>
      <c r="ZM20" s="160"/>
      <c r="ZN20" s="160"/>
      <c r="ZO20" s="160"/>
      <c r="ZP20" s="160"/>
      <c r="ZQ20" s="160"/>
      <c r="ZR20" s="160"/>
      <c r="ZS20" s="160"/>
      <c r="ZT20" s="160"/>
      <c r="ZU20" s="160"/>
      <c r="ZV20" s="160"/>
      <c r="ZW20" s="160"/>
      <c r="ZX20" s="160"/>
      <c r="ZY20" s="160"/>
      <c r="ZZ20" s="160"/>
      <c r="AAA20" s="160"/>
      <c r="AAB20" s="160"/>
      <c r="AAC20" s="160"/>
      <c r="AAD20" s="160"/>
      <c r="AAE20" s="160"/>
      <c r="AAF20" s="160"/>
      <c r="AAG20" s="160"/>
      <c r="AAH20" s="160"/>
      <c r="AAI20" s="160"/>
      <c r="AAJ20" s="160"/>
      <c r="AAK20" s="160"/>
      <c r="AAL20" s="160"/>
      <c r="AAM20" s="160"/>
      <c r="AAN20" s="160"/>
      <c r="AAO20" s="160"/>
      <c r="AAP20" s="160"/>
      <c r="AAQ20" s="160"/>
      <c r="AAR20" s="160"/>
      <c r="AAS20" s="160"/>
      <c r="AAT20" s="160"/>
      <c r="AAU20" s="160"/>
      <c r="AAV20" s="160"/>
      <c r="AAW20" s="160"/>
      <c r="AAX20" s="160"/>
      <c r="AAY20" s="160"/>
      <c r="AAZ20" s="160"/>
      <c r="ABA20" s="160"/>
      <c r="ABB20" s="160"/>
      <c r="ABC20" s="160"/>
      <c r="ABD20" s="160"/>
      <c r="ABE20" s="160"/>
      <c r="ABF20" s="160"/>
      <c r="ABG20" s="160"/>
      <c r="ABH20" s="160"/>
      <c r="ABI20" s="160"/>
      <c r="ABJ20" s="160"/>
      <c r="ABK20" s="160"/>
      <c r="ABL20" s="160"/>
      <c r="ABM20" s="160"/>
      <c r="ABN20" s="160"/>
      <c r="ABO20" s="160"/>
      <c r="ABP20" s="160"/>
      <c r="ABQ20" s="160"/>
      <c r="ABR20" s="160"/>
      <c r="ABS20" s="160"/>
      <c r="ABT20" s="160"/>
      <c r="ABU20" s="160"/>
      <c r="ABV20" s="160"/>
      <c r="ABW20" s="160"/>
      <c r="ABX20" s="160"/>
      <c r="ABY20" s="160"/>
      <c r="ABZ20" s="160"/>
      <c r="ACA20" s="160"/>
      <c r="ACB20" s="160"/>
      <c r="ACC20" s="160"/>
      <c r="ACD20" s="160"/>
      <c r="ACE20" s="160"/>
      <c r="ACF20" s="160"/>
      <c r="ACG20" s="160"/>
      <c r="ACH20" s="160"/>
      <c r="ACI20" s="160"/>
      <c r="ACJ20" s="160"/>
      <c r="ACK20" s="160"/>
      <c r="ACL20" s="160"/>
      <c r="ACM20" s="160"/>
      <c r="ACN20" s="160"/>
      <c r="ACO20" s="160"/>
      <c r="ACP20" s="160"/>
      <c r="ACQ20" s="160"/>
      <c r="ACR20" s="160"/>
      <c r="ACS20" s="160"/>
      <c r="ACT20" s="160"/>
      <c r="ACU20" s="160"/>
      <c r="ACV20" s="160"/>
      <c r="ACW20" s="160"/>
      <c r="ACX20" s="160"/>
      <c r="ACY20" s="160"/>
      <c r="ACZ20" s="160"/>
      <c r="ADA20" s="160"/>
      <c r="ADB20" s="160"/>
      <c r="ADC20" s="160"/>
      <c r="ADD20" s="160"/>
      <c r="ADE20" s="160"/>
      <c r="ADF20" s="160"/>
      <c r="ADG20" s="160"/>
      <c r="ADH20" s="160"/>
      <c r="ADI20" s="160"/>
      <c r="ADJ20" s="160"/>
      <c r="ADK20" s="160"/>
      <c r="ADL20" s="160"/>
      <c r="ADM20" s="160"/>
      <c r="ADN20" s="160"/>
      <c r="ADO20" s="160"/>
      <c r="ADP20" s="160"/>
      <c r="ADQ20" s="160"/>
      <c r="ADR20" s="160"/>
      <c r="ADS20" s="160"/>
      <c r="ADT20" s="160"/>
      <c r="ADU20" s="160"/>
      <c r="ADV20" s="160"/>
      <c r="ADW20" s="160"/>
      <c r="ADX20" s="160"/>
      <c r="ADY20" s="160"/>
      <c r="ADZ20" s="160"/>
      <c r="AEA20" s="160"/>
      <c r="AEB20" s="160"/>
      <c r="AEC20" s="160"/>
      <c r="AED20" s="160"/>
      <c r="AEE20" s="160"/>
      <c r="AEF20" s="160"/>
      <c r="AEG20" s="160"/>
      <c r="AEH20" s="160"/>
      <c r="AEI20" s="160"/>
      <c r="AEJ20" s="160"/>
      <c r="AEK20" s="160"/>
      <c r="AEL20" s="160"/>
      <c r="AEM20" s="160"/>
      <c r="AEN20" s="160"/>
      <c r="AEO20" s="160"/>
      <c r="AEP20" s="160"/>
      <c r="AEQ20" s="160"/>
      <c r="AER20" s="160"/>
      <c r="AES20" s="160"/>
      <c r="AET20" s="160"/>
      <c r="AEU20" s="160"/>
      <c r="AEV20" s="160"/>
      <c r="AEW20" s="160"/>
      <c r="AEX20" s="160"/>
      <c r="AEY20" s="160"/>
      <c r="AEZ20" s="160"/>
      <c r="AFA20" s="160"/>
      <c r="AFB20" s="160"/>
      <c r="AFC20" s="160"/>
      <c r="AFD20" s="160"/>
      <c r="AFE20" s="160"/>
      <c r="AFF20" s="160"/>
      <c r="AFG20" s="160"/>
      <c r="AFH20" s="160"/>
      <c r="AFI20" s="160"/>
      <c r="AFJ20" s="160"/>
      <c r="AFK20" s="160"/>
      <c r="AFL20" s="160"/>
      <c r="AFM20" s="160"/>
      <c r="AFN20" s="160"/>
      <c r="AFO20" s="160"/>
      <c r="AFP20" s="160"/>
      <c r="AFQ20" s="160"/>
      <c r="AFR20" s="160"/>
      <c r="AFS20" s="160"/>
      <c r="AFT20" s="160"/>
      <c r="AFU20" s="160"/>
      <c r="AFV20" s="160"/>
      <c r="AFW20" s="160"/>
      <c r="AFX20" s="160"/>
      <c r="AFY20" s="160"/>
      <c r="AFZ20" s="160"/>
      <c r="AGA20" s="160"/>
      <c r="AGB20" s="160"/>
      <c r="AGC20" s="160"/>
      <c r="AGD20" s="160"/>
      <c r="AGE20" s="160"/>
      <c r="AGF20" s="160"/>
      <c r="AGG20" s="160"/>
      <c r="AGH20" s="160"/>
      <c r="AGI20" s="160"/>
      <c r="AGJ20" s="160"/>
      <c r="AGK20" s="160"/>
      <c r="AGL20" s="160"/>
      <c r="AGM20" s="160"/>
      <c r="AGN20" s="160"/>
      <c r="AGO20" s="160"/>
      <c r="AGP20" s="160"/>
      <c r="AGQ20" s="160"/>
      <c r="AGR20" s="160"/>
      <c r="AGS20" s="160"/>
      <c r="AGT20" s="160"/>
      <c r="AGU20" s="160"/>
      <c r="AGV20" s="160"/>
      <c r="AGW20" s="160"/>
      <c r="AGX20" s="160"/>
      <c r="AGY20" s="160"/>
      <c r="AGZ20" s="160"/>
      <c r="AHA20" s="160"/>
      <c r="AHB20" s="160"/>
      <c r="AHC20" s="160"/>
      <c r="AHD20" s="160"/>
      <c r="AHE20" s="160"/>
      <c r="AHF20" s="160"/>
      <c r="AHG20" s="160"/>
      <c r="AHH20" s="160"/>
      <c r="AHI20" s="160"/>
      <c r="AHJ20" s="160"/>
      <c r="AHK20" s="160"/>
      <c r="AHL20" s="160"/>
      <c r="AHM20" s="160"/>
      <c r="AHN20" s="160"/>
      <c r="AHO20" s="160"/>
      <c r="AHP20" s="160"/>
      <c r="AHQ20" s="160"/>
      <c r="AHR20" s="160"/>
      <c r="AHS20" s="160"/>
      <c r="AHT20" s="160"/>
      <c r="AHU20" s="160"/>
      <c r="AHV20" s="160"/>
      <c r="AHW20" s="160"/>
      <c r="AHX20" s="160"/>
      <c r="AHY20" s="160"/>
      <c r="AHZ20" s="160"/>
      <c r="AIA20" s="160"/>
      <c r="AIB20" s="160"/>
      <c r="AIC20" s="160"/>
      <c r="AID20" s="160"/>
      <c r="AIE20" s="160"/>
      <c r="AIF20" s="160"/>
      <c r="AIG20" s="160"/>
      <c r="AIH20" s="160"/>
      <c r="AII20" s="160"/>
      <c r="AIJ20" s="160"/>
      <c r="AIK20" s="160"/>
      <c r="AIL20" s="160"/>
      <c r="AIM20" s="160"/>
      <c r="AIN20" s="160"/>
      <c r="AIO20" s="160"/>
      <c r="AIP20" s="160"/>
      <c r="AIQ20" s="160"/>
      <c r="AIR20" s="160"/>
      <c r="AIS20" s="160"/>
      <c r="AIT20" s="160"/>
      <c r="AIU20" s="160"/>
      <c r="AIV20" s="160"/>
      <c r="AIW20" s="160"/>
      <c r="AIX20" s="160"/>
      <c r="AIY20" s="160"/>
      <c r="AIZ20" s="160"/>
      <c r="AJA20" s="160"/>
      <c r="AJB20" s="160"/>
      <c r="AJC20" s="160"/>
      <c r="AJD20" s="160"/>
      <c r="AJE20" s="160"/>
      <c r="AJF20" s="160"/>
      <c r="AJG20" s="160"/>
      <c r="AJH20" s="160"/>
      <c r="AJI20" s="160"/>
      <c r="AJJ20" s="160"/>
      <c r="AJK20" s="160"/>
      <c r="AJL20" s="160"/>
      <c r="AJM20" s="160"/>
      <c r="AJN20" s="160"/>
      <c r="AJO20" s="160"/>
      <c r="AJP20" s="160"/>
      <c r="AJQ20" s="160"/>
      <c r="AJR20" s="160"/>
      <c r="AJS20" s="160"/>
      <c r="AJT20" s="160"/>
      <c r="AJU20" s="160"/>
      <c r="AJV20" s="160"/>
      <c r="AJW20" s="160"/>
      <c r="AJX20" s="160"/>
      <c r="AJY20" s="160"/>
      <c r="AJZ20" s="160"/>
      <c r="AKA20" s="160"/>
      <c r="AKB20" s="160"/>
      <c r="AKC20" s="160"/>
      <c r="AKD20" s="160"/>
      <c r="AKE20" s="160"/>
      <c r="AKF20" s="160"/>
      <c r="AKG20" s="160"/>
      <c r="AKH20" s="160"/>
      <c r="AKI20" s="160"/>
      <c r="AKJ20" s="160"/>
      <c r="AKK20" s="160"/>
      <c r="AKL20" s="160"/>
      <c r="AKM20" s="160"/>
      <c r="AKN20" s="160"/>
      <c r="AKO20" s="160"/>
      <c r="AKP20" s="160"/>
      <c r="AKQ20" s="160"/>
      <c r="AKR20" s="160"/>
      <c r="AKS20" s="160"/>
      <c r="AKT20" s="160"/>
      <c r="AKU20" s="160"/>
      <c r="AKV20" s="160"/>
      <c r="AKW20" s="160"/>
      <c r="AKX20" s="160"/>
      <c r="AKY20" s="160"/>
      <c r="AKZ20" s="160"/>
      <c r="ALA20" s="160"/>
      <c r="ALB20" s="160"/>
      <c r="ALC20" s="160"/>
      <c r="ALD20" s="160"/>
      <c r="ALE20" s="160"/>
      <c r="ALF20" s="160"/>
      <c r="ALG20" s="160"/>
      <c r="ALH20" s="160"/>
      <c r="ALI20" s="160"/>
      <c r="ALJ20" s="160"/>
      <c r="ALK20" s="160"/>
      <c r="ALL20" s="160"/>
      <c r="ALM20" s="160"/>
      <c r="ALN20" s="160"/>
      <c r="ALO20" s="160"/>
      <c r="ALP20" s="160"/>
      <c r="ALQ20" s="160"/>
      <c r="ALR20" s="160"/>
      <c r="ALS20" s="160"/>
      <c r="ALT20" s="160"/>
      <c r="ALU20" s="160"/>
      <c r="ALV20" s="160"/>
      <c r="ALW20" s="160"/>
      <c r="ALX20" s="160"/>
      <c r="ALY20" s="160"/>
      <c r="ALZ20" s="160"/>
      <c r="AMA20" s="160"/>
      <c r="AMB20" s="160"/>
      <c r="AMC20" s="160"/>
      <c r="AMD20" s="160"/>
      <c r="AME20" s="160"/>
      <c r="AMF20" s="160"/>
      <c r="AMG20" s="160"/>
      <c r="AMH20" s="160"/>
      <c r="AMI20" s="160"/>
      <c r="AMJ20" s="160"/>
      <c r="AMK20" s="160"/>
      <c r="AML20" s="160"/>
      <c r="AMM20" s="160"/>
      <c r="AMN20" s="160"/>
      <c r="AMO20" s="160"/>
      <c r="AMP20" s="160"/>
      <c r="AMQ20" s="160"/>
      <c r="AMR20" s="160"/>
      <c r="AMS20" s="160"/>
      <c r="AMT20" s="160"/>
      <c r="AMU20" s="160"/>
      <c r="AMV20" s="160"/>
      <c r="AMW20" s="160"/>
      <c r="AMX20" s="160"/>
      <c r="AMY20" s="160"/>
      <c r="AMZ20" s="160"/>
      <c r="ANA20" s="160"/>
      <c r="ANB20" s="160"/>
      <c r="ANC20" s="160"/>
      <c r="AND20" s="160"/>
      <c r="ANE20" s="160"/>
      <c r="ANF20" s="160"/>
      <c r="ANG20" s="160"/>
      <c r="ANH20" s="160"/>
      <c r="ANI20" s="160"/>
      <c r="ANJ20" s="160"/>
      <c r="ANK20" s="160"/>
      <c r="ANL20" s="160"/>
      <c r="ANM20" s="160"/>
      <c r="ANN20" s="160"/>
      <c r="ANO20" s="160"/>
      <c r="ANP20" s="160"/>
      <c r="ANQ20" s="160"/>
      <c r="ANR20" s="160"/>
      <c r="ANS20" s="160"/>
      <c r="ANT20" s="160"/>
      <c r="ANU20" s="160"/>
      <c r="ANV20" s="160"/>
      <c r="ANW20" s="160"/>
      <c r="ANX20" s="160"/>
      <c r="ANY20" s="160"/>
      <c r="ANZ20" s="160"/>
      <c r="AOA20" s="160"/>
      <c r="AOB20" s="160"/>
      <c r="AOC20" s="160"/>
      <c r="AOD20" s="160"/>
      <c r="AOE20" s="160"/>
      <c r="AOF20" s="160"/>
      <c r="AOG20" s="160"/>
      <c r="AOH20" s="160"/>
      <c r="AOI20" s="160"/>
      <c r="AOJ20" s="160"/>
      <c r="AOK20" s="160"/>
      <c r="AOL20" s="160"/>
      <c r="AOM20" s="160"/>
      <c r="AON20" s="160"/>
      <c r="AOO20" s="160"/>
      <c r="AOP20" s="160"/>
      <c r="AOQ20" s="160"/>
      <c r="AOR20" s="160"/>
      <c r="AOS20" s="160"/>
      <c r="AOT20" s="160"/>
      <c r="AOU20" s="160"/>
      <c r="AOV20" s="160"/>
      <c r="AOW20" s="160"/>
      <c r="AOX20" s="160"/>
      <c r="AOY20" s="160"/>
      <c r="AOZ20" s="160"/>
      <c r="APA20" s="160"/>
      <c r="APB20" s="160"/>
      <c r="APC20" s="160"/>
      <c r="APD20" s="160"/>
      <c r="APE20" s="160"/>
      <c r="APF20" s="160"/>
      <c r="APG20" s="160"/>
      <c r="APH20" s="160"/>
      <c r="API20" s="160"/>
      <c r="APJ20" s="160"/>
      <c r="APK20" s="160"/>
      <c r="APL20" s="160"/>
      <c r="APM20" s="160"/>
      <c r="APN20" s="160"/>
      <c r="APO20" s="160"/>
      <c r="APP20" s="160"/>
      <c r="APQ20" s="160"/>
      <c r="APR20" s="160"/>
      <c r="APS20" s="160"/>
      <c r="APT20" s="160"/>
      <c r="APU20" s="160"/>
      <c r="APV20" s="160"/>
      <c r="APW20" s="160"/>
      <c r="APX20" s="160"/>
      <c r="APY20" s="160"/>
      <c r="APZ20" s="160"/>
      <c r="AQA20" s="160"/>
      <c r="AQB20" s="160"/>
      <c r="AQC20" s="160"/>
      <c r="AQD20" s="160"/>
      <c r="AQE20" s="160"/>
      <c r="AQF20" s="160"/>
      <c r="AQG20" s="160"/>
      <c r="AQH20" s="160"/>
      <c r="AQI20" s="160"/>
      <c r="AQJ20" s="160"/>
      <c r="AQK20" s="160"/>
      <c r="AQL20" s="160"/>
      <c r="AQM20" s="160"/>
      <c r="AQN20" s="160"/>
      <c r="AQO20" s="160"/>
      <c r="AQP20" s="160"/>
      <c r="AQQ20" s="160"/>
      <c r="AQR20" s="160"/>
      <c r="AQS20" s="160"/>
      <c r="AQT20" s="160"/>
      <c r="AQU20" s="160"/>
      <c r="AQV20" s="160"/>
      <c r="AQW20" s="160"/>
      <c r="AQX20" s="160"/>
      <c r="AQY20" s="160"/>
      <c r="AQZ20" s="160"/>
      <c r="ARA20" s="160"/>
      <c r="ARB20" s="160"/>
      <c r="ARC20" s="160"/>
      <c r="ARD20" s="160"/>
      <c r="ARE20" s="160"/>
      <c r="ARF20" s="160"/>
      <c r="ARG20" s="160"/>
      <c r="ARH20" s="160"/>
      <c r="ARI20" s="160"/>
      <c r="ARJ20" s="160"/>
      <c r="ARK20" s="160"/>
      <c r="ARL20" s="160"/>
      <c r="ARM20" s="160"/>
      <c r="ARN20" s="160"/>
      <c r="ARO20" s="160"/>
      <c r="ARP20" s="160"/>
      <c r="ARQ20" s="160"/>
      <c r="ARR20" s="160"/>
      <c r="ARS20" s="160"/>
      <c r="ART20" s="160"/>
      <c r="ARU20" s="160"/>
      <c r="ARV20" s="160"/>
      <c r="ARW20" s="160"/>
      <c r="ARX20" s="160"/>
      <c r="ARY20" s="160"/>
      <c r="ARZ20" s="160"/>
      <c r="ASA20" s="160"/>
      <c r="ASB20" s="160"/>
      <c r="ASC20" s="160"/>
      <c r="ASD20" s="160"/>
      <c r="ASE20" s="160"/>
      <c r="ASF20" s="160"/>
      <c r="ASG20" s="160"/>
      <c r="ASH20" s="160"/>
      <c r="ASI20" s="160"/>
      <c r="ASJ20" s="160"/>
      <c r="ASK20" s="160"/>
      <c r="ASL20" s="160"/>
      <c r="ASM20" s="160"/>
      <c r="ASN20" s="160"/>
      <c r="ASO20" s="160"/>
      <c r="ASP20" s="160"/>
      <c r="ASQ20" s="160"/>
      <c r="ASR20" s="160"/>
      <c r="ASS20" s="160"/>
      <c r="AST20" s="160"/>
      <c r="ASU20" s="160"/>
      <c r="ASV20" s="160"/>
      <c r="ASW20" s="160"/>
      <c r="ASX20" s="160"/>
      <c r="ASY20" s="160"/>
      <c r="ASZ20" s="160"/>
      <c r="ATA20" s="160"/>
      <c r="ATB20" s="160"/>
      <c r="ATC20" s="160"/>
      <c r="ATD20" s="160"/>
      <c r="ATE20" s="160"/>
      <c r="ATF20" s="160"/>
      <c r="ATG20" s="160"/>
      <c r="ATH20" s="160"/>
      <c r="ATI20" s="160"/>
      <c r="ATJ20" s="160"/>
      <c r="ATK20" s="160"/>
      <c r="ATL20" s="160"/>
      <c r="ATM20" s="160"/>
      <c r="ATN20" s="160"/>
      <c r="ATO20" s="160"/>
      <c r="ATP20" s="160"/>
      <c r="ATQ20" s="160"/>
      <c r="ATR20" s="160"/>
      <c r="ATS20" s="160"/>
      <c r="ATT20" s="160"/>
      <c r="ATU20" s="160"/>
      <c r="ATV20" s="160"/>
      <c r="ATW20" s="160"/>
      <c r="ATX20" s="160"/>
      <c r="ATY20" s="160"/>
      <c r="ATZ20" s="160"/>
      <c r="AUA20" s="160"/>
      <c r="AUB20" s="160"/>
      <c r="AUC20" s="160"/>
      <c r="AUD20" s="160"/>
      <c r="AUE20" s="160"/>
      <c r="AUF20" s="160"/>
      <c r="AUG20" s="160"/>
      <c r="AUH20" s="160"/>
      <c r="AUI20" s="160"/>
      <c r="AUJ20" s="160"/>
      <c r="AUK20" s="160"/>
      <c r="AUL20" s="160"/>
      <c r="AUM20" s="160"/>
      <c r="AUN20" s="160"/>
      <c r="AUO20" s="160"/>
      <c r="AUP20" s="160"/>
      <c r="AUQ20" s="160"/>
      <c r="AUR20" s="160"/>
      <c r="AUS20" s="160"/>
      <c r="AUT20" s="160"/>
      <c r="AUU20" s="160"/>
      <c r="AUV20" s="160"/>
      <c r="AUW20" s="160"/>
      <c r="AUX20" s="160"/>
      <c r="AUY20" s="160"/>
      <c r="AUZ20" s="160"/>
      <c r="AVA20" s="160"/>
      <c r="AVB20" s="160"/>
      <c r="AVC20" s="160"/>
      <c r="AVD20" s="160"/>
      <c r="AVE20" s="160"/>
      <c r="AVF20" s="160"/>
      <c r="AVG20" s="160"/>
      <c r="AVH20" s="160"/>
      <c r="AVI20" s="160"/>
      <c r="AVJ20" s="160"/>
      <c r="AVK20" s="160"/>
      <c r="AVL20" s="160"/>
      <c r="AVM20" s="160"/>
      <c r="AVN20" s="160"/>
      <c r="AVO20" s="160"/>
      <c r="AVP20" s="160"/>
      <c r="AVQ20" s="160"/>
      <c r="AVR20" s="160"/>
      <c r="AVS20" s="160"/>
      <c r="AVT20" s="160"/>
      <c r="AVU20" s="160"/>
      <c r="AVV20" s="160"/>
      <c r="AVW20" s="160"/>
      <c r="AVX20" s="160"/>
      <c r="AVY20" s="160"/>
      <c r="AVZ20" s="160"/>
      <c r="AWA20" s="160"/>
      <c r="AWB20" s="160"/>
      <c r="AWC20" s="160"/>
      <c r="AWD20" s="160"/>
      <c r="AWE20" s="160"/>
      <c r="AWF20" s="160"/>
      <c r="AWG20" s="160"/>
      <c r="AWH20" s="160"/>
      <c r="AWI20" s="160"/>
      <c r="AWJ20" s="160"/>
      <c r="AWK20" s="160"/>
      <c r="AWL20" s="160"/>
      <c r="AWM20" s="160"/>
      <c r="AWN20" s="160"/>
      <c r="AWO20" s="160"/>
      <c r="AWP20" s="160"/>
      <c r="AWQ20" s="160"/>
      <c r="AWR20" s="160"/>
      <c r="AWS20" s="160"/>
      <c r="AWT20" s="160"/>
      <c r="AWU20" s="160"/>
      <c r="AWV20" s="160"/>
      <c r="AWW20" s="160"/>
      <c r="AWX20" s="160"/>
      <c r="AWY20" s="160"/>
      <c r="AWZ20" s="160"/>
      <c r="AXA20" s="160"/>
      <c r="AXB20" s="160"/>
      <c r="AXC20" s="160"/>
      <c r="AXD20" s="160"/>
      <c r="AXE20" s="160"/>
      <c r="AXF20" s="160"/>
      <c r="AXG20" s="160"/>
      <c r="AXH20" s="160"/>
      <c r="AXI20" s="160"/>
      <c r="AXJ20" s="160"/>
      <c r="AXK20" s="160"/>
      <c r="AXL20" s="160"/>
      <c r="AXM20" s="160"/>
      <c r="AXN20" s="160"/>
      <c r="AXO20" s="160"/>
      <c r="AXP20" s="160"/>
      <c r="AXQ20" s="160"/>
      <c r="AXR20" s="160"/>
      <c r="AXS20" s="160"/>
      <c r="AXT20" s="160"/>
      <c r="AXU20" s="160"/>
      <c r="AXV20" s="160"/>
      <c r="AXW20" s="160"/>
      <c r="AXX20" s="160"/>
      <c r="AXY20" s="160"/>
      <c r="AXZ20" s="160"/>
      <c r="AYA20" s="160"/>
      <c r="AYB20" s="160"/>
      <c r="AYC20" s="160"/>
      <c r="AYD20" s="160"/>
      <c r="AYE20" s="160"/>
      <c r="AYF20" s="160"/>
      <c r="AYG20" s="160"/>
      <c r="AYH20" s="160"/>
      <c r="AYI20" s="160"/>
      <c r="AYJ20" s="160"/>
      <c r="AYK20" s="160"/>
      <c r="AYL20" s="160"/>
      <c r="AYM20" s="160"/>
      <c r="AYN20" s="160"/>
      <c r="AYO20" s="160"/>
      <c r="AYP20" s="160"/>
      <c r="AYQ20" s="160"/>
      <c r="AYR20" s="160"/>
      <c r="AYS20" s="160"/>
      <c r="AYT20" s="160"/>
      <c r="AYU20" s="160"/>
      <c r="AYV20" s="160"/>
      <c r="AYW20" s="160"/>
      <c r="AYX20" s="160"/>
      <c r="AYY20" s="160"/>
      <c r="AYZ20" s="160"/>
      <c r="AZA20" s="160"/>
      <c r="AZB20" s="160"/>
      <c r="AZC20" s="160"/>
      <c r="AZD20" s="160"/>
      <c r="AZE20" s="160"/>
      <c r="AZF20" s="160"/>
      <c r="AZG20" s="160"/>
      <c r="AZH20" s="160"/>
      <c r="AZI20" s="160"/>
      <c r="AZJ20" s="160"/>
      <c r="AZK20" s="160"/>
      <c r="AZL20" s="160"/>
      <c r="AZM20" s="160"/>
      <c r="AZN20" s="160"/>
      <c r="AZO20" s="160"/>
      <c r="AZP20" s="160"/>
      <c r="AZQ20" s="160"/>
      <c r="AZR20" s="160"/>
      <c r="AZS20" s="160"/>
      <c r="AZT20" s="160"/>
      <c r="AZU20" s="160"/>
      <c r="AZV20" s="160"/>
      <c r="AZW20" s="160"/>
      <c r="AZX20" s="160"/>
      <c r="AZY20" s="160"/>
      <c r="AZZ20" s="160"/>
      <c r="BAA20" s="160"/>
      <c r="BAB20" s="160"/>
      <c r="BAC20" s="160"/>
      <c r="BAD20" s="160"/>
      <c r="BAE20" s="160"/>
      <c r="BAF20" s="160"/>
      <c r="BAG20" s="160"/>
      <c r="BAH20" s="160"/>
      <c r="BAI20" s="160"/>
      <c r="BAJ20" s="160"/>
      <c r="BAK20" s="160"/>
      <c r="BAL20" s="160"/>
      <c r="BAM20" s="160"/>
      <c r="BAN20" s="160"/>
      <c r="BAO20" s="160"/>
      <c r="BAP20" s="160"/>
      <c r="BAQ20" s="160"/>
      <c r="BAR20" s="160"/>
      <c r="BAS20" s="160"/>
      <c r="BAT20" s="160"/>
      <c r="BAU20" s="160"/>
      <c r="BAV20" s="160"/>
      <c r="BAW20" s="160"/>
      <c r="BAX20" s="160"/>
      <c r="BAY20" s="160"/>
      <c r="BAZ20" s="160"/>
      <c r="BBA20" s="160"/>
      <c r="BBB20" s="160"/>
      <c r="BBC20" s="160"/>
      <c r="BBD20" s="160"/>
      <c r="BBE20" s="160"/>
      <c r="BBF20" s="160"/>
      <c r="BBG20" s="160"/>
      <c r="BBH20" s="160"/>
      <c r="BBI20" s="160"/>
      <c r="BBJ20" s="160"/>
      <c r="BBK20" s="160"/>
      <c r="BBL20" s="160"/>
      <c r="BBM20" s="160"/>
      <c r="BBN20" s="160"/>
      <c r="BBO20" s="160"/>
      <c r="BBP20" s="160"/>
      <c r="BBQ20" s="160"/>
      <c r="BBR20" s="160"/>
      <c r="BBS20" s="160"/>
      <c r="BBT20" s="160"/>
      <c r="BBU20" s="160"/>
      <c r="BBV20" s="160"/>
      <c r="BBW20" s="160"/>
      <c r="BBX20" s="160"/>
      <c r="BBY20" s="160"/>
      <c r="BBZ20" s="160"/>
      <c r="BCA20" s="160"/>
      <c r="BCB20" s="160"/>
      <c r="BCC20" s="160"/>
      <c r="BCD20" s="160"/>
      <c r="BCE20" s="160"/>
      <c r="BCF20" s="160"/>
      <c r="BCG20" s="160"/>
      <c r="BCH20" s="160"/>
      <c r="BCI20" s="160"/>
      <c r="BCJ20" s="160"/>
      <c r="BCK20" s="160"/>
      <c r="BCL20" s="160"/>
      <c r="BCM20" s="160"/>
      <c r="BCN20" s="160"/>
      <c r="BCO20" s="160"/>
      <c r="BCP20" s="160"/>
      <c r="BCQ20" s="160"/>
      <c r="BCR20" s="160"/>
      <c r="BCS20" s="160"/>
      <c r="BCT20" s="160"/>
      <c r="BCU20" s="160"/>
      <c r="BCV20" s="160"/>
      <c r="BCW20" s="160"/>
      <c r="BCX20" s="160"/>
      <c r="BCY20" s="160"/>
      <c r="BCZ20" s="160"/>
      <c r="BDA20" s="160"/>
      <c r="BDB20" s="160"/>
      <c r="BDC20" s="160"/>
      <c r="BDD20" s="160"/>
      <c r="BDE20" s="160"/>
      <c r="BDF20" s="160"/>
      <c r="BDG20" s="160"/>
      <c r="BDH20" s="160"/>
      <c r="BDI20" s="160"/>
      <c r="BDJ20" s="160"/>
      <c r="BDK20" s="160"/>
      <c r="BDL20" s="160"/>
      <c r="BDM20" s="160"/>
      <c r="BDN20" s="160"/>
      <c r="BDO20" s="160"/>
      <c r="BDP20" s="160"/>
      <c r="BDQ20" s="160"/>
      <c r="BDR20" s="160"/>
      <c r="BDS20" s="160"/>
      <c r="BDT20" s="160"/>
      <c r="BDU20" s="160"/>
      <c r="BDV20" s="160"/>
      <c r="BDW20" s="160"/>
      <c r="BDX20" s="160"/>
      <c r="BDY20" s="160"/>
      <c r="BDZ20" s="160"/>
      <c r="BEA20" s="160"/>
      <c r="BEB20" s="160"/>
      <c r="BEC20" s="160"/>
      <c r="BED20" s="160"/>
      <c r="BEE20" s="160"/>
      <c r="BEF20" s="160"/>
      <c r="BEG20" s="160"/>
      <c r="BEH20" s="160"/>
      <c r="BEI20" s="160"/>
      <c r="BEJ20" s="160"/>
      <c r="BEK20" s="160"/>
      <c r="BEL20" s="160"/>
      <c r="BEM20" s="160"/>
      <c r="BEN20" s="160"/>
      <c r="BEO20" s="160"/>
      <c r="BEP20" s="160"/>
      <c r="BEQ20" s="160"/>
      <c r="BER20" s="160"/>
      <c r="BES20" s="160"/>
      <c r="BET20" s="160"/>
      <c r="BEU20" s="160"/>
      <c r="BEV20" s="160"/>
      <c r="BEW20" s="160"/>
      <c r="BEX20" s="160"/>
      <c r="BEY20" s="160"/>
      <c r="BEZ20" s="160"/>
      <c r="BFA20" s="160"/>
      <c r="BFB20" s="160"/>
      <c r="BFC20" s="160"/>
      <c r="BFD20" s="160"/>
      <c r="BFE20" s="160"/>
      <c r="BFF20" s="160"/>
      <c r="BFG20" s="160"/>
      <c r="BFH20" s="160"/>
      <c r="BFI20" s="160"/>
      <c r="BFJ20" s="160"/>
      <c r="BFK20" s="160"/>
      <c r="BFL20" s="160"/>
      <c r="BFM20" s="160"/>
      <c r="BFN20" s="160"/>
      <c r="BFO20" s="160"/>
      <c r="BFP20" s="160"/>
      <c r="BFQ20" s="160"/>
      <c r="BFR20" s="160"/>
      <c r="BFS20" s="160"/>
      <c r="BFT20" s="160"/>
      <c r="BFU20" s="160"/>
      <c r="BFV20" s="160"/>
      <c r="BFW20" s="160"/>
      <c r="BFX20" s="160"/>
      <c r="BFY20" s="160"/>
      <c r="BFZ20" s="160"/>
      <c r="BGA20" s="160"/>
      <c r="BGB20" s="160"/>
      <c r="BGC20" s="160"/>
      <c r="BGD20" s="160"/>
      <c r="BGE20" s="160"/>
      <c r="BGF20" s="160"/>
      <c r="BGG20" s="160"/>
      <c r="BGH20" s="160"/>
      <c r="BGI20" s="160"/>
      <c r="BGJ20" s="160"/>
      <c r="BGK20" s="160"/>
      <c r="BGL20" s="160"/>
      <c r="BGM20" s="160"/>
      <c r="BGN20" s="160"/>
      <c r="BGO20" s="160"/>
      <c r="BGP20" s="160"/>
      <c r="BGQ20" s="160"/>
      <c r="BGR20" s="160"/>
      <c r="BGS20" s="160"/>
      <c r="BGT20" s="160"/>
      <c r="BGU20" s="160"/>
      <c r="BGV20" s="160"/>
      <c r="BGW20" s="160"/>
      <c r="BGX20" s="160"/>
      <c r="BGY20" s="160"/>
      <c r="BGZ20" s="160"/>
      <c r="BHA20" s="160"/>
      <c r="BHB20" s="160"/>
      <c r="BHC20" s="160"/>
      <c r="BHD20" s="160"/>
      <c r="BHE20" s="160"/>
      <c r="BHF20" s="160"/>
      <c r="BHG20" s="160"/>
      <c r="BHH20" s="160"/>
      <c r="BHI20" s="160"/>
      <c r="BHJ20" s="160"/>
      <c r="BHK20" s="160"/>
      <c r="BHL20" s="160"/>
      <c r="BHM20" s="160"/>
      <c r="BHN20" s="160"/>
      <c r="BHO20" s="160"/>
      <c r="BHP20" s="160"/>
      <c r="BHQ20" s="160"/>
      <c r="BHR20" s="160"/>
      <c r="BHS20" s="160"/>
      <c r="BHT20" s="160"/>
      <c r="BHU20" s="160"/>
      <c r="BHV20" s="160"/>
      <c r="BHW20" s="160"/>
      <c r="BHX20" s="160"/>
      <c r="BHY20" s="160"/>
      <c r="BHZ20" s="160"/>
      <c r="BIA20" s="160"/>
      <c r="BIB20" s="160"/>
      <c r="BIC20" s="160"/>
      <c r="BID20" s="160"/>
      <c r="BIE20" s="160"/>
      <c r="BIF20" s="160"/>
      <c r="BIG20" s="160"/>
      <c r="BIH20" s="160"/>
      <c r="BII20" s="160"/>
      <c r="BIJ20" s="160"/>
      <c r="BIK20" s="160"/>
      <c r="BIL20" s="160"/>
      <c r="BIM20" s="160"/>
      <c r="BIN20" s="160"/>
      <c r="BIO20" s="160"/>
      <c r="BIP20" s="160"/>
      <c r="BIQ20" s="160"/>
      <c r="BIR20" s="160"/>
      <c r="BIS20" s="160"/>
      <c r="BIT20" s="160"/>
      <c r="BIU20" s="160"/>
      <c r="BIV20" s="160"/>
      <c r="BIW20" s="160"/>
      <c r="BIX20" s="160"/>
      <c r="BIY20" s="160"/>
      <c r="BIZ20" s="160"/>
      <c r="BJA20" s="160"/>
      <c r="BJB20" s="160"/>
      <c r="BJC20" s="160"/>
      <c r="BJD20" s="160"/>
      <c r="BJE20" s="160"/>
      <c r="BJF20" s="160"/>
      <c r="BJG20" s="160"/>
      <c r="BJH20" s="160"/>
      <c r="BJI20" s="160"/>
      <c r="BJJ20" s="160"/>
      <c r="BJK20" s="160"/>
      <c r="BJL20" s="160"/>
      <c r="BJM20" s="160"/>
      <c r="BJN20" s="160"/>
      <c r="BJO20" s="160"/>
      <c r="BJP20" s="160"/>
      <c r="BJQ20" s="160"/>
      <c r="BJR20" s="160"/>
      <c r="BJS20" s="160"/>
      <c r="BJT20" s="160"/>
      <c r="BJU20" s="160"/>
      <c r="BJV20" s="160"/>
      <c r="BJW20" s="160"/>
      <c r="BJX20" s="160"/>
      <c r="BJY20" s="160"/>
      <c r="BJZ20" s="160"/>
      <c r="BKA20" s="160"/>
      <c r="BKB20" s="160"/>
      <c r="BKC20" s="160"/>
      <c r="BKD20" s="160"/>
      <c r="BKE20" s="160"/>
      <c r="BKF20" s="160"/>
      <c r="BKG20" s="160"/>
      <c r="BKH20" s="160"/>
      <c r="BKI20" s="160"/>
      <c r="BKJ20" s="160"/>
      <c r="BKK20" s="160"/>
      <c r="BKL20" s="160"/>
      <c r="BKM20" s="160"/>
      <c r="BKN20" s="160"/>
      <c r="BKO20" s="160"/>
      <c r="BKP20" s="160"/>
      <c r="BKQ20" s="160"/>
      <c r="BKR20" s="160"/>
      <c r="BKS20" s="160"/>
      <c r="BKT20" s="160"/>
      <c r="BKU20" s="160"/>
      <c r="BKV20" s="160"/>
      <c r="BKW20" s="160"/>
      <c r="BKX20" s="160"/>
      <c r="BKY20" s="160"/>
      <c r="BKZ20" s="160"/>
      <c r="BLA20" s="160"/>
      <c r="BLB20" s="160"/>
      <c r="BLC20" s="160"/>
      <c r="BLD20" s="160"/>
      <c r="BLE20" s="160"/>
      <c r="BLF20" s="160"/>
      <c r="BLG20" s="160"/>
      <c r="BLH20" s="160"/>
      <c r="BLI20" s="160"/>
      <c r="BLJ20" s="160"/>
      <c r="BLK20" s="160"/>
      <c r="BLL20" s="160"/>
      <c r="BLM20" s="160"/>
      <c r="BLN20" s="160"/>
      <c r="BLO20" s="160"/>
      <c r="BLP20" s="160"/>
      <c r="BLQ20" s="160"/>
      <c r="BLR20" s="160"/>
      <c r="BLS20" s="160"/>
      <c r="BLT20" s="160"/>
      <c r="BLU20" s="160"/>
      <c r="BLV20" s="160"/>
      <c r="BLW20" s="160"/>
      <c r="BLX20" s="160"/>
      <c r="BLY20" s="160"/>
      <c r="BLZ20" s="160"/>
      <c r="BMA20" s="160"/>
      <c r="BMB20" s="160"/>
      <c r="BMC20" s="160"/>
      <c r="BMD20" s="160"/>
      <c r="BME20" s="160"/>
      <c r="BMF20" s="160"/>
      <c r="BMG20" s="160"/>
      <c r="BMH20" s="160"/>
      <c r="BMI20" s="160"/>
      <c r="BMJ20" s="160"/>
      <c r="BMK20" s="160"/>
      <c r="BML20" s="160"/>
      <c r="BMM20" s="160"/>
      <c r="BMN20" s="160"/>
      <c r="BMO20" s="160"/>
      <c r="BMP20" s="160"/>
      <c r="BMQ20" s="160"/>
      <c r="BMR20" s="160"/>
      <c r="BMS20" s="160"/>
      <c r="BMT20" s="160"/>
      <c r="BMU20" s="160"/>
      <c r="BMV20" s="160"/>
      <c r="BMW20" s="160"/>
      <c r="BMX20" s="160"/>
      <c r="BMY20" s="160"/>
      <c r="BMZ20" s="160"/>
      <c r="BNA20" s="160"/>
      <c r="BNB20" s="160"/>
      <c r="BNC20" s="160"/>
      <c r="BND20" s="160"/>
      <c r="BNE20" s="160"/>
      <c r="BNF20" s="160"/>
      <c r="BNG20" s="160"/>
      <c r="BNH20" s="160"/>
      <c r="BNI20" s="160"/>
      <c r="BNJ20" s="160"/>
      <c r="BNK20" s="160"/>
      <c r="BNL20" s="160"/>
      <c r="BNM20" s="160"/>
      <c r="BNN20" s="160"/>
      <c r="BNO20" s="160"/>
      <c r="BNP20" s="160"/>
      <c r="BNQ20" s="160"/>
      <c r="BNR20" s="160"/>
      <c r="BNS20" s="160"/>
      <c r="BNT20" s="160"/>
      <c r="BNU20" s="160"/>
      <c r="BNV20" s="160"/>
      <c r="BNW20" s="160"/>
      <c r="BNX20" s="160"/>
      <c r="BNY20" s="160"/>
      <c r="BNZ20" s="160"/>
      <c r="BOA20" s="160"/>
      <c r="BOB20" s="160"/>
      <c r="BOC20" s="160"/>
      <c r="BOD20" s="160"/>
      <c r="BOE20" s="160"/>
      <c r="BOF20" s="160"/>
      <c r="BOG20" s="160"/>
      <c r="BOH20" s="160"/>
      <c r="BOI20" s="160"/>
      <c r="BOJ20" s="160"/>
      <c r="BOK20" s="160"/>
      <c r="BOL20" s="160"/>
      <c r="BOM20" s="160"/>
      <c r="BON20" s="160"/>
      <c r="BOO20" s="160"/>
      <c r="BOP20" s="160"/>
      <c r="BOQ20" s="160"/>
      <c r="BOR20" s="160"/>
      <c r="BOS20" s="160"/>
      <c r="BOT20" s="160"/>
      <c r="BOU20" s="160"/>
      <c r="BOV20" s="160"/>
      <c r="BOW20" s="160"/>
      <c r="BOX20" s="160"/>
      <c r="BOY20" s="160"/>
      <c r="BOZ20" s="160"/>
      <c r="BPA20" s="160"/>
      <c r="BPB20" s="160"/>
      <c r="BPC20" s="160"/>
      <c r="BPD20" s="160"/>
      <c r="BPE20" s="160"/>
      <c r="BPF20" s="160"/>
      <c r="BPG20" s="160"/>
      <c r="BPH20" s="160"/>
      <c r="BPI20" s="160"/>
      <c r="BPJ20" s="160"/>
      <c r="BPK20" s="160"/>
      <c r="BPL20" s="160"/>
      <c r="BPM20" s="160"/>
      <c r="BPN20" s="160"/>
      <c r="BPO20" s="160"/>
      <c r="BPP20" s="160"/>
      <c r="BPQ20" s="160"/>
      <c r="BPR20" s="160"/>
      <c r="BPS20" s="160"/>
      <c r="BPT20" s="160"/>
      <c r="BPU20" s="160"/>
      <c r="BPV20" s="160"/>
      <c r="BPW20" s="160"/>
      <c r="BPX20" s="160"/>
      <c r="BPY20" s="160"/>
      <c r="BPZ20" s="160"/>
      <c r="BQA20" s="160"/>
      <c r="BQB20" s="160"/>
      <c r="BQC20" s="160"/>
      <c r="BQD20" s="160"/>
      <c r="BQE20" s="160"/>
      <c r="BQF20" s="160"/>
      <c r="BQG20" s="160"/>
      <c r="BQH20" s="160"/>
      <c r="BQI20" s="160"/>
      <c r="BQJ20" s="160"/>
      <c r="BQK20" s="160"/>
      <c r="BQL20" s="160"/>
      <c r="BQM20" s="160"/>
      <c r="BQN20" s="160"/>
      <c r="BQO20" s="160"/>
      <c r="BQP20" s="160"/>
      <c r="BQQ20" s="160"/>
      <c r="BQR20" s="160"/>
      <c r="BQS20" s="160"/>
      <c r="BQT20" s="160"/>
      <c r="BQU20" s="160"/>
      <c r="BQV20" s="160"/>
      <c r="BQW20" s="160"/>
      <c r="BQX20" s="160"/>
      <c r="BQY20" s="160"/>
      <c r="BQZ20" s="160"/>
      <c r="BRA20" s="160"/>
      <c r="BRB20" s="160"/>
      <c r="BRC20" s="160"/>
      <c r="BRD20" s="160"/>
      <c r="BRE20" s="160"/>
      <c r="BRF20" s="160"/>
      <c r="BRG20" s="160"/>
      <c r="BRH20" s="160"/>
      <c r="BRI20" s="160"/>
      <c r="BRJ20" s="160"/>
      <c r="BRK20" s="160"/>
      <c r="BRL20" s="160"/>
      <c r="BRM20" s="160"/>
      <c r="BRN20" s="160"/>
      <c r="BRO20" s="160"/>
      <c r="BRP20" s="160"/>
      <c r="BRQ20" s="160"/>
      <c r="BRR20" s="160"/>
      <c r="BRS20" s="160"/>
      <c r="BRT20" s="160"/>
      <c r="BRU20" s="160"/>
      <c r="BRV20" s="160"/>
      <c r="BRW20" s="160"/>
      <c r="BRX20" s="160"/>
      <c r="BRY20" s="160"/>
      <c r="BRZ20" s="160"/>
      <c r="BSA20" s="160"/>
      <c r="BSB20" s="160"/>
      <c r="BSC20" s="160"/>
      <c r="BSD20" s="160"/>
      <c r="BSE20" s="160"/>
      <c r="BSF20" s="160"/>
      <c r="BSG20" s="160"/>
      <c r="BSH20" s="160"/>
      <c r="BSI20" s="160"/>
      <c r="BSJ20" s="160"/>
      <c r="BSK20" s="160"/>
      <c r="BSL20" s="160"/>
      <c r="BSM20" s="160"/>
      <c r="BSN20" s="160"/>
      <c r="BSO20" s="160"/>
      <c r="BSP20" s="160"/>
      <c r="BSQ20" s="160"/>
      <c r="BSR20" s="160"/>
      <c r="BSS20" s="160"/>
      <c r="BST20" s="160"/>
      <c r="BSU20" s="160"/>
      <c r="BSV20" s="160"/>
      <c r="BSW20" s="160"/>
      <c r="BSX20" s="160"/>
      <c r="BSY20" s="160"/>
      <c r="BSZ20" s="160"/>
      <c r="BTA20" s="160"/>
      <c r="BTB20" s="160"/>
      <c r="BTC20" s="160"/>
      <c r="BTD20" s="160"/>
      <c r="BTE20" s="160"/>
      <c r="BTF20" s="160"/>
      <c r="BTG20" s="160"/>
      <c r="BTH20" s="160"/>
      <c r="BTI20" s="160"/>
      <c r="BTJ20" s="160"/>
      <c r="BTK20" s="160"/>
      <c r="BTL20" s="160"/>
      <c r="BTM20" s="160"/>
      <c r="BTN20" s="160"/>
      <c r="BTO20" s="160"/>
      <c r="BTP20" s="160"/>
      <c r="BTQ20" s="160"/>
      <c r="BTR20" s="160"/>
      <c r="BTS20" s="160"/>
      <c r="BTT20" s="160"/>
      <c r="BTU20" s="160"/>
      <c r="BTV20" s="160"/>
      <c r="BTW20" s="160"/>
      <c r="BTX20" s="160"/>
      <c r="BTY20" s="160"/>
      <c r="BTZ20" s="160"/>
      <c r="BUA20" s="160"/>
      <c r="BUB20" s="160"/>
      <c r="BUC20" s="160"/>
      <c r="BUD20" s="160"/>
      <c r="BUE20" s="160"/>
      <c r="BUF20" s="160"/>
      <c r="BUG20" s="160"/>
      <c r="BUH20" s="160"/>
      <c r="BUI20" s="160"/>
      <c r="BUJ20" s="160"/>
      <c r="BUK20" s="160"/>
      <c r="BUL20" s="160"/>
      <c r="BUM20" s="160"/>
      <c r="BUN20" s="160"/>
      <c r="BUO20" s="160"/>
      <c r="BUP20" s="160"/>
      <c r="BUQ20" s="160"/>
      <c r="BUR20" s="160"/>
      <c r="BUS20" s="160"/>
      <c r="BUT20" s="160"/>
      <c r="BUU20" s="160"/>
      <c r="BUV20" s="160"/>
      <c r="BUW20" s="160"/>
      <c r="BUX20" s="160"/>
      <c r="BUY20" s="160"/>
      <c r="BUZ20" s="160"/>
      <c r="BVA20" s="160"/>
      <c r="BVB20" s="160"/>
      <c r="BVC20" s="160"/>
      <c r="BVD20" s="160"/>
      <c r="BVE20" s="160"/>
      <c r="BVF20" s="160"/>
      <c r="BVG20" s="160"/>
      <c r="BVH20" s="160"/>
      <c r="BVI20" s="160"/>
      <c r="BVJ20" s="160"/>
      <c r="BVK20" s="160"/>
      <c r="BVL20" s="160"/>
      <c r="BVM20" s="160"/>
      <c r="BVN20" s="160"/>
      <c r="BVO20" s="160"/>
      <c r="BVP20" s="160"/>
      <c r="BVQ20" s="160"/>
      <c r="BVR20" s="160"/>
      <c r="BVS20" s="160"/>
      <c r="BVT20" s="160"/>
      <c r="BVU20" s="160"/>
      <c r="BVV20" s="160"/>
      <c r="BVW20" s="160"/>
      <c r="BVX20" s="160"/>
      <c r="BVY20" s="160"/>
      <c r="BVZ20" s="160"/>
      <c r="BWA20" s="160"/>
      <c r="BWB20" s="160"/>
      <c r="BWC20" s="160"/>
      <c r="BWD20" s="160"/>
      <c r="BWE20" s="160"/>
      <c r="BWF20" s="160"/>
      <c r="BWG20" s="160"/>
      <c r="BWH20" s="160"/>
      <c r="BWI20" s="160"/>
      <c r="BWJ20" s="160"/>
      <c r="BWK20" s="160"/>
      <c r="BWL20" s="160"/>
      <c r="BWM20" s="160"/>
      <c r="BWN20" s="160"/>
      <c r="BWO20" s="160"/>
      <c r="BWP20" s="160"/>
      <c r="BWQ20" s="160"/>
      <c r="BWR20" s="160"/>
      <c r="BWS20" s="160"/>
      <c r="BWT20" s="160"/>
      <c r="BWU20" s="160"/>
      <c r="BWV20" s="160"/>
      <c r="BWW20" s="160"/>
      <c r="BWX20" s="160"/>
      <c r="BWY20" s="160"/>
      <c r="BWZ20" s="160"/>
      <c r="BXA20" s="160"/>
      <c r="BXB20" s="160"/>
      <c r="BXC20" s="160"/>
      <c r="BXD20" s="160"/>
      <c r="BXE20" s="160"/>
      <c r="BXF20" s="160"/>
      <c r="BXG20" s="160"/>
      <c r="BXH20" s="160"/>
      <c r="BXI20" s="160"/>
      <c r="BXJ20" s="160"/>
      <c r="BXK20" s="160"/>
      <c r="BXL20" s="160"/>
      <c r="BXM20" s="160"/>
      <c r="BXN20" s="160"/>
      <c r="BXO20" s="160"/>
      <c r="BXP20" s="160"/>
      <c r="BXQ20" s="160"/>
      <c r="BXR20" s="160"/>
      <c r="BXS20" s="160"/>
      <c r="BXT20" s="160"/>
      <c r="BXU20" s="160"/>
      <c r="BXV20" s="160"/>
      <c r="BXW20" s="160"/>
      <c r="BXX20" s="160"/>
      <c r="BXY20" s="160"/>
      <c r="BXZ20" s="160"/>
      <c r="BYA20" s="160"/>
      <c r="BYB20" s="160"/>
      <c r="BYC20" s="160"/>
      <c r="BYD20" s="160"/>
      <c r="BYE20" s="160"/>
      <c r="BYF20" s="160"/>
      <c r="BYG20" s="160"/>
      <c r="BYH20" s="160"/>
      <c r="BYI20" s="160"/>
      <c r="BYJ20" s="160"/>
      <c r="BYK20" s="160"/>
      <c r="BYL20" s="160"/>
      <c r="BYM20" s="160"/>
      <c r="BYN20" s="160"/>
      <c r="BYO20" s="160"/>
      <c r="BYP20" s="160"/>
      <c r="BYQ20" s="160"/>
      <c r="BYR20" s="160"/>
      <c r="BYS20" s="160"/>
      <c r="BYT20" s="160"/>
      <c r="BYU20" s="160"/>
      <c r="BYV20" s="160"/>
      <c r="BYW20" s="160"/>
      <c r="BYX20" s="160"/>
      <c r="BYY20" s="160"/>
      <c r="BYZ20" s="160"/>
      <c r="BZA20" s="160"/>
      <c r="BZB20" s="160"/>
      <c r="BZC20" s="160"/>
      <c r="BZD20" s="160"/>
      <c r="BZE20" s="160"/>
      <c r="BZF20" s="160"/>
      <c r="BZG20" s="160"/>
      <c r="BZH20" s="160"/>
      <c r="BZI20" s="160"/>
      <c r="BZJ20" s="160"/>
      <c r="BZK20" s="160"/>
      <c r="BZL20" s="160"/>
      <c r="BZM20" s="160"/>
      <c r="BZN20" s="160"/>
      <c r="BZO20" s="160"/>
      <c r="BZP20" s="160"/>
      <c r="BZQ20" s="160"/>
      <c r="BZR20" s="160"/>
      <c r="BZS20" s="160"/>
      <c r="BZT20" s="160"/>
      <c r="BZU20" s="160"/>
      <c r="BZV20" s="160"/>
      <c r="BZW20" s="160"/>
      <c r="BZX20" s="160"/>
      <c r="BZY20" s="160"/>
      <c r="BZZ20" s="160"/>
      <c r="CAA20" s="160"/>
      <c r="CAB20" s="160"/>
      <c r="CAC20" s="160"/>
      <c r="CAD20" s="160"/>
      <c r="CAE20" s="160"/>
      <c r="CAF20" s="160"/>
      <c r="CAG20" s="160"/>
      <c r="CAH20" s="160"/>
      <c r="CAI20" s="160"/>
      <c r="CAJ20" s="160"/>
      <c r="CAK20" s="160"/>
      <c r="CAL20" s="160"/>
      <c r="CAM20" s="160"/>
      <c r="CAN20" s="160"/>
      <c r="CAO20" s="160"/>
      <c r="CAP20" s="160"/>
      <c r="CAQ20" s="160"/>
      <c r="CAR20" s="160"/>
      <c r="CAS20" s="160"/>
      <c r="CAT20" s="160"/>
      <c r="CAU20" s="160"/>
      <c r="CAV20" s="160"/>
      <c r="CAW20" s="160"/>
      <c r="CAX20" s="160"/>
      <c r="CAY20" s="160"/>
      <c r="CAZ20" s="160"/>
      <c r="CBA20" s="160"/>
      <c r="CBB20" s="160"/>
      <c r="CBC20" s="160"/>
      <c r="CBD20" s="160"/>
      <c r="CBE20" s="160"/>
      <c r="CBF20" s="160"/>
      <c r="CBG20" s="160"/>
      <c r="CBH20" s="160"/>
      <c r="CBI20" s="160"/>
      <c r="CBJ20" s="160"/>
      <c r="CBK20" s="160"/>
      <c r="CBL20" s="160"/>
      <c r="CBM20" s="160"/>
      <c r="CBN20" s="160"/>
      <c r="CBO20" s="160"/>
      <c r="CBP20" s="160"/>
      <c r="CBQ20" s="160"/>
      <c r="CBR20" s="160"/>
      <c r="CBS20" s="160"/>
      <c r="CBT20" s="160"/>
      <c r="CBU20" s="160"/>
      <c r="CBV20" s="160"/>
      <c r="CBW20" s="160"/>
      <c r="CBX20" s="160"/>
      <c r="CBY20" s="160"/>
      <c r="CBZ20" s="160"/>
      <c r="CCA20" s="160"/>
      <c r="CCB20" s="160"/>
      <c r="CCC20" s="160"/>
      <c r="CCD20" s="160"/>
      <c r="CCE20" s="160"/>
      <c r="CCF20" s="160"/>
      <c r="CCG20" s="160"/>
      <c r="CCH20" s="160"/>
      <c r="CCI20" s="160"/>
      <c r="CCJ20" s="160"/>
      <c r="CCK20" s="160"/>
      <c r="CCL20" s="160"/>
      <c r="CCM20" s="160"/>
      <c r="CCN20" s="160"/>
      <c r="CCO20" s="160"/>
      <c r="CCP20" s="160"/>
      <c r="CCQ20" s="160"/>
      <c r="CCR20" s="160"/>
      <c r="CCS20" s="160"/>
      <c r="CCT20" s="160"/>
      <c r="CCU20" s="160"/>
      <c r="CCV20" s="160"/>
      <c r="CCW20" s="160"/>
      <c r="CCX20" s="160"/>
      <c r="CCY20" s="160"/>
      <c r="CCZ20" s="160"/>
      <c r="CDA20" s="160"/>
      <c r="CDB20" s="160"/>
      <c r="CDC20" s="160"/>
      <c r="CDD20" s="160"/>
      <c r="CDE20" s="160"/>
      <c r="CDF20" s="160"/>
      <c r="CDG20" s="160"/>
      <c r="CDH20" s="160"/>
      <c r="CDI20" s="160"/>
      <c r="CDJ20" s="160"/>
      <c r="CDK20" s="160"/>
      <c r="CDL20" s="160"/>
      <c r="CDM20" s="160"/>
      <c r="CDN20" s="160"/>
      <c r="CDO20" s="160"/>
      <c r="CDP20" s="160"/>
      <c r="CDQ20" s="160"/>
      <c r="CDR20" s="160"/>
      <c r="CDS20" s="160"/>
      <c r="CDT20" s="160"/>
      <c r="CDU20" s="160"/>
      <c r="CDV20" s="160"/>
      <c r="CDW20" s="160"/>
      <c r="CDX20" s="160"/>
      <c r="CDY20" s="160"/>
      <c r="CDZ20" s="160"/>
      <c r="CEA20" s="160"/>
      <c r="CEB20" s="160"/>
      <c r="CEC20" s="160"/>
      <c r="CED20" s="160"/>
      <c r="CEE20" s="160"/>
      <c r="CEF20" s="160"/>
      <c r="CEG20" s="160"/>
      <c r="CEH20" s="160"/>
      <c r="CEI20" s="160"/>
      <c r="CEJ20" s="160"/>
      <c r="CEK20" s="160"/>
      <c r="CEL20" s="160"/>
      <c r="CEM20" s="160"/>
      <c r="CEN20" s="160"/>
      <c r="CEO20" s="160"/>
      <c r="CEP20" s="160"/>
      <c r="CEQ20" s="160"/>
      <c r="CER20" s="160"/>
      <c r="CES20" s="160"/>
      <c r="CET20" s="160"/>
      <c r="CEU20" s="160"/>
      <c r="CEV20" s="160"/>
      <c r="CEW20" s="160"/>
      <c r="CEX20" s="160"/>
      <c r="CEY20" s="160"/>
      <c r="CEZ20" s="160"/>
      <c r="CFA20" s="160"/>
      <c r="CFB20" s="160"/>
      <c r="CFC20" s="160"/>
      <c r="CFD20" s="160"/>
      <c r="CFE20" s="160"/>
      <c r="CFF20" s="160"/>
      <c r="CFG20" s="160"/>
      <c r="CFH20" s="160"/>
      <c r="CFI20" s="160"/>
      <c r="CFJ20" s="160"/>
      <c r="CFK20" s="160"/>
      <c r="CFL20" s="160"/>
      <c r="CFM20" s="160"/>
      <c r="CFN20" s="160"/>
      <c r="CFO20" s="160"/>
      <c r="CFP20" s="160"/>
      <c r="CFQ20" s="160"/>
      <c r="CFR20" s="160"/>
      <c r="CFS20" s="160"/>
      <c r="CFT20" s="160"/>
      <c r="CFU20" s="160"/>
      <c r="CFV20" s="160"/>
      <c r="CFW20" s="160"/>
      <c r="CFX20" s="160"/>
      <c r="CFY20" s="160"/>
      <c r="CFZ20" s="160"/>
      <c r="CGA20" s="160"/>
      <c r="CGB20" s="160"/>
      <c r="CGC20" s="160"/>
      <c r="CGD20" s="160"/>
      <c r="CGE20" s="160"/>
      <c r="CGF20" s="160"/>
      <c r="CGG20" s="160"/>
      <c r="CGH20" s="160"/>
      <c r="CGI20" s="160"/>
      <c r="CGJ20" s="160"/>
      <c r="CGK20" s="160"/>
      <c r="CGL20" s="160"/>
      <c r="CGM20" s="160"/>
      <c r="CGN20" s="160"/>
      <c r="CGO20" s="160"/>
      <c r="CGP20" s="160"/>
      <c r="CGQ20" s="160"/>
      <c r="CGR20" s="160"/>
      <c r="CGS20" s="160"/>
      <c r="CGT20" s="160"/>
      <c r="CGU20" s="160"/>
      <c r="CGV20" s="160"/>
      <c r="CGW20" s="160"/>
      <c r="CGX20" s="160"/>
      <c r="CGY20" s="160"/>
      <c r="CGZ20" s="160"/>
      <c r="CHA20" s="160"/>
      <c r="CHB20" s="160"/>
      <c r="CHC20" s="160"/>
      <c r="CHD20" s="160"/>
      <c r="CHE20" s="160"/>
      <c r="CHF20" s="160"/>
      <c r="CHG20" s="160"/>
      <c r="CHH20" s="160"/>
      <c r="CHI20" s="160"/>
      <c r="CHJ20" s="160"/>
      <c r="CHK20" s="160"/>
      <c r="CHL20" s="160"/>
      <c r="CHM20" s="160"/>
      <c r="CHN20" s="160"/>
      <c r="CHO20" s="160"/>
      <c r="CHP20" s="160"/>
      <c r="CHQ20" s="160"/>
      <c r="CHR20" s="160"/>
      <c r="CHS20" s="160"/>
      <c r="CHT20" s="160"/>
      <c r="CHU20" s="160"/>
      <c r="CHV20" s="160"/>
      <c r="CHW20" s="160"/>
      <c r="CHX20" s="160"/>
      <c r="CHY20" s="160"/>
      <c r="CHZ20" s="160"/>
      <c r="CIA20" s="160"/>
      <c r="CIB20" s="160"/>
      <c r="CIC20" s="160"/>
      <c r="CID20" s="160"/>
      <c r="CIE20" s="160"/>
      <c r="CIF20" s="160"/>
      <c r="CIG20" s="160"/>
      <c r="CIH20" s="160"/>
      <c r="CII20" s="160"/>
      <c r="CIJ20" s="160"/>
      <c r="CIK20" s="160"/>
      <c r="CIL20" s="160"/>
      <c r="CIM20" s="160"/>
      <c r="CIN20" s="160"/>
      <c r="CIO20" s="160"/>
      <c r="CIP20" s="160"/>
      <c r="CIQ20" s="160"/>
      <c r="CIR20" s="160"/>
      <c r="CIS20" s="160"/>
      <c r="CIT20" s="160"/>
      <c r="CIU20" s="160"/>
      <c r="CIV20" s="160"/>
      <c r="CIW20" s="160"/>
      <c r="CIX20" s="160"/>
      <c r="CIY20" s="160"/>
      <c r="CIZ20" s="160"/>
      <c r="CJA20" s="160"/>
      <c r="CJB20" s="160"/>
      <c r="CJC20" s="160"/>
      <c r="CJD20" s="160"/>
      <c r="CJE20" s="160"/>
      <c r="CJF20" s="160"/>
      <c r="CJG20" s="160"/>
      <c r="CJH20" s="160"/>
      <c r="CJI20" s="160"/>
      <c r="CJJ20" s="160"/>
      <c r="CJK20" s="160"/>
      <c r="CJL20" s="160"/>
      <c r="CJM20" s="160"/>
      <c r="CJN20" s="160"/>
      <c r="CJO20" s="160"/>
      <c r="CJP20" s="160"/>
      <c r="CJQ20" s="160"/>
      <c r="CJR20" s="160"/>
      <c r="CJS20" s="160"/>
      <c r="CJT20" s="160"/>
      <c r="CJU20" s="160"/>
      <c r="CJV20" s="160"/>
      <c r="CJW20" s="160"/>
      <c r="CJX20" s="160"/>
      <c r="CJY20" s="160"/>
      <c r="CJZ20" s="160"/>
      <c r="CKA20" s="160"/>
      <c r="CKB20" s="160"/>
      <c r="CKC20" s="160"/>
      <c r="CKD20" s="160"/>
      <c r="CKE20" s="160"/>
      <c r="CKF20" s="160"/>
      <c r="CKG20" s="160"/>
      <c r="CKH20" s="160"/>
      <c r="CKI20" s="160"/>
      <c r="CKJ20" s="160"/>
      <c r="CKK20" s="160"/>
      <c r="CKL20" s="160"/>
      <c r="CKM20" s="160"/>
      <c r="CKN20" s="160"/>
      <c r="CKO20" s="160"/>
      <c r="CKP20" s="160"/>
      <c r="CKQ20" s="160"/>
      <c r="CKR20" s="160"/>
      <c r="CKS20" s="160"/>
      <c r="CKT20" s="160"/>
      <c r="CKU20" s="160"/>
      <c r="CKV20" s="160"/>
      <c r="CKW20" s="160"/>
      <c r="CKX20" s="160"/>
      <c r="CKY20" s="160"/>
      <c r="CKZ20" s="160"/>
      <c r="CLA20" s="160"/>
      <c r="CLB20" s="160"/>
      <c r="CLC20" s="160"/>
      <c r="CLD20" s="160"/>
      <c r="CLE20" s="160"/>
      <c r="CLF20" s="160"/>
      <c r="CLG20" s="160"/>
      <c r="CLH20" s="160"/>
      <c r="CLI20" s="160"/>
      <c r="CLJ20" s="160"/>
      <c r="CLK20" s="160"/>
      <c r="CLL20" s="160"/>
      <c r="CLM20" s="160"/>
      <c r="CLN20" s="160"/>
      <c r="CLO20" s="160"/>
      <c r="CLP20" s="160"/>
      <c r="CLQ20" s="160"/>
      <c r="CLR20" s="160"/>
      <c r="CLS20" s="160"/>
      <c r="CLT20" s="160"/>
      <c r="CLU20" s="160"/>
      <c r="CLV20" s="160"/>
      <c r="CLW20" s="160"/>
      <c r="CLX20" s="160"/>
      <c r="CLY20" s="160"/>
      <c r="CLZ20" s="160"/>
      <c r="CMA20" s="160"/>
      <c r="CMB20" s="160"/>
      <c r="CMC20" s="160"/>
      <c r="CMD20" s="160"/>
      <c r="CME20" s="160"/>
      <c r="CMF20" s="160"/>
      <c r="CMG20" s="160"/>
      <c r="CMH20" s="160"/>
      <c r="CMI20" s="160"/>
      <c r="CMJ20" s="160"/>
      <c r="CMK20" s="160"/>
      <c r="CML20" s="160"/>
      <c r="CMM20" s="160"/>
      <c r="CMN20" s="160"/>
      <c r="CMO20" s="160"/>
      <c r="CMP20" s="160"/>
      <c r="CMQ20" s="160"/>
      <c r="CMR20" s="160"/>
      <c r="CMS20" s="160"/>
      <c r="CMT20" s="160"/>
      <c r="CMU20" s="160"/>
      <c r="CMV20" s="160"/>
      <c r="CMW20" s="160"/>
      <c r="CMX20" s="160"/>
      <c r="CMY20" s="160"/>
      <c r="CMZ20" s="160"/>
      <c r="CNA20" s="160"/>
      <c r="CNB20" s="160"/>
      <c r="CNC20" s="160"/>
      <c r="CND20" s="160"/>
      <c r="CNE20" s="160"/>
      <c r="CNF20" s="160"/>
      <c r="CNG20" s="160"/>
      <c r="CNH20" s="160"/>
      <c r="CNI20" s="160"/>
      <c r="CNJ20" s="160"/>
      <c r="CNK20" s="160"/>
      <c r="CNL20" s="160"/>
      <c r="CNM20" s="160"/>
      <c r="CNN20" s="160"/>
      <c r="CNO20" s="160"/>
      <c r="CNP20" s="160"/>
      <c r="CNQ20" s="160"/>
      <c r="CNR20" s="160"/>
      <c r="CNS20" s="160"/>
      <c r="CNT20" s="160"/>
      <c r="CNU20" s="160"/>
      <c r="CNV20" s="160"/>
      <c r="CNW20" s="160"/>
      <c r="CNX20" s="160"/>
      <c r="CNY20" s="160"/>
      <c r="CNZ20" s="160"/>
      <c r="COA20" s="160"/>
      <c r="COB20" s="160"/>
      <c r="COC20" s="160"/>
      <c r="COD20" s="160"/>
      <c r="COE20" s="160"/>
      <c r="COF20" s="160"/>
      <c r="COG20" s="160"/>
      <c r="COH20" s="160"/>
      <c r="COI20" s="160"/>
      <c r="COJ20" s="160"/>
      <c r="COK20" s="160"/>
      <c r="COL20" s="160"/>
      <c r="COM20" s="160"/>
      <c r="CON20" s="160"/>
      <c r="COO20" s="160"/>
      <c r="COP20" s="160"/>
      <c r="COQ20" s="160"/>
      <c r="COR20" s="160"/>
      <c r="COS20" s="160"/>
      <c r="COT20" s="160"/>
      <c r="COU20" s="160"/>
      <c r="COV20" s="160"/>
      <c r="COW20" s="160"/>
      <c r="COX20" s="160"/>
      <c r="COY20" s="160"/>
      <c r="COZ20" s="160"/>
      <c r="CPA20" s="160"/>
      <c r="CPB20" s="160"/>
      <c r="CPC20" s="160"/>
      <c r="CPD20" s="160"/>
      <c r="CPE20" s="160"/>
      <c r="CPF20" s="160"/>
      <c r="CPG20" s="160"/>
      <c r="CPH20" s="160"/>
      <c r="CPI20" s="160"/>
      <c r="CPJ20" s="160"/>
      <c r="CPK20" s="160"/>
      <c r="CPL20" s="160"/>
      <c r="CPM20" s="160"/>
      <c r="CPN20" s="160"/>
      <c r="CPO20" s="160"/>
      <c r="CPP20" s="160"/>
      <c r="CPQ20" s="160"/>
      <c r="CPR20" s="160"/>
      <c r="CPS20" s="160"/>
      <c r="CPT20" s="160"/>
      <c r="CPU20" s="160"/>
      <c r="CPV20" s="160"/>
      <c r="CPW20" s="160"/>
      <c r="CPX20" s="160"/>
      <c r="CPY20" s="160"/>
      <c r="CPZ20" s="160"/>
      <c r="CQA20" s="160"/>
      <c r="CQB20" s="160"/>
      <c r="CQC20" s="160"/>
      <c r="CQD20" s="160"/>
      <c r="CQE20" s="160"/>
      <c r="CQF20" s="160"/>
      <c r="CQG20" s="160"/>
      <c r="CQH20" s="160"/>
      <c r="CQI20" s="160"/>
      <c r="CQJ20" s="160"/>
      <c r="CQK20" s="160"/>
      <c r="CQL20" s="160"/>
      <c r="CQM20" s="160"/>
      <c r="CQN20" s="160"/>
      <c r="CQO20" s="160"/>
      <c r="CQP20" s="160"/>
      <c r="CQQ20" s="160"/>
      <c r="CQR20" s="160"/>
      <c r="CQS20" s="160"/>
      <c r="CQT20" s="160"/>
      <c r="CQU20" s="160"/>
      <c r="CQV20" s="160"/>
      <c r="CQW20" s="160"/>
      <c r="CQX20" s="160"/>
      <c r="CQY20" s="160"/>
      <c r="CQZ20" s="160"/>
      <c r="CRA20" s="160"/>
      <c r="CRB20" s="160"/>
      <c r="CRC20" s="160"/>
      <c r="CRD20" s="160"/>
      <c r="CRE20" s="160"/>
      <c r="CRF20" s="160"/>
      <c r="CRG20" s="160"/>
      <c r="CRH20" s="160"/>
      <c r="CRI20" s="160"/>
      <c r="CRJ20" s="160"/>
      <c r="CRK20" s="160"/>
      <c r="CRL20" s="160"/>
      <c r="CRM20" s="160"/>
      <c r="CRN20" s="160"/>
      <c r="CRO20" s="160"/>
      <c r="CRP20" s="160"/>
      <c r="CRQ20" s="160"/>
      <c r="CRR20" s="160"/>
      <c r="CRS20" s="160"/>
      <c r="CRT20" s="160"/>
      <c r="CRU20" s="160"/>
      <c r="CRV20" s="160"/>
      <c r="CRW20" s="160"/>
      <c r="CRX20" s="160"/>
      <c r="CRY20" s="160"/>
      <c r="CRZ20" s="160"/>
      <c r="CSA20" s="160"/>
      <c r="CSB20" s="160"/>
      <c r="CSC20" s="160"/>
      <c r="CSD20" s="160"/>
      <c r="CSE20" s="160"/>
      <c r="CSF20" s="160"/>
      <c r="CSG20" s="160"/>
      <c r="CSH20" s="160"/>
      <c r="CSI20" s="160"/>
      <c r="CSJ20" s="160"/>
      <c r="CSK20" s="160"/>
      <c r="CSL20" s="160"/>
      <c r="CSM20" s="160"/>
      <c r="CSN20" s="160"/>
      <c r="CSO20" s="160"/>
      <c r="CSP20" s="160"/>
      <c r="CSQ20" s="160"/>
      <c r="CSR20" s="160"/>
      <c r="CSS20" s="160"/>
      <c r="CST20" s="160"/>
      <c r="CSU20" s="160"/>
      <c r="CSV20" s="160"/>
      <c r="CSW20" s="160"/>
      <c r="CSX20" s="160"/>
      <c r="CSY20" s="160"/>
      <c r="CSZ20" s="160"/>
      <c r="CTA20" s="160"/>
      <c r="CTB20" s="160"/>
      <c r="CTC20" s="160"/>
      <c r="CTD20" s="160"/>
      <c r="CTE20" s="160"/>
      <c r="CTF20" s="160"/>
      <c r="CTG20" s="160"/>
      <c r="CTH20" s="160"/>
      <c r="CTI20" s="160"/>
      <c r="CTJ20" s="160"/>
      <c r="CTK20" s="160"/>
      <c r="CTL20" s="160"/>
      <c r="CTM20" s="160"/>
      <c r="CTN20" s="160"/>
      <c r="CTO20" s="160"/>
      <c r="CTP20" s="160"/>
      <c r="CTQ20" s="160"/>
      <c r="CTR20" s="160"/>
      <c r="CTS20" s="160"/>
      <c r="CTT20" s="160"/>
      <c r="CTU20" s="160"/>
      <c r="CTV20" s="160"/>
      <c r="CTW20" s="160"/>
      <c r="CTX20" s="160"/>
      <c r="CTY20" s="160"/>
      <c r="CTZ20" s="160"/>
      <c r="CUA20" s="160"/>
      <c r="CUB20" s="160"/>
      <c r="CUC20" s="160"/>
      <c r="CUD20" s="160"/>
      <c r="CUE20" s="160"/>
      <c r="CUF20" s="160"/>
      <c r="CUG20" s="160"/>
      <c r="CUH20" s="160"/>
      <c r="CUI20" s="160"/>
      <c r="CUJ20" s="160"/>
      <c r="CUK20" s="160"/>
      <c r="CUL20" s="160"/>
      <c r="CUM20" s="160"/>
      <c r="CUN20" s="160"/>
      <c r="CUO20" s="160"/>
      <c r="CUP20" s="160"/>
      <c r="CUQ20" s="160"/>
      <c r="CUR20" s="160"/>
      <c r="CUS20" s="160"/>
      <c r="CUT20" s="160"/>
      <c r="CUU20" s="160"/>
      <c r="CUV20" s="160"/>
      <c r="CUW20" s="160"/>
      <c r="CUX20" s="160"/>
      <c r="CUY20" s="160"/>
      <c r="CUZ20" s="160"/>
      <c r="CVA20" s="160"/>
      <c r="CVB20" s="160"/>
      <c r="CVC20" s="160"/>
      <c r="CVD20" s="160"/>
      <c r="CVE20" s="160"/>
      <c r="CVF20" s="160"/>
      <c r="CVG20" s="160"/>
      <c r="CVH20" s="160"/>
      <c r="CVI20" s="160"/>
      <c r="CVJ20" s="160"/>
      <c r="CVK20" s="160"/>
      <c r="CVL20" s="160"/>
      <c r="CVM20" s="160"/>
      <c r="CVN20" s="160"/>
      <c r="CVO20" s="160"/>
      <c r="CVP20" s="160"/>
      <c r="CVQ20" s="160"/>
      <c r="CVR20" s="160"/>
      <c r="CVS20" s="160"/>
      <c r="CVT20" s="160"/>
      <c r="CVU20" s="160"/>
      <c r="CVV20" s="160"/>
      <c r="CVW20" s="160"/>
      <c r="CVX20" s="160"/>
      <c r="CVY20" s="160"/>
      <c r="CVZ20" s="160"/>
      <c r="CWA20" s="160"/>
      <c r="CWB20" s="160"/>
      <c r="CWC20" s="160"/>
      <c r="CWD20" s="160"/>
      <c r="CWE20" s="160"/>
      <c r="CWF20" s="160"/>
      <c r="CWG20" s="160"/>
      <c r="CWH20" s="160"/>
      <c r="CWI20" s="160"/>
      <c r="CWJ20" s="160"/>
      <c r="CWK20" s="160"/>
      <c r="CWL20" s="160"/>
      <c r="CWM20" s="160"/>
      <c r="CWN20" s="160"/>
      <c r="CWO20" s="160"/>
      <c r="CWP20" s="160"/>
      <c r="CWQ20" s="160"/>
      <c r="CWR20" s="160"/>
      <c r="CWS20" s="160"/>
      <c r="CWT20" s="160"/>
      <c r="CWU20" s="160"/>
      <c r="CWV20" s="160"/>
      <c r="CWW20" s="160"/>
      <c r="CWX20" s="160"/>
      <c r="CWY20" s="160"/>
      <c r="CWZ20" s="160"/>
      <c r="CXA20" s="160"/>
      <c r="CXB20" s="160"/>
      <c r="CXC20" s="160"/>
      <c r="CXD20" s="160"/>
      <c r="CXE20" s="160"/>
      <c r="CXF20" s="160"/>
      <c r="CXG20" s="160"/>
      <c r="CXH20" s="160"/>
      <c r="CXI20" s="160"/>
      <c r="CXJ20" s="160"/>
      <c r="CXK20" s="160"/>
      <c r="CXL20" s="160"/>
      <c r="CXM20" s="160"/>
      <c r="CXN20" s="160"/>
      <c r="CXO20" s="160"/>
      <c r="CXP20" s="160"/>
      <c r="CXQ20" s="160"/>
      <c r="CXR20" s="160"/>
      <c r="CXS20" s="160"/>
      <c r="CXT20" s="160"/>
      <c r="CXU20" s="160"/>
      <c r="CXV20" s="160"/>
      <c r="CXW20" s="160"/>
      <c r="CXX20" s="160"/>
      <c r="CXY20" s="160"/>
      <c r="CXZ20" s="160"/>
      <c r="CYA20" s="160"/>
      <c r="CYB20" s="160"/>
      <c r="CYC20" s="160"/>
      <c r="CYD20" s="160"/>
      <c r="CYE20" s="160"/>
      <c r="CYF20" s="160"/>
      <c r="CYG20" s="160"/>
      <c r="CYH20" s="160"/>
      <c r="CYI20" s="160"/>
      <c r="CYJ20" s="160"/>
      <c r="CYK20" s="160"/>
      <c r="CYL20" s="160"/>
      <c r="CYM20" s="160"/>
      <c r="CYN20" s="160"/>
      <c r="CYO20" s="160"/>
      <c r="CYP20" s="160"/>
      <c r="CYQ20" s="160"/>
      <c r="CYR20" s="160"/>
      <c r="CYS20" s="160"/>
      <c r="CYT20" s="160"/>
      <c r="CYU20" s="160"/>
      <c r="CYV20" s="160"/>
      <c r="CYW20" s="160"/>
      <c r="CYX20" s="160"/>
      <c r="CYY20" s="160"/>
      <c r="CYZ20" s="160"/>
      <c r="CZA20" s="160"/>
      <c r="CZB20" s="160"/>
      <c r="CZC20" s="160"/>
      <c r="CZD20" s="160"/>
      <c r="CZE20" s="160"/>
      <c r="CZF20" s="160"/>
      <c r="CZG20" s="160"/>
      <c r="CZH20" s="160"/>
      <c r="CZI20" s="160"/>
      <c r="CZJ20" s="160"/>
      <c r="CZK20" s="160"/>
      <c r="CZL20" s="160"/>
      <c r="CZM20" s="160"/>
      <c r="CZN20" s="160"/>
      <c r="CZO20" s="160"/>
      <c r="CZP20" s="160"/>
      <c r="CZQ20" s="160"/>
      <c r="CZR20" s="160"/>
      <c r="CZS20" s="160"/>
      <c r="CZT20" s="160"/>
      <c r="CZU20" s="160"/>
      <c r="CZV20" s="160"/>
      <c r="CZW20" s="160"/>
      <c r="CZX20" s="160"/>
      <c r="CZY20" s="160"/>
      <c r="CZZ20" s="160"/>
      <c r="DAA20" s="160"/>
      <c r="DAB20" s="160"/>
      <c r="DAC20" s="160"/>
      <c r="DAD20" s="160"/>
      <c r="DAE20" s="160"/>
      <c r="DAF20" s="160"/>
      <c r="DAG20" s="160"/>
      <c r="DAH20" s="160"/>
      <c r="DAI20" s="160"/>
      <c r="DAJ20" s="160"/>
      <c r="DAK20" s="160"/>
      <c r="DAL20" s="160"/>
      <c r="DAM20" s="160"/>
      <c r="DAN20" s="160"/>
      <c r="DAO20" s="160"/>
      <c r="DAP20" s="160"/>
      <c r="DAQ20" s="160"/>
      <c r="DAR20" s="160"/>
      <c r="DAS20" s="160"/>
      <c r="DAT20" s="160"/>
      <c r="DAU20" s="160"/>
      <c r="DAV20" s="160"/>
      <c r="DAW20" s="160"/>
      <c r="DAX20" s="160"/>
      <c r="DAY20" s="160"/>
      <c r="DAZ20" s="160"/>
      <c r="DBA20" s="160"/>
      <c r="DBB20" s="160"/>
      <c r="DBC20" s="160"/>
      <c r="DBD20" s="160"/>
      <c r="DBE20" s="160"/>
      <c r="DBF20" s="160"/>
      <c r="DBG20" s="160"/>
      <c r="DBH20" s="160"/>
      <c r="DBI20" s="160"/>
      <c r="DBJ20" s="160"/>
      <c r="DBK20" s="160"/>
      <c r="DBL20" s="160"/>
      <c r="DBM20" s="160"/>
      <c r="DBN20" s="160"/>
      <c r="DBO20" s="160"/>
      <c r="DBP20" s="160"/>
      <c r="DBQ20" s="160"/>
      <c r="DBR20" s="160"/>
      <c r="DBS20" s="160"/>
      <c r="DBT20" s="160"/>
      <c r="DBU20" s="160"/>
      <c r="DBV20" s="160"/>
      <c r="DBW20" s="160"/>
      <c r="DBX20" s="160"/>
      <c r="DBY20" s="160"/>
      <c r="DBZ20" s="160"/>
      <c r="DCA20" s="160"/>
      <c r="DCB20" s="160"/>
      <c r="DCC20" s="160"/>
      <c r="DCD20" s="160"/>
      <c r="DCE20" s="160"/>
      <c r="DCF20" s="160"/>
      <c r="DCG20" s="160"/>
      <c r="DCH20" s="160"/>
      <c r="DCI20" s="160"/>
      <c r="DCJ20" s="160"/>
      <c r="DCK20" s="160"/>
      <c r="DCL20" s="160"/>
      <c r="DCM20" s="160"/>
      <c r="DCN20" s="160"/>
      <c r="DCO20" s="160"/>
      <c r="DCP20" s="160"/>
      <c r="DCQ20" s="160"/>
      <c r="DCR20" s="160"/>
      <c r="DCS20" s="160"/>
      <c r="DCT20" s="160"/>
      <c r="DCU20" s="160"/>
      <c r="DCV20" s="160"/>
      <c r="DCW20" s="160"/>
      <c r="DCX20" s="160"/>
      <c r="DCY20" s="160"/>
      <c r="DCZ20" s="160"/>
      <c r="DDA20" s="160"/>
      <c r="DDB20" s="160"/>
      <c r="DDC20" s="160"/>
      <c r="DDD20" s="160"/>
      <c r="DDE20" s="160"/>
      <c r="DDF20" s="160"/>
      <c r="DDG20" s="160"/>
      <c r="DDH20" s="160"/>
      <c r="DDI20" s="160"/>
      <c r="DDJ20" s="160"/>
      <c r="DDK20" s="160"/>
      <c r="DDL20" s="160"/>
      <c r="DDM20" s="160"/>
      <c r="DDN20" s="160"/>
      <c r="DDO20" s="160"/>
      <c r="DDP20" s="160"/>
      <c r="DDQ20" s="160"/>
      <c r="DDR20" s="160"/>
      <c r="DDS20" s="160"/>
      <c r="DDT20" s="160"/>
      <c r="DDU20" s="160"/>
      <c r="DDV20" s="160"/>
      <c r="DDW20" s="160"/>
      <c r="DDX20" s="160"/>
      <c r="DDY20" s="160"/>
      <c r="DDZ20" s="160"/>
      <c r="DEA20" s="160"/>
      <c r="DEB20" s="160"/>
      <c r="DEC20" s="160"/>
      <c r="DED20" s="160"/>
      <c r="DEE20" s="160"/>
      <c r="DEF20" s="160"/>
      <c r="DEG20" s="160"/>
      <c r="DEH20" s="160"/>
      <c r="DEI20" s="160"/>
      <c r="DEJ20" s="160"/>
      <c r="DEK20" s="160"/>
      <c r="DEL20" s="160"/>
      <c r="DEM20" s="160"/>
      <c r="DEN20" s="160"/>
      <c r="DEO20" s="160"/>
      <c r="DEP20" s="160"/>
      <c r="DEQ20" s="160"/>
      <c r="DER20" s="160"/>
      <c r="DES20" s="160"/>
      <c r="DET20" s="160"/>
      <c r="DEU20" s="160"/>
      <c r="DEV20" s="160"/>
      <c r="DEW20" s="160"/>
      <c r="DEX20" s="160"/>
      <c r="DEY20" s="160"/>
      <c r="DEZ20" s="160"/>
      <c r="DFA20" s="160"/>
      <c r="DFB20" s="160"/>
      <c r="DFC20" s="160"/>
      <c r="DFD20" s="160"/>
      <c r="DFE20" s="160"/>
      <c r="DFF20" s="160"/>
      <c r="DFG20" s="160"/>
      <c r="DFH20" s="160"/>
      <c r="DFI20" s="160"/>
      <c r="DFJ20" s="160"/>
      <c r="DFK20" s="160"/>
      <c r="DFL20" s="160"/>
      <c r="DFM20" s="160"/>
      <c r="DFN20" s="160"/>
      <c r="DFO20" s="160"/>
      <c r="DFP20" s="160"/>
      <c r="DFQ20" s="160"/>
      <c r="DFR20" s="160"/>
      <c r="DFS20" s="160"/>
      <c r="DFT20" s="160"/>
      <c r="DFU20" s="160"/>
      <c r="DFV20" s="160"/>
      <c r="DFW20" s="160"/>
      <c r="DFX20" s="160"/>
      <c r="DFY20" s="160"/>
      <c r="DFZ20" s="160"/>
      <c r="DGA20" s="160"/>
      <c r="DGB20" s="160"/>
      <c r="DGC20" s="160"/>
      <c r="DGD20" s="160"/>
      <c r="DGE20" s="160"/>
      <c r="DGF20" s="160"/>
      <c r="DGG20" s="160"/>
      <c r="DGH20" s="160"/>
      <c r="DGI20" s="160"/>
      <c r="DGJ20" s="160"/>
      <c r="DGK20" s="160"/>
      <c r="DGL20" s="160"/>
      <c r="DGM20" s="160"/>
      <c r="DGN20" s="160"/>
      <c r="DGO20" s="160"/>
      <c r="DGP20" s="160"/>
      <c r="DGQ20" s="160"/>
      <c r="DGR20" s="160"/>
      <c r="DGS20" s="160"/>
      <c r="DGT20" s="160"/>
      <c r="DGU20" s="160"/>
      <c r="DGV20" s="160"/>
      <c r="DGW20" s="160"/>
      <c r="DGX20" s="160"/>
      <c r="DGY20" s="160"/>
      <c r="DGZ20" s="160"/>
      <c r="DHA20" s="160"/>
      <c r="DHB20" s="160"/>
      <c r="DHC20" s="160"/>
      <c r="DHD20" s="160"/>
      <c r="DHE20" s="160"/>
      <c r="DHF20" s="160"/>
      <c r="DHG20" s="160"/>
      <c r="DHH20" s="160"/>
      <c r="DHI20" s="160"/>
      <c r="DHJ20" s="160"/>
      <c r="DHK20" s="160"/>
      <c r="DHL20" s="160"/>
      <c r="DHM20" s="160"/>
      <c r="DHN20" s="160"/>
      <c r="DHO20" s="160"/>
      <c r="DHP20" s="160"/>
      <c r="DHQ20" s="160"/>
      <c r="DHR20" s="160"/>
      <c r="DHS20" s="160"/>
      <c r="DHT20" s="160"/>
      <c r="DHU20" s="160"/>
      <c r="DHV20" s="160"/>
      <c r="DHW20" s="160"/>
      <c r="DHX20" s="160"/>
      <c r="DHY20" s="160"/>
      <c r="DHZ20" s="160"/>
      <c r="DIA20" s="160"/>
      <c r="DIB20" s="160"/>
      <c r="DIC20" s="160"/>
      <c r="DID20" s="160"/>
      <c r="DIE20" s="160"/>
      <c r="DIF20" s="160"/>
      <c r="DIG20" s="160"/>
      <c r="DIH20" s="160"/>
      <c r="DII20" s="160"/>
      <c r="DIJ20" s="160"/>
      <c r="DIK20" s="160"/>
      <c r="DIL20" s="160"/>
      <c r="DIM20" s="160"/>
      <c r="DIN20" s="160"/>
      <c r="DIO20" s="160"/>
      <c r="DIP20" s="160"/>
      <c r="DIQ20" s="160"/>
      <c r="DIR20" s="160"/>
      <c r="DIS20" s="160"/>
      <c r="DIT20" s="160"/>
      <c r="DIU20" s="160"/>
      <c r="DIV20" s="160"/>
      <c r="DIW20" s="160"/>
      <c r="DIX20" s="160"/>
      <c r="DIY20" s="160"/>
      <c r="DIZ20" s="160"/>
      <c r="DJA20" s="160"/>
      <c r="DJB20" s="160"/>
      <c r="DJC20" s="160"/>
      <c r="DJD20" s="160"/>
      <c r="DJE20" s="160"/>
      <c r="DJF20" s="160"/>
      <c r="DJG20" s="160"/>
      <c r="DJH20" s="160"/>
      <c r="DJI20" s="160"/>
      <c r="DJJ20" s="160"/>
      <c r="DJK20" s="160"/>
      <c r="DJL20" s="160"/>
      <c r="DJM20" s="160"/>
      <c r="DJN20" s="160"/>
      <c r="DJO20" s="160"/>
      <c r="DJP20" s="160"/>
      <c r="DJQ20" s="160"/>
      <c r="DJR20" s="160"/>
      <c r="DJS20" s="160"/>
      <c r="DJT20" s="160"/>
      <c r="DJU20" s="160"/>
      <c r="DJV20" s="160"/>
      <c r="DJW20" s="160"/>
      <c r="DJX20" s="160"/>
      <c r="DJY20" s="160"/>
      <c r="DJZ20" s="160"/>
      <c r="DKA20" s="160"/>
      <c r="DKB20" s="160"/>
      <c r="DKC20" s="160"/>
      <c r="DKD20" s="160"/>
      <c r="DKE20" s="160"/>
      <c r="DKF20" s="160"/>
      <c r="DKG20" s="160"/>
      <c r="DKH20" s="160"/>
      <c r="DKI20" s="160"/>
      <c r="DKJ20" s="160"/>
      <c r="DKK20" s="160"/>
      <c r="DKL20" s="160"/>
      <c r="DKM20" s="160"/>
      <c r="DKN20" s="160"/>
      <c r="DKO20" s="160"/>
      <c r="DKP20" s="160"/>
      <c r="DKQ20" s="160"/>
      <c r="DKR20" s="160"/>
      <c r="DKS20" s="160"/>
      <c r="DKT20" s="160"/>
      <c r="DKU20" s="160"/>
      <c r="DKV20" s="160"/>
      <c r="DKW20" s="160"/>
      <c r="DKX20" s="160"/>
      <c r="DKY20" s="160"/>
      <c r="DKZ20" s="160"/>
      <c r="DLA20" s="160"/>
      <c r="DLB20" s="160"/>
      <c r="DLC20" s="160"/>
      <c r="DLD20" s="160"/>
      <c r="DLE20" s="160"/>
      <c r="DLF20" s="160"/>
      <c r="DLG20" s="160"/>
      <c r="DLH20" s="160"/>
      <c r="DLI20" s="160"/>
      <c r="DLJ20" s="160"/>
      <c r="DLK20" s="160"/>
      <c r="DLL20" s="160"/>
      <c r="DLM20" s="160"/>
      <c r="DLN20" s="160"/>
      <c r="DLO20" s="160"/>
      <c r="DLP20" s="160"/>
      <c r="DLQ20" s="160"/>
      <c r="DLR20" s="160"/>
      <c r="DLS20" s="160"/>
      <c r="DLT20" s="160"/>
      <c r="DLU20" s="160"/>
      <c r="DLV20" s="160"/>
      <c r="DLW20" s="160"/>
      <c r="DLX20" s="160"/>
      <c r="DLY20" s="160"/>
      <c r="DLZ20" s="160"/>
      <c r="DMA20" s="160"/>
      <c r="DMB20" s="160"/>
      <c r="DMC20" s="160"/>
      <c r="DMD20" s="160"/>
      <c r="DME20" s="160"/>
      <c r="DMF20" s="160"/>
      <c r="DMG20" s="160"/>
      <c r="DMH20" s="160"/>
      <c r="DMI20" s="160"/>
      <c r="DMJ20" s="160"/>
      <c r="DMK20" s="160"/>
      <c r="DML20" s="160"/>
      <c r="DMM20" s="160"/>
      <c r="DMN20" s="160"/>
      <c r="DMO20" s="160"/>
      <c r="DMP20" s="160"/>
      <c r="DMQ20" s="160"/>
      <c r="DMR20" s="160"/>
      <c r="DMS20" s="160"/>
      <c r="DMT20" s="160"/>
      <c r="DMU20" s="160"/>
      <c r="DMV20" s="160"/>
      <c r="DMW20" s="160"/>
      <c r="DMX20" s="160"/>
      <c r="DMY20" s="160"/>
      <c r="DMZ20" s="160"/>
      <c r="DNA20" s="160"/>
      <c r="DNB20" s="160"/>
      <c r="DNC20" s="160"/>
      <c r="DND20" s="160"/>
      <c r="DNE20" s="160"/>
      <c r="DNF20" s="160"/>
      <c r="DNG20" s="160"/>
      <c r="DNH20" s="160"/>
      <c r="DNI20" s="160"/>
      <c r="DNJ20" s="160"/>
      <c r="DNK20" s="160"/>
      <c r="DNL20" s="160"/>
      <c r="DNM20" s="160"/>
      <c r="DNN20" s="160"/>
      <c r="DNO20" s="160"/>
      <c r="DNP20" s="160"/>
      <c r="DNQ20" s="160"/>
      <c r="DNR20" s="160"/>
      <c r="DNS20" s="160"/>
      <c r="DNT20" s="160"/>
      <c r="DNU20" s="160"/>
      <c r="DNV20" s="160"/>
      <c r="DNW20" s="160"/>
      <c r="DNX20" s="160"/>
      <c r="DNY20" s="160"/>
      <c r="DNZ20" s="160"/>
      <c r="DOA20" s="160"/>
      <c r="DOB20" s="160"/>
      <c r="DOC20" s="160"/>
      <c r="DOD20" s="160"/>
      <c r="DOE20" s="160"/>
      <c r="DOF20" s="160"/>
      <c r="DOG20" s="160"/>
      <c r="DOH20" s="160"/>
      <c r="DOI20" s="160"/>
      <c r="DOJ20" s="160"/>
      <c r="DOK20" s="160"/>
      <c r="DOL20" s="160"/>
      <c r="DOM20" s="160"/>
      <c r="DON20" s="160"/>
      <c r="DOO20" s="160"/>
      <c r="DOP20" s="160"/>
      <c r="DOQ20" s="160"/>
      <c r="DOR20" s="160"/>
      <c r="DOS20" s="160"/>
      <c r="DOT20" s="160"/>
      <c r="DOU20" s="160"/>
      <c r="DOV20" s="160"/>
      <c r="DOW20" s="160"/>
      <c r="DOX20" s="160"/>
      <c r="DOY20" s="160"/>
      <c r="DOZ20" s="160"/>
      <c r="DPA20" s="160"/>
      <c r="DPB20" s="160"/>
      <c r="DPC20" s="160"/>
      <c r="DPD20" s="160"/>
      <c r="DPE20" s="160"/>
      <c r="DPF20" s="160"/>
      <c r="DPG20" s="160"/>
      <c r="DPH20" s="160"/>
      <c r="DPI20" s="160"/>
      <c r="DPJ20" s="160"/>
      <c r="DPK20" s="160"/>
      <c r="DPL20" s="160"/>
      <c r="DPM20" s="160"/>
      <c r="DPN20" s="160"/>
      <c r="DPO20" s="160"/>
      <c r="DPP20" s="160"/>
      <c r="DPQ20" s="160"/>
      <c r="DPR20" s="160"/>
      <c r="DPS20" s="160"/>
      <c r="DPT20" s="160"/>
      <c r="DPU20" s="160"/>
      <c r="DPV20" s="160"/>
      <c r="DPW20" s="160"/>
      <c r="DPX20" s="160"/>
      <c r="DPY20" s="160"/>
      <c r="DPZ20" s="160"/>
      <c r="DQA20" s="160"/>
      <c r="DQB20" s="160"/>
      <c r="DQC20" s="160"/>
      <c r="DQD20" s="160"/>
      <c r="DQE20" s="160"/>
      <c r="DQF20" s="160"/>
      <c r="DQG20" s="160"/>
      <c r="DQH20" s="160"/>
      <c r="DQI20" s="160"/>
      <c r="DQJ20" s="160"/>
      <c r="DQK20" s="160"/>
      <c r="DQL20" s="160"/>
      <c r="DQM20" s="160"/>
      <c r="DQN20" s="160"/>
      <c r="DQO20" s="160"/>
      <c r="DQP20" s="160"/>
      <c r="DQQ20" s="160"/>
      <c r="DQR20" s="160"/>
      <c r="DQS20" s="160"/>
      <c r="DQT20" s="160"/>
      <c r="DQU20" s="160"/>
      <c r="DQV20" s="160"/>
      <c r="DQW20" s="160"/>
      <c r="DQX20" s="160"/>
      <c r="DQY20" s="160"/>
      <c r="DQZ20" s="160"/>
      <c r="DRA20" s="160"/>
      <c r="DRB20" s="160"/>
      <c r="DRC20" s="160"/>
      <c r="DRD20" s="160"/>
      <c r="DRE20" s="160"/>
      <c r="DRF20" s="160"/>
      <c r="DRG20" s="160"/>
      <c r="DRH20" s="160"/>
      <c r="DRI20" s="160"/>
      <c r="DRJ20" s="160"/>
      <c r="DRK20" s="160"/>
      <c r="DRL20" s="160"/>
      <c r="DRM20" s="160"/>
      <c r="DRN20" s="160"/>
      <c r="DRO20" s="160"/>
      <c r="DRP20" s="160"/>
      <c r="DRQ20" s="160"/>
      <c r="DRR20" s="160"/>
      <c r="DRS20" s="160"/>
      <c r="DRT20" s="160"/>
      <c r="DRU20" s="160"/>
      <c r="DRV20" s="160"/>
      <c r="DRW20" s="160"/>
      <c r="DRX20" s="160"/>
      <c r="DRY20" s="160"/>
      <c r="DRZ20" s="160"/>
      <c r="DSA20" s="160"/>
      <c r="DSB20" s="160"/>
      <c r="DSC20" s="160"/>
      <c r="DSD20" s="160"/>
      <c r="DSE20" s="160"/>
      <c r="DSF20" s="160"/>
      <c r="DSG20" s="160"/>
      <c r="DSH20" s="160"/>
      <c r="DSI20" s="160"/>
      <c r="DSJ20" s="160"/>
      <c r="DSK20" s="160"/>
      <c r="DSL20" s="160"/>
      <c r="DSM20" s="160"/>
      <c r="DSN20" s="160"/>
      <c r="DSO20" s="160"/>
      <c r="DSP20" s="160"/>
      <c r="DSQ20" s="160"/>
      <c r="DSR20" s="160"/>
      <c r="DSS20" s="160"/>
      <c r="DST20" s="160"/>
      <c r="DSU20" s="160"/>
      <c r="DSV20" s="160"/>
      <c r="DSW20" s="160"/>
      <c r="DSX20" s="160"/>
      <c r="DSY20" s="160"/>
      <c r="DSZ20" s="160"/>
      <c r="DTA20" s="160"/>
      <c r="DTB20" s="160"/>
      <c r="DTC20" s="160"/>
      <c r="DTD20" s="160"/>
      <c r="DTE20" s="160"/>
      <c r="DTF20" s="160"/>
      <c r="DTG20" s="160"/>
      <c r="DTH20" s="160"/>
      <c r="DTI20" s="160"/>
      <c r="DTJ20" s="160"/>
      <c r="DTK20" s="160"/>
      <c r="DTL20" s="160"/>
      <c r="DTM20" s="160"/>
      <c r="DTN20" s="160"/>
      <c r="DTO20" s="160"/>
      <c r="DTP20" s="160"/>
      <c r="DTQ20" s="160"/>
      <c r="DTR20" s="160"/>
      <c r="DTS20" s="160"/>
      <c r="DTT20" s="160"/>
      <c r="DTU20" s="160"/>
      <c r="DTV20" s="160"/>
      <c r="DTW20" s="160"/>
      <c r="DTX20" s="160"/>
      <c r="DTY20" s="160"/>
      <c r="DTZ20" s="160"/>
      <c r="DUA20" s="160"/>
      <c r="DUB20" s="160"/>
      <c r="DUC20" s="160"/>
      <c r="DUD20" s="160"/>
      <c r="DUE20" s="160"/>
      <c r="DUF20" s="160"/>
      <c r="DUG20" s="160"/>
      <c r="DUH20" s="160"/>
      <c r="DUI20" s="160"/>
      <c r="DUJ20" s="160"/>
      <c r="DUK20" s="160"/>
      <c r="DUL20" s="160"/>
      <c r="DUM20" s="160"/>
      <c r="DUN20" s="160"/>
      <c r="DUO20" s="160"/>
      <c r="DUP20" s="160"/>
      <c r="DUQ20" s="160"/>
      <c r="DUR20" s="160"/>
      <c r="DUS20" s="160"/>
      <c r="DUT20" s="160"/>
      <c r="DUU20" s="160"/>
      <c r="DUV20" s="160"/>
      <c r="DUW20" s="160"/>
      <c r="DUX20" s="160"/>
      <c r="DUY20" s="160"/>
      <c r="DUZ20" s="160"/>
      <c r="DVA20" s="160"/>
      <c r="DVB20" s="160"/>
      <c r="DVC20" s="160"/>
      <c r="DVD20" s="160"/>
      <c r="DVE20" s="160"/>
      <c r="DVF20" s="160"/>
      <c r="DVG20" s="160"/>
      <c r="DVH20" s="160"/>
      <c r="DVI20" s="160"/>
      <c r="DVJ20" s="160"/>
      <c r="DVK20" s="160"/>
      <c r="DVL20" s="160"/>
      <c r="DVM20" s="160"/>
      <c r="DVN20" s="160"/>
      <c r="DVO20" s="160"/>
      <c r="DVP20" s="160"/>
      <c r="DVQ20" s="160"/>
      <c r="DVR20" s="160"/>
      <c r="DVS20" s="160"/>
      <c r="DVT20" s="160"/>
      <c r="DVU20" s="160"/>
      <c r="DVV20" s="160"/>
      <c r="DVW20" s="160"/>
      <c r="DVX20" s="160"/>
      <c r="DVY20" s="160"/>
      <c r="DVZ20" s="160"/>
      <c r="DWA20" s="160"/>
      <c r="DWB20" s="160"/>
      <c r="DWC20" s="160"/>
      <c r="DWD20" s="160"/>
      <c r="DWE20" s="160"/>
      <c r="DWF20" s="160"/>
      <c r="DWG20" s="160"/>
      <c r="DWH20" s="160"/>
      <c r="DWI20" s="160"/>
      <c r="DWJ20" s="160"/>
      <c r="DWK20" s="160"/>
      <c r="DWL20" s="160"/>
      <c r="DWM20" s="160"/>
      <c r="DWN20" s="160"/>
      <c r="DWO20" s="160"/>
      <c r="DWP20" s="160"/>
      <c r="DWQ20" s="160"/>
      <c r="DWR20" s="160"/>
      <c r="DWS20" s="160"/>
      <c r="DWT20" s="160"/>
      <c r="DWU20" s="160"/>
      <c r="DWV20" s="160"/>
      <c r="DWW20" s="160"/>
      <c r="DWX20" s="160"/>
      <c r="DWY20" s="160"/>
      <c r="DWZ20" s="160"/>
      <c r="DXA20" s="160"/>
      <c r="DXB20" s="160"/>
      <c r="DXC20" s="160"/>
      <c r="DXD20" s="160"/>
      <c r="DXE20" s="160"/>
      <c r="DXF20" s="160"/>
      <c r="DXG20" s="160"/>
      <c r="DXH20" s="160"/>
      <c r="DXI20" s="160"/>
      <c r="DXJ20" s="160"/>
      <c r="DXK20" s="160"/>
      <c r="DXL20" s="160"/>
      <c r="DXM20" s="160"/>
      <c r="DXN20" s="160"/>
      <c r="DXO20" s="160"/>
      <c r="DXP20" s="160"/>
      <c r="DXQ20" s="160"/>
      <c r="DXR20" s="160"/>
      <c r="DXS20" s="160"/>
      <c r="DXT20" s="160"/>
      <c r="DXU20" s="160"/>
      <c r="DXV20" s="160"/>
      <c r="DXW20" s="160"/>
      <c r="DXX20" s="160"/>
      <c r="DXY20" s="160"/>
      <c r="DXZ20" s="160"/>
      <c r="DYA20" s="160"/>
      <c r="DYB20" s="160"/>
      <c r="DYC20" s="160"/>
      <c r="DYD20" s="160"/>
      <c r="DYE20" s="160"/>
      <c r="DYF20" s="160"/>
      <c r="DYG20" s="160"/>
      <c r="DYH20" s="160"/>
      <c r="DYI20" s="160"/>
      <c r="DYJ20" s="160"/>
      <c r="DYK20" s="160"/>
      <c r="DYL20" s="160"/>
      <c r="DYM20" s="160"/>
      <c r="DYN20" s="160"/>
      <c r="DYO20" s="160"/>
      <c r="DYP20" s="160"/>
      <c r="DYQ20" s="160"/>
      <c r="DYR20" s="160"/>
      <c r="DYS20" s="160"/>
      <c r="DYT20" s="160"/>
      <c r="DYU20" s="160"/>
      <c r="DYV20" s="160"/>
      <c r="DYW20" s="160"/>
      <c r="DYX20" s="160"/>
      <c r="DYY20" s="160"/>
      <c r="DYZ20" s="160"/>
      <c r="DZA20" s="160"/>
      <c r="DZB20" s="160"/>
      <c r="DZC20" s="160"/>
      <c r="DZD20" s="160"/>
      <c r="DZE20" s="160"/>
      <c r="DZF20" s="160"/>
      <c r="DZG20" s="160"/>
      <c r="DZH20" s="160"/>
      <c r="DZI20" s="160"/>
      <c r="DZJ20" s="160"/>
      <c r="DZK20" s="160"/>
      <c r="DZL20" s="160"/>
      <c r="DZM20" s="160"/>
      <c r="DZN20" s="160"/>
      <c r="DZO20" s="160"/>
      <c r="DZP20" s="160"/>
      <c r="DZQ20" s="160"/>
      <c r="DZR20" s="160"/>
      <c r="DZS20" s="160"/>
      <c r="DZT20" s="160"/>
      <c r="DZU20" s="160"/>
      <c r="DZV20" s="160"/>
      <c r="DZW20" s="160"/>
      <c r="DZX20" s="160"/>
      <c r="DZY20" s="160"/>
      <c r="DZZ20" s="160"/>
      <c r="EAA20" s="160"/>
      <c r="EAB20" s="160"/>
      <c r="EAC20" s="160"/>
      <c r="EAD20" s="160"/>
      <c r="EAE20" s="160"/>
      <c r="EAF20" s="160"/>
      <c r="EAG20" s="160"/>
      <c r="EAH20" s="160"/>
      <c r="EAI20" s="160"/>
      <c r="EAJ20" s="160"/>
      <c r="EAK20" s="160"/>
      <c r="EAL20" s="160"/>
      <c r="EAM20" s="160"/>
      <c r="EAN20" s="160"/>
      <c r="EAO20" s="160"/>
      <c r="EAP20" s="160"/>
      <c r="EAQ20" s="160"/>
      <c r="EAR20" s="160"/>
      <c r="EAS20" s="160"/>
      <c r="EAT20" s="160"/>
      <c r="EAU20" s="160"/>
      <c r="EAV20" s="160"/>
      <c r="EAW20" s="160"/>
      <c r="EAX20" s="160"/>
      <c r="EAY20" s="160"/>
      <c r="EAZ20" s="160"/>
      <c r="EBA20" s="160"/>
      <c r="EBB20" s="160"/>
      <c r="EBC20" s="160"/>
      <c r="EBD20" s="160"/>
      <c r="EBE20" s="160"/>
      <c r="EBF20" s="160"/>
      <c r="EBG20" s="160"/>
      <c r="EBH20" s="160"/>
      <c r="EBI20" s="160"/>
      <c r="EBJ20" s="160"/>
      <c r="EBK20" s="160"/>
      <c r="EBL20" s="160"/>
      <c r="EBM20" s="160"/>
      <c r="EBN20" s="160"/>
      <c r="EBO20" s="160"/>
      <c r="EBP20" s="160"/>
      <c r="EBQ20" s="160"/>
      <c r="EBR20" s="160"/>
      <c r="EBS20" s="160"/>
      <c r="EBT20" s="160"/>
      <c r="EBU20" s="160"/>
      <c r="EBV20" s="160"/>
      <c r="EBW20" s="160"/>
      <c r="EBX20" s="160"/>
      <c r="EBY20" s="160"/>
      <c r="EBZ20" s="160"/>
      <c r="ECA20" s="160"/>
      <c r="ECB20" s="160"/>
      <c r="ECC20" s="160"/>
      <c r="ECD20" s="160"/>
      <c r="ECE20" s="160"/>
      <c r="ECF20" s="160"/>
      <c r="ECG20" s="160"/>
      <c r="ECH20" s="160"/>
      <c r="ECI20" s="160"/>
      <c r="ECJ20" s="160"/>
      <c r="ECK20" s="160"/>
      <c r="ECL20" s="160"/>
      <c r="ECM20" s="160"/>
      <c r="ECN20" s="160"/>
      <c r="ECO20" s="160"/>
      <c r="ECP20" s="160"/>
      <c r="ECQ20" s="160"/>
      <c r="ECR20" s="160"/>
      <c r="ECS20" s="160"/>
      <c r="ECT20" s="160"/>
      <c r="ECU20" s="160"/>
      <c r="ECV20" s="160"/>
      <c r="ECW20" s="160"/>
      <c r="ECX20" s="160"/>
      <c r="ECY20" s="160"/>
      <c r="ECZ20" s="160"/>
      <c r="EDA20" s="160"/>
      <c r="EDB20" s="160"/>
      <c r="EDC20" s="160"/>
      <c r="EDD20" s="160"/>
      <c r="EDE20" s="160"/>
      <c r="EDF20" s="160"/>
      <c r="EDG20" s="160"/>
      <c r="EDH20" s="160"/>
      <c r="EDI20" s="160"/>
      <c r="EDJ20" s="160"/>
      <c r="EDK20" s="160"/>
      <c r="EDL20" s="160"/>
      <c r="EDM20" s="160"/>
      <c r="EDN20" s="160"/>
      <c r="EDO20" s="160"/>
      <c r="EDP20" s="160"/>
      <c r="EDQ20" s="160"/>
      <c r="EDR20" s="160"/>
      <c r="EDS20" s="160"/>
      <c r="EDT20" s="160"/>
      <c r="EDU20" s="160"/>
      <c r="EDV20" s="160"/>
      <c r="EDW20" s="160"/>
      <c r="EDX20" s="160"/>
      <c r="EDY20" s="160"/>
      <c r="EDZ20" s="160"/>
      <c r="EEA20" s="160"/>
      <c r="EEB20" s="160"/>
      <c r="EEC20" s="160"/>
      <c r="EED20" s="160"/>
      <c r="EEE20" s="160"/>
      <c r="EEF20" s="160"/>
      <c r="EEG20" s="160"/>
      <c r="EEH20" s="160"/>
      <c r="EEI20" s="160"/>
      <c r="EEJ20" s="160"/>
      <c r="EEK20" s="160"/>
      <c r="EEL20" s="160"/>
      <c r="EEM20" s="160"/>
      <c r="EEN20" s="160"/>
      <c r="EEO20" s="160"/>
      <c r="EEP20" s="160"/>
      <c r="EEQ20" s="160"/>
      <c r="EER20" s="160"/>
      <c r="EES20" s="160"/>
      <c r="EET20" s="160"/>
      <c r="EEU20" s="160"/>
      <c r="EEV20" s="160"/>
      <c r="EEW20" s="160"/>
      <c r="EEX20" s="160"/>
      <c r="EEY20" s="160"/>
      <c r="EEZ20" s="160"/>
      <c r="EFA20" s="160"/>
      <c r="EFB20" s="160"/>
      <c r="EFC20" s="160"/>
      <c r="EFD20" s="160"/>
      <c r="EFE20" s="160"/>
      <c r="EFF20" s="160"/>
      <c r="EFG20" s="160"/>
      <c r="EFH20" s="160"/>
      <c r="EFI20" s="160"/>
      <c r="EFJ20" s="160"/>
      <c r="EFK20" s="160"/>
      <c r="EFL20" s="160"/>
      <c r="EFM20" s="160"/>
      <c r="EFN20" s="160"/>
      <c r="EFO20" s="160"/>
      <c r="EFP20" s="160"/>
      <c r="EFQ20" s="160"/>
      <c r="EFR20" s="160"/>
      <c r="EFS20" s="160"/>
      <c r="EFT20" s="160"/>
      <c r="EFU20" s="160"/>
      <c r="EFV20" s="160"/>
      <c r="EFW20" s="160"/>
      <c r="EFX20" s="160"/>
      <c r="EFY20" s="160"/>
      <c r="EFZ20" s="160"/>
      <c r="EGA20" s="160"/>
      <c r="EGB20" s="160"/>
      <c r="EGC20" s="160"/>
      <c r="EGD20" s="160"/>
      <c r="EGE20" s="160"/>
      <c r="EGF20" s="160"/>
      <c r="EGG20" s="160"/>
      <c r="EGH20" s="160"/>
      <c r="EGI20" s="160"/>
      <c r="EGJ20" s="160"/>
      <c r="EGK20" s="160"/>
      <c r="EGL20" s="160"/>
      <c r="EGM20" s="160"/>
      <c r="EGN20" s="160"/>
      <c r="EGO20" s="160"/>
      <c r="EGP20" s="160"/>
      <c r="EGQ20" s="160"/>
      <c r="EGR20" s="160"/>
      <c r="EGS20" s="160"/>
      <c r="EGT20" s="160"/>
      <c r="EGU20" s="160"/>
      <c r="EGV20" s="160"/>
      <c r="EGW20" s="160"/>
      <c r="EGX20" s="160"/>
      <c r="EGY20" s="160"/>
      <c r="EGZ20" s="160"/>
      <c r="EHA20" s="160"/>
      <c r="EHB20" s="160"/>
      <c r="EHC20" s="160"/>
      <c r="EHD20" s="160"/>
      <c r="EHE20" s="160"/>
      <c r="EHF20" s="160"/>
      <c r="EHG20" s="160"/>
      <c r="EHH20" s="160"/>
      <c r="EHI20" s="160"/>
      <c r="EHJ20" s="160"/>
      <c r="EHK20" s="160"/>
      <c r="EHL20" s="160"/>
      <c r="EHM20" s="160"/>
      <c r="EHN20" s="160"/>
      <c r="EHO20" s="160"/>
      <c r="EHP20" s="160"/>
      <c r="EHQ20" s="160"/>
      <c r="EHR20" s="160"/>
      <c r="EHS20" s="160"/>
      <c r="EHT20" s="160"/>
      <c r="EHU20" s="160"/>
      <c r="EHV20" s="160"/>
      <c r="EHW20" s="160"/>
      <c r="EHX20" s="160"/>
      <c r="EHY20" s="160"/>
      <c r="EHZ20" s="160"/>
      <c r="EIA20" s="160"/>
      <c r="EIB20" s="160"/>
      <c r="EIC20" s="160"/>
      <c r="EID20" s="160"/>
      <c r="EIE20" s="160"/>
      <c r="EIF20" s="160"/>
      <c r="EIG20" s="160"/>
      <c r="EIH20" s="160"/>
      <c r="EII20" s="160"/>
      <c r="EIJ20" s="160"/>
      <c r="EIK20" s="160"/>
      <c r="EIL20" s="160"/>
      <c r="EIM20" s="160"/>
      <c r="EIN20" s="160"/>
      <c r="EIO20" s="160"/>
      <c r="EIP20" s="160"/>
      <c r="EIQ20" s="160"/>
      <c r="EIR20" s="160"/>
      <c r="EIS20" s="160"/>
      <c r="EIT20" s="160"/>
      <c r="EIU20" s="160"/>
      <c r="EIV20" s="160"/>
      <c r="EIW20" s="160"/>
      <c r="EIX20" s="160"/>
      <c r="EIY20" s="160"/>
      <c r="EIZ20" s="160"/>
      <c r="EJA20" s="160"/>
      <c r="EJB20" s="160"/>
      <c r="EJC20" s="160"/>
      <c r="EJD20" s="160"/>
      <c r="EJE20" s="160"/>
      <c r="EJF20" s="160"/>
      <c r="EJG20" s="160"/>
      <c r="EJH20" s="160"/>
      <c r="EJI20" s="160"/>
      <c r="EJJ20" s="160"/>
      <c r="EJK20" s="160"/>
      <c r="EJL20" s="160"/>
      <c r="EJM20" s="160"/>
      <c r="EJN20" s="160"/>
      <c r="EJO20" s="160"/>
      <c r="EJP20" s="160"/>
      <c r="EJQ20" s="160"/>
      <c r="EJR20" s="160"/>
      <c r="EJS20" s="160"/>
      <c r="EJT20" s="160"/>
      <c r="EJU20" s="160"/>
      <c r="EJV20" s="160"/>
      <c r="EJW20" s="160"/>
      <c r="EJX20" s="160"/>
      <c r="EJY20" s="160"/>
      <c r="EJZ20" s="160"/>
      <c r="EKA20" s="160"/>
      <c r="EKB20" s="160"/>
      <c r="EKC20" s="160"/>
      <c r="EKD20" s="160"/>
      <c r="EKE20" s="160"/>
      <c r="EKF20" s="160"/>
      <c r="EKG20" s="160"/>
      <c r="EKH20" s="160"/>
      <c r="EKI20" s="160"/>
      <c r="EKJ20" s="160"/>
      <c r="EKK20" s="160"/>
      <c r="EKL20" s="160"/>
      <c r="EKM20" s="160"/>
      <c r="EKN20" s="160"/>
      <c r="EKO20" s="160"/>
      <c r="EKP20" s="160"/>
      <c r="EKQ20" s="160"/>
      <c r="EKR20" s="160"/>
      <c r="EKS20" s="160"/>
      <c r="EKT20" s="160"/>
      <c r="EKU20" s="160"/>
      <c r="EKV20" s="160"/>
      <c r="EKW20" s="160"/>
      <c r="EKX20" s="160"/>
      <c r="EKY20" s="160"/>
      <c r="EKZ20" s="160"/>
      <c r="ELA20" s="160"/>
      <c r="ELB20" s="160"/>
      <c r="ELC20" s="160"/>
      <c r="ELD20" s="160"/>
      <c r="ELE20" s="160"/>
      <c r="ELF20" s="160"/>
      <c r="ELG20" s="160"/>
      <c r="ELH20" s="160"/>
      <c r="ELI20" s="160"/>
      <c r="ELJ20" s="160"/>
      <c r="ELK20" s="160"/>
      <c r="ELL20" s="160"/>
      <c r="ELM20" s="160"/>
      <c r="ELN20" s="160"/>
      <c r="ELO20" s="160"/>
      <c r="ELP20" s="160"/>
      <c r="ELQ20" s="160"/>
      <c r="ELR20" s="160"/>
      <c r="ELS20" s="160"/>
      <c r="ELT20" s="160"/>
      <c r="ELU20" s="160"/>
      <c r="ELV20" s="160"/>
      <c r="ELW20" s="160"/>
      <c r="ELX20" s="160"/>
      <c r="ELY20" s="160"/>
      <c r="ELZ20" s="160"/>
      <c r="EMA20" s="160"/>
      <c r="EMB20" s="160"/>
      <c r="EMC20" s="160"/>
      <c r="EMD20" s="160"/>
      <c r="EME20" s="160"/>
      <c r="EMF20" s="160"/>
      <c r="EMG20" s="160"/>
      <c r="EMH20" s="160"/>
      <c r="EMI20" s="160"/>
      <c r="EMJ20" s="160"/>
      <c r="EMK20" s="160"/>
      <c r="EML20" s="160"/>
      <c r="EMM20" s="160"/>
      <c r="EMN20" s="160"/>
      <c r="EMO20" s="160"/>
      <c r="EMP20" s="160"/>
      <c r="EMQ20" s="160"/>
      <c r="EMR20" s="160"/>
      <c r="EMS20" s="160"/>
      <c r="EMT20" s="160"/>
      <c r="EMU20" s="160"/>
      <c r="EMV20" s="160"/>
      <c r="EMW20" s="160"/>
      <c r="EMX20" s="160"/>
      <c r="EMY20" s="160"/>
      <c r="EMZ20" s="160"/>
      <c r="ENA20" s="160"/>
      <c r="ENB20" s="160"/>
      <c r="ENC20" s="160"/>
      <c r="END20" s="160"/>
      <c r="ENE20" s="160"/>
      <c r="ENF20" s="160"/>
      <c r="ENG20" s="160"/>
      <c r="ENH20" s="160"/>
      <c r="ENI20" s="160"/>
      <c r="ENJ20" s="160"/>
      <c r="ENK20" s="160"/>
      <c r="ENL20" s="160"/>
      <c r="ENM20" s="160"/>
      <c r="ENN20" s="160"/>
      <c r="ENO20" s="160"/>
      <c r="ENP20" s="160"/>
      <c r="ENQ20" s="160"/>
      <c r="ENR20" s="160"/>
      <c r="ENS20" s="160"/>
      <c r="ENT20" s="160"/>
      <c r="ENU20" s="160"/>
      <c r="ENV20" s="160"/>
      <c r="ENW20" s="160"/>
      <c r="ENX20" s="160"/>
      <c r="ENY20" s="160"/>
      <c r="ENZ20" s="160"/>
      <c r="EOA20" s="160"/>
      <c r="EOB20" s="160"/>
      <c r="EOC20" s="160"/>
      <c r="EOD20" s="160"/>
      <c r="EOE20" s="160"/>
      <c r="EOF20" s="160"/>
      <c r="EOG20" s="160"/>
      <c r="EOH20" s="160"/>
      <c r="EOI20" s="160"/>
      <c r="EOJ20" s="160"/>
      <c r="EOK20" s="160"/>
      <c r="EOL20" s="160"/>
      <c r="EOM20" s="160"/>
      <c r="EON20" s="160"/>
      <c r="EOO20" s="160"/>
      <c r="EOP20" s="160"/>
      <c r="EOQ20" s="160"/>
      <c r="EOR20" s="160"/>
      <c r="EOS20" s="160"/>
      <c r="EOT20" s="160"/>
      <c r="EOU20" s="160"/>
      <c r="EOV20" s="160"/>
      <c r="EOW20" s="160"/>
      <c r="EOX20" s="160"/>
      <c r="EOY20" s="160"/>
      <c r="EOZ20" s="160"/>
      <c r="EPA20" s="160"/>
      <c r="EPB20" s="160"/>
      <c r="EPC20" s="160"/>
      <c r="EPD20" s="160"/>
      <c r="EPE20" s="160"/>
      <c r="EPF20" s="160"/>
      <c r="EPG20" s="160"/>
      <c r="EPH20" s="160"/>
      <c r="EPI20" s="160"/>
      <c r="EPJ20" s="160"/>
      <c r="EPK20" s="160"/>
      <c r="EPL20" s="160"/>
      <c r="EPM20" s="160"/>
      <c r="EPN20" s="160"/>
      <c r="EPO20" s="160"/>
      <c r="EPP20" s="160"/>
      <c r="EPQ20" s="160"/>
      <c r="EPR20" s="160"/>
      <c r="EPS20" s="160"/>
      <c r="EPT20" s="160"/>
      <c r="EPU20" s="160"/>
      <c r="EPV20" s="160"/>
      <c r="EPW20" s="160"/>
      <c r="EPX20" s="160"/>
      <c r="EPY20" s="160"/>
      <c r="EPZ20" s="160"/>
      <c r="EQA20" s="160"/>
      <c r="EQB20" s="160"/>
      <c r="EQC20" s="160"/>
      <c r="EQD20" s="160"/>
      <c r="EQE20" s="160"/>
      <c r="EQF20" s="160"/>
      <c r="EQG20" s="160"/>
      <c r="EQH20" s="160"/>
      <c r="EQI20" s="160"/>
      <c r="EQJ20" s="160"/>
      <c r="EQK20" s="160"/>
      <c r="EQL20" s="160"/>
      <c r="EQM20" s="160"/>
      <c r="EQN20" s="160"/>
      <c r="EQO20" s="160"/>
      <c r="EQP20" s="160"/>
      <c r="EQQ20" s="160"/>
      <c r="EQR20" s="160"/>
      <c r="EQS20" s="160"/>
      <c r="EQT20" s="160"/>
      <c r="EQU20" s="160"/>
      <c r="EQV20" s="160"/>
      <c r="EQW20" s="160"/>
      <c r="EQX20" s="160"/>
      <c r="EQY20" s="160"/>
      <c r="EQZ20" s="160"/>
      <c r="ERA20" s="160"/>
      <c r="ERB20" s="160"/>
      <c r="ERC20" s="160"/>
      <c r="ERD20" s="160"/>
      <c r="ERE20" s="160"/>
      <c r="ERF20" s="160"/>
      <c r="ERG20" s="160"/>
      <c r="ERH20" s="160"/>
      <c r="ERI20" s="160"/>
      <c r="ERJ20" s="160"/>
      <c r="ERK20" s="160"/>
      <c r="ERL20" s="160"/>
      <c r="ERM20" s="160"/>
      <c r="ERN20" s="160"/>
      <c r="ERO20" s="160"/>
      <c r="ERP20" s="160"/>
      <c r="ERQ20" s="160"/>
      <c r="ERR20" s="160"/>
      <c r="ERS20" s="160"/>
      <c r="ERT20" s="160"/>
      <c r="ERU20" s="160"/>
      <c r="ERV20" s="160"/>
      <c r="ERW20" s="160"/>
      <c r="ERX20" s="160"/>
      <c r="ERY20" s="160"/>
      <c r="ERZ20" s="160"/>
      <c r="ESA20" s="160"/>
      <c r="ESB20" s="160"/>
      <c r="ESC20" s="160"/>
      <c r="ESD20" s="160"/>
      <c r="ESE20" s="160"/>
      <c r="ESF20" s="160"/>
      <c r="ESG20" s="160"/>
      <c r="ESH20" s="160"/>
      <c r="ESI20" s="160"/>
      <c r="ESJ20" s="160"/>
      <c r="ESK20" s="160"/>
      <c r="ESL20" s="160"/>
      <c r="ESM20" s="160"/>
      <c r="ESN20" s="160"/>
      <c r="ESO20" s="160"/>
      <c r="ESP20" s="160"/>
      <c r="ESQ20" s="160"/>
      <c r="ESR20" s="160"/>
      <c r="ESS20" s="160"/>
      <c r="EST20" s="160"/>
      <c r="ESU20" s="160"/>
      <c r="ESV20" s="160"/>
      <c r="ESW20" s="160"/>
      <c r="ESX20" s="160"/>
      <c r="ESY20" s="160"/>
      <c r="ESZ20" s="160"/>
      <c r="ETA20" s="160"/>
      <c r="ETB20" s="160"/>
      <c r="ETC20" s="160"/>
      <c r="ETD20" s="160"/>
      <c r="ETE20" s="160"/>
      <c r="ETF20" s="160"/>
      <c r="ETG20" s="160"/>
      <c r="ETH20" s="160"/>
      <c r="ETI20" s="160"/>
      <c r="ETJ20" s="160"/>
      <c r="ETK20" s="160"/>
      <c r="ETL20" s="160"/>
      <c r="ETM20" s="160"/>
      <c r="ETN20" s="160"/>
      <c r="ETO20" s="160"/>
      <c r="ETP20" s="160"/>
      <c r="ETQ20" s="160"/>
      <c r="ETR20" s="160"/>
      <c r="ETS20" s="160"/>
      <c r="ETT20" s="160"/>
      <c r="ETU20" s="160"/>
      <c r="ETV20" s="160"/>
      <c r="ETW20" s="160"/>
      <c r="ETX20" s="160"/>
      <c r="ETY20" s="160"/>
      <c r="ETZ20" s="160"/>
      <c r="EUA20" s="160"/>
      <c r="EUB20" s="160"/>
      <c r="EUC20" s="160"/>
      <c r="EUD20" s="160"/>
      <c r="EUE20" s="160"/>
      <c r="EUF20" s="160"/>
      <c r="EUG20" s="160"/>
      <c r="EUH20" s="160"/>
      <c r="EUI20" s="160"/>
      <c r="EUJ20" s="160"/>
      <c r="EUK20" s="160"/>
      <c r="EUL20" s="160"/>
      <c r="EUM20" s="160"/>
      <c r="EUN20" s="160"/>
      <c r="EUO20" s="160"/>
      <c r="EUP20" s="160"/>
      <c r="EUQ20" s="160"/>
      <c r="EUR20" s="160"/>
      <c r="EUS20" s="160"/>
      <c r="EUT20" s="160"/>
      <c r="EUU20" s="160"/>
      <c r="EUV20" s="160"/>
      <c r="EUW20" s="160"/>
      <c r="EUX20" s="160"/>
      <c r="EUY20" s="160"/>
      <c r="EUZ20" s="160"/>
      <c r="EVA20" s="160"/>
      <c r="EVB20" s="160"/>
      <c r="EVC20" s="160"/>
      <c r="EVD20" s="160"/>
      <c r="EVE20" s="160"/>
      <c r="EVF20" s="160"/>
      <c r="EVG20" s="160"/>
      <c r="EVH20" s="160"/>
      <c r="EVI20" s="160"/>
      <c r="EVJ20" s="160"/>
      <c r="EVK20" s="160"/>
      <c r="EVL20" s="160"/>
      <c r="EVM20" s="160"/>
      <c r="EVN20" s="160"/>
      <c r="EVO20" s="160"/>
      <c r="EVP20" s="160"/>
      <c r="EVQ20" s="160"/>
      <c r="EVR20" s="160"/>
      <c r="EVS20" s="160"/>
      <c r="EVT20" s="160"/>
      <c r="EVU20" s="160"/>
      <c r="EVV20" s="160"/>
      <c r="EVW20" s="160"/>
      <c r="EVX20" s="160"/>
      <c r="EVY20" s="160"/>
      <c r="EVZ20" s="160"/>
      <c r="EWA20" s="160"/>
      <c r="EWB20" s="160"/>
      <c r="EWC20" s="160"/>
      <c r="EWD20" s="160"/>
      <c r="EWE20" s="160"/>
      <c r="EWF20" s="160"/>
      <c r="EWG20" s="160"/>
      <c r="EWH20" s="160"/>
      <c r="EWI20" s="160"/>
      <c r="EWJ20" s="160"/>
      <c r="EWK20" s="160"/>
      <c r="EWL20" s="160"/>
      <c r="EWM20" s="160"/>
      <c r="EWN20" s="160"/>
      <c r="EWO20" s="160"/>
      <c r="EWP20" s="160"/>
      <c r="EWQ20" s="160"/>
      <c r="EWR20" s="160"/>
      <c r="EWS20" s="160"/>
      <c r="EWT20" s="160"/>
      <c r="EWU20" s="160"/>
      <c r="EWV20" s="160"/>
      <c r="EWW20" s="160"/>
      <c r="EWX20" s="160"/>
      <c r="EWY20" s="160"/>
      <c r="EWZ20" s="160"/>
      <c r="EXA20" s="160"/>
      <c r="EXB20" s="160"/>
      <c r="EXC20" s="160"/>
      <c r="EXD20" s="160"/>
      <c r="EXE20" s="160"/>
      <c r="EXF20" s="160"/>
      <c r="EXG20" s="160"/>
      <c r="EXH20" s="160"/>
      <c r="EXI20" s="160"/>
      <c r="EXJ20" s="160"/>
      <c r="EXK20" s="160"/>
      <c r="EXL20" s="160"/>
      <c r="EXM20" s="160"/>
      <c r="EXN20" s="160"/>
      <c r="EXO20" s="160"/>
      <c r="EXP20" s="160"/>
      <c r="EXQ20" s="160"/>
      <c r="EXR20" s="160"/>
      <c r="EXS20" s="160"/>
      <c r="EXT20" s="160"/>
      <c r="EXU20" s="160"/>
      <c r="EXV20" s="160"/>
      <c r="EXW20" s="160"/>
      <c r="EXX20" s="160"/>
      <c r="EXY20" s="160"/>
      <c r="EXZ20" s="160"/>
      <c r="EYA20" s="160"/>
      <c r="EYB20" s="160"/>
      <c r="EYC20" s="160"/>
      <c r="EYD20" s="160"/>
      <c r="EYE20" s="160"/>
      <c r="EYF20" s="160"/>
      <c r="EYG20" s="160"/>
      <c r="EYH20" s="160"/>
      <c r="EYI20" s="160"/>
      <c r="EYJ20" s="160"/>
      <c r="EYK20" s="160"/>
      <c r="EYL20" s="160"/>
      <c r="EYM20" s="160"/>
      <c r="EYN20" s="160"/>
      <c r="EYO20" s="160"/>
      <c r="EYP20" s="160"/>
      <c r="EYQ20" s="160"/>
      <c r="EYR20" s="160"/>
      <c r="EYS20" s="160"/>
      <c r="EYT20" s="160"/>
      <c r="EYU20" s="160"/>
      <c r="EYV20" s="160"/>
      <c r="EYW20" s="160"/>
      <c r="EYX20" s="160"/>
      <c r="EYY20" s="160"/>
      <c r="EYZ20" s="160"/>
      <c r="EZA20" s="160"/>
      <c r="EZB20" s="160"/>
      <c r="EZC20" s="160"/>
      <c r="EZD20" s="160"/>
      <c r="EZE20" s="160"/>
      <c r="EZF20" s="160"/>
      <c r="EZG20" s="160"/>
      <c r="EZH20" s="160"/>
      <c r="EZI20" s="160"/>
      <c r="EZJ20" s="160"/>
      <c r="EZK20" s="160"/>
      <c r="EZL20" s="160"/>
      <c r="EZM20" s="160"/>
      <c r="EZN20" s="160"/>
      <c r="EZO20" s="160"/>
      <c r="EZP20" s="160"/>
      <c r="EZQ20" s="160"/>
      <c r="EZR20" s="160"/>
      <c r="EZS20" s="160"/>
      <c r="EZT20" s="160"/>
      <c r="EZU20" s="160"/>
      <c r="EZV20" s="160"/>
      <c r="EZW20" s="160"/>
      <c r="EZX20" s="160"/>
      <c r="EZY20" s="160"/>
      <c r="EZZ20" s="160"/>
      <c r="FAA20" s="160"/>
      <c r="FAB20" s="160"/>
      <c r="FAC20" s="160"/>
      <c r="FAD20" s="160"/>
      <c r="FAE20" s="160"/>
      <c r="FAF20" s="160"/>
      <c r="FAG20" s="160"/>
      <c r="FAH20" s="160"/>
      <c r="FAI20" s="160"/>
      <c r="FAJ20" s="160"/>
      <c r="FAK20" s="160"/>
      <c r="FAL20" s="160"/>
      <c r="FAM20" s="160"/>
      <c r="FAN20" s="160"/>
      <c r="FAO20" s="160"/>
      <c r="FAP20" s="160"/>
      <c r="FAQ20" s="160"/>
      <c r="FAR20" s="160"/>
      <c r="FAS20" s="160"/>
      <c r="FAT20" s="160"/>
      <c r="FAU20" s="160"/>
      <c r="FAV20" s="160"/>
      <c r="FAW20" s="160"/>
      <c r="FAX20" s="160"/>
      <c r="FAY20" s="160"/>
      <c r="FAZ20" s="160"/>
      <c r="FBA20" s="160"/>
      <c r="FBB20" s="160"/>
      <c r="FBC20" s="160"/>
      <c r="FBD20" s="160"/>
      <c r="FBE20" s="160"/>
      <c r="FBF20" s="160"/>
      <c r="FBG20" s="160"/>
      <c r="FBH20" s="160"/>
      <c r="FBI20" s="160"/>
      <c r="FBJ20" s="160"/>
      <c r="FBK20" s="160"/>
      <c r="FBL20" s="160"/>
      <c r="FBM20" s="160"/>
      <c r="FBN20" s="160"/>
      <c r="FBO20" s="160"/>
      <c r="FBP20" s="160"/>
      <c r="FBQ20" s="160"/>
      <c r="FBR20" s="160"/>
      <c r="FBS20" s="160"/>
      <c r="FBT20" s="160"/>
      <c r="FBU20" s="160"/>
      <c r="FBV20" s="160"/>
      <c r="FBW20" s="160"/>
      <c r="FBX20" s="160"/>
      <c r="FBY20" s="160"/>
      <c r="FBZ20" s="160"/>
      <c r="FCA20" s="160"/>
      <c r="FCB20" s="160"/>
      <c r="FCC20" s="160"/>
      <c r="FCD20" s="160"/>
      <c r="FCE20" s="160"/>
      <c r="FCF20" s="160"/>
      <c r="FCG20" s="160"/>
      <c r="FCH20" s="160"/>
      <c r="FCI20" s="160"/>
      <c r="FCJ20" s="160"/>
      <c r="FCK20" s="160"/>
      <c r="FCL20" s="160"/>
      <c r="FCM20" s="160"/>
      <c r="FCN20" s="160"/>
      <c r="FCO20" s="160"/>
      <c r="FCP20" s="160"/>
      <c r="FCQ20" s="160"/>
      <c r="FCR20" s="160"/>
      <c r="FCS20" s="160"/>
      <c r="FCT20" s="160"/>
      <c r="FCU20" s="160"/>
      <c r="FCV20" s="160"/>
      <c r="FCW20" s="160"/>
      <c r="FCX20" s="160"/>
      <c r="FCY20" s="160"/>
      <c r="FCZ20" s="160"/>
      <c r="FDA20" s="160"/>
      <c r="FDB20" s="160"/>
      <c r="FDC20" s="160"/>
      <c r="FDD20" s="160"/>
      <c r="FDE20" s="160"/>
      <c r="FDF20" s="160"/>
      <c r="FDG20" s="160"/>
      <c r="FDH20" s="160"/>
      <c r="FDI20" s="160"/>
      <c r="FDJ20" s="160"/>
      <c r="FDK20" s="160"/>
      <c r="FDL20" s="160"/>
      <c r="FDM20" s="160"/>
      <c r="FDN20" s="160"/>
      <c r="FDO20" s="160"/>
      <c r="FDP20" s="160"/>
      <c r="FDQ20" s="160"/>
      <c r="FDR20" s="160"/>
      <c r="FDS20" s="160"/>
      <c r="FDT20" s="160"/>
      <c r="FDU20" s="160"/>
      <c r="FDV20" s="160"/>
      <c r="FDW20" s="160"/>
      <c r="FDX20" s="160"/>
      <c r="FDY20" s="160"/>
      <c r="FDZ20" s="160"/>
      <c r="FEA20" s="160"/>
      <c r="FEB20" s="160"/>
      <c r="FEC20" s="160"/>
      <c r="FED20" s="160"/>
      <c r="FEE20" s="160"/>
      <c r="FEF20" s="160"/>
      <c r="FEG20" s="160"/>
      <c r="FEH20" s="160"/>
      <c r="FEI20" s="160"/>
      <c r="FEJ20" s="160"/>
      <c r="FEK20" s="160"/>
      <c r="FEL20" s="160"/>
      <c r="FEM20" s="160"/>
      <c r="FEN20" s="160"/>
      <c r="FEO20" s="160"/>
      <c r="FEP20" s="160"/>
      <c r="FEQ20" s="160"/>
      <c r="FER20" s="160"/>
      <c r="FES20" s="160"/>
      <c r="FET20" s="160"/>
      <c r="FEU20" s="160"/>
      <c r="FEV20" s="160"/>
      <c r="FEW20" s="160"/>
      <c r="FEX20" s="160"/>
      <c r="FEY20" s="160"/>
      <c r="FEZ20" s="160"/>
      <c r="FFA20" s="160"/>
      <c r="FFB20" s="160"/>
      <c r="FFC20" s="160"/>
      <c r="FFD20" s="160"/>
      <c r="FFE20" s="160"/>
      <c r="FFF20" s="160"/>
      <c r="FFG20" s="160"/>
      <c r="FFH20" s="160"/>
      <c r="FFI20" s="160"/>
      <c r="FFJ20" s="160"/>
      <c r="FFK20" s="160"/>
      <c r="FFL20" s="160"/>
      <c r="FFM20" s="160"/>
      <c r="FFN20" s="160"/>
      <c r="FFO20" s="160"/>
      <c r="FFP20" s="160"/>
      <c r="FFQ20" s="160"/>
      <c r="FFR20" s="160"/>
      <c r="FFS20" s="160"/>
      <c r="FFT20" s="160"/>
      <c r="FFU20" s="160"/>
      <c r="FFV20" s="160"/>
      <c r="FFW20" s="160"/>
      <c r="FFX20" s="160"/>
      <c r="FFY20" s="160"/>
      <c r="FFZ20" s="160"/>
      <c r="FGA20" s="160"/>
      <c r="FGB20" s="160"/>
      <c r="FGC20" s="160"/>
      <c r="FGD20" s="160"/>
      <c r="FGE20" s="160"/>
      <c r="FGF20" s="160"/>
      <c r="FGG20" s="160"/>
      <c r="FGH20" s="160"/>
      <c r="FGI20" s="160"/>
      <c r="FGJ20" s="160"/>
      <c r="FGK20" s="160"/>
      <c r="FGL20" s="160"/>
      <c r="FGM20" s="160"/>
      <c r="FGN20" s="160"/>
      <c r="FGO20" s="160"/>
      <c r="FGP20" s="160"/>
      <c r="FGQ20" s="160"/>
      <c r="FGR20" s="160"/>
      <c r="FGS20" s="160"/>
      <c r="FGT20" s="160"/>
      <c r="FGU20" s="160"/>
      <c r="FGV20" s="160"/>
      <c r="FGW20" s="160"/>
      <c r="FGX20" s="160"/>
      <c r="FGY20" s="160"/>
      <c r="FGZ20" s="160"/>
      <c r="FHA20" s="160"/>
      <c r="FHB20" s="160"/>
      <c r="FHC20" s="160"/>
      <c r="FHD20" s="160"/>
      <c r="FHE20" s="160"/>
      <c r="FHF20" s="160"/>
      <c r="FHG20" s="160"/>
      <c r="FHH20" s="160"/>
      <c r="FHI20" s="160"/>
      <c r="FHJ20" s="160"/>
      <c r="FHK20" s="160"/>
      <c r="FHL20" s="160"/>
      <c r="FHM20" s="160"/>
      <c r="FHN20" s="160"/>
      <c r="FHO20" s="160"/>
      <c r="FHP20" s="160"/>
      <c r="FHQ20" s="160"/>
      <c r="FHR20" s="160"/>
      <c r="FHS20" s="160"/>
      <c r="FHT20" s="160"/>
      <c r="FHU20" s="160"/>
      <c r="FHV20" s="160"/>
      <c r="FHW20" s="160"/>
      <c r="FHX20" s="160"/>
      <c r="FHY20" s="160"/>
      <c r="FHZ20" s="160"/>
      <c r="FIA20" s="160"/>
      <c r="FIB20" s="160"/>
      <c r="FIC20" s="160"/>
      <c r="FID20" s="160"/>
      <c r="FIE20" s="160"/>
      <c r="FIF20" s="160"/>
      <c r="FIG20" s="160"/>
      <c r="FIH20" s="160"/>
      <c r="FII20" s="160"/>
      <c r="FIJ20" s="160"/>
      <c r="FIK20" s="160"/>
      <c r="FIL20" s="160"/>
      <c r="FIM20" s="160"/>
      <c r="FIN20" s="160"/>
      <c r="FIO20" s="160"/>
      <c r="FIP20" s="160"/>
      <c r="FIQ20" s="160"/>
      <c r="FIR20" s="160"/>
      <c r="FIS20" s="160"/>
      <c r="FIT20" s="160"/>
      <c r="FIU20" s="160"/>
      <c r="FIV20" s="160"/>
      <c r="FIW20" s="160"/>
      <c r="FIX20" s="160"/>
      <c r="FIY20" s="160"/>
      <c r="FIZ20" s="160"/>
      <c r="FJA20" s="160"/>
      <c r="FJB20" s="160"/>
      <c r="FJC20" s="160"/>
      <c r="FJD20" s="160"/>
      <c r="FJE20" s="160"/>
      <c r="FJF20" s="160"/>
      <c r="FJG20" s="160"/>
      <c r="FJH20" s="160"/>
      <c r="FJI20" s="160"/>
      <c r="FJJ20" s="160"/>
      <c r="FJK20" s="160"/>
      <c r="FJL20" s="160"/>
      <c r="FJM20" s="160"/>
      <c r="FJN20" s="160"/>
      <c r="FJO20" s="160"/>
      <c r="FJP20" s="160"/>
      <c r="FJQ20" s="160"/>
      <c r="FJR20" s="160"/>
      <c r="FJS20" s="160"/>
      <c r="FJT20" s="160"/>
      <c r="FJU20" s="160"/>
      <c r="FJV20" s="160"/>
      <c r="FJW20" s="160"/>
      <c r="FJX20" s="160"/>
      <c r="FJY20" s="160"/>
      <c r="FJZ20" s="160"/>
      <c r="FKA20" s="160"/>
      <c r="FKB20" s="160"/>
      <c r="FKC20" s="160"/>
      <c r="FKD20" s="160"/>
      <c r="FKE20" s="160"/>
      <c r="FKF20" s="160"/>
      <c r="FKG20" s="160"/>
      <c r="FKH20" s="160"/>
      <c r="FKI20" s="160"/>
      <c r="FKJ20" s="160"/>
      <c r="FKK20" s="160"/>
      <c r="FKL20" s="160"/>
      <c r="FKM20" s="160"/>
      <c r="FKN20" s="160"/>
      <c r="FKO20" s="160"/>
      <c r="FKP20" s="160"/>
      <c r="FKQ20" s="160"/>
      <c r="FKR20" s="160"/>
      <c r="FKS20" s="160"/>
      <c r="FKT20" s="160"/>
      <c r="FKU20" s="160"/>
      <c r="FKV20" s="160"/>
      <c r="FKW20" s="160"/>
      <c r="FKX20" s="160"/>
      <c r="FKY20" s="160"/>
      <c r="FKZ20" s="160"/>
      <c r="FLA20" s="160"/>
      <c r="FLB20" s="160"/>
      <c r="FLC20" s="160"/>
      <c r="FLD20" s="160"/>
      <c r="FLE20" s="160"/>
      <c r="FLF20" s="160"/>
      <c r="FLG20" s="160"/>
      <c r="FLH20" s="160"/>
      <c r="FLI20" s="160"/>
      <c r="FLJ20" s="160"/>
      <c r="FLK20" s="160"/>
      <c r="FLL20" s="160"/>
      <c r="FLM20" s="160"/>
      <c r="FLN20" s="160"/>
      <c r="FLO20" s="160"/>
      <c r="FLP20" s="160"/>
      <c r="FLQ20" s="160"/>
      <c r="FLR20" s="160"/>
      <c r="FLS20" s="160"/>
      <c r="FLT20" s="160"/>
      <c r="FLU20" s="160"/>
      <c r="FLV20" s="160"/>
      <c r="FLW20" s="160"/>
      <c r="FLX20" s="160"/>
      <c r="FLY20" s="160"/>
      <c r="FLZ20" s="160"/>
      <c r="FMA20" s="160"/>
      <c r="FMB20" s="160"/>
      <c r="FMC20" s="160"/>
      <c r="FMD20" s="160"/>
      <c r="FME20" s="160"/>
      <c r="FMF20" s="160"/>
      <c r="FMG20" s="160"/>
      <c r="FMH20" s="160"/>
      <c r="FMI20" s="160"/>
      <c r="FMJ20" s="160"/>
      <c r="FMK20" s="160"/>
      <c r="FML20" s="160"/>
      <c r="FMM20" s="160"/>
      <c r="FMN20" s="160"/>
      <c r="FMO20" s="160"/>
      <c r="FMP20" s="160"/>
      <c r="FMQ20" s="160"/>
      <c r="FMR20" s="160"/>
      <c r="FMS20" s="160"/>
      <c r="FMT20" s="160"/>
      <c r="FMU20" s="160"/>
      <c r="FMV20" s="160"/>
      <c r="FMW20" s="160"/>
      <c r="FMX20" s="160"/>
      <c r="FMY20" s="160"/>
      <c r="FMZ20" s="160"/>
      <c r="FNA20" s="160"/>
      <c r="FNB20" s="160"/>
      <c r="FNC20" s="160"/>
      <c r="FND20" s="160"/>
      <c r="FNE20" s="160"/>
      <c r="FNF20" s="160"/>
      <c r="FNG20" s="160"/>
      <c r="FNH20" s="160"/>
      <c r="FNI20" s="160"/>
      <c r="FNJ20" s="160"/>
      <c r="FNK20" s="160"/>
      <c r="FNL20" s="160"/>
      <c r="FNM20" s="160"/>
      <c r="FNN20" s="160"/>
      <c r="FNO20" s="160"/>
      <c r="FNP20" s="160"/>
      <c r="FNQ20" s="160"/>
      <c r="FNR20" s="160"/>
      <c r="FNS20" s="160"/>
      <c r="FNT20" s="160"/>
      <c r="FNU20" s="160"/>
      <c r="FNV20" s="160"/>
      <c r="FNW20" s="160"/>
      <c r="FNX20" s="160"/>
      <c r="FNY20" s="160"/>
      <c r="FNZ20" s="160"/>
      <c r="FOA20" s="160"/>
      <c r="FOB20" s="160"/>
      <c r="FOC20" s="160"/>
      <c r="FOD20" s="160"/>
      <c r="FOE20" s="160"/>
      <c r="FOF20" s="160"/>
      <c r="FOG20" s="160"/>
      <c r="FOH20" s="160"/>
      <c r="FOI20" s="160"/>
      <c r="FOJ20" s="160"/>
      <c r="FOK20" s="160"/>
      <c r="FOL20" s="160"/>
      <c r="FOM20" s="160"/>
      <c r="FON20" s="160"/>
      <c r="FOO20" s="160"/>
      <c r="FOP20" s="160"/>
      <c r="FOQ20" s="160"/>
      <c r="FOR20" s="160"/>
      <c r="FOS20" s="160"/>
      <c r="FOT20" s="160"/>
      <c r="FOU20" s="160"/>
      <c r="FOV20" s="160"/>
      <c r="FOW20" s="160"/>
      <c r="FOX20" s="160"/>
      <c r="FOY20" s="160"/>
      <c r="FOZ20" s="160"/>
      <c r="FPA20" s="160"/>
      <c r="FPB20" s="160"/>
      <c r="FPC20" s="160"/>
      <c r="FPD20" s="160"/>
      <c r="FPE20" s="160"/>
      <c r="FPF20" s="160"/>
      <c r="FPG20" s="160"/>
      <c r="FPH20" s="160"/>
      <c r="FPI20" s="160"/>
      <c r="FPJ20" s="160"/>
      <c r="FPK20" s="160"/>
      <c r="FPL20" s="160"/>
      <c r="FPM20" s="160"/>
      <c r="FPN20" s="160"/>
      <c r="FPO20" s="160"/>
      <c r="FPP20" s="160"/>
      <c r="FPQ20" s="160"/>
      <c r="FPR20" s="160"/>
      <c r="FPS20" s="160"/>
      <c r="FPT20" s="160"/>
      <c r="FPU20" s="160"/>
      <c r="FPV20" s="160"/>
      <c r="FPW20" s="160"/>
      <c r="FPX20" s="160"/>
      <c r="FPY20" s="160"/>
      <c r="FPZ20" s="160"/>
      <c r="FQA20" s="160"/>
      <c r="FQB20" s="160"/>
      <c r="FQC20" s="160"/>
      <c r="FQD20" s="160"/>
      <c r="FQE20" s="160"/>
      <c r="FQF20" s="160"/>
      <c r="FQG20" s="160"/>
      <c r="FQH20" s="160"/>
      <c r="FQI20" s="160"/>
      <c r="FQJ20" s="160"/>
      <c r="FQK20" s="160"/>
      <c r="FQL20" s="160"/>
      <c r="FQM20" s="160"/>
      <c r="FQN20" s="160"/>
      <c r="FQO20" s="160"/>
      <c r="FQP20" s="160"/>
      <c r="FQQ20" s="160"/>
      <c r="FQR20" s="160"/>
      <c r="FQS20" s="160"/>
      <c r="FQT20" s="160"/>
      <c r="FQU20" s="160"/>
      <c r="FQV20" s="160"/>
      <c r="FQW20" s="160"/>
      <c r="FQX20" s="160"/>
      <c r="FQY20" s="160"/>
      <c r="FQZ20" s="160"/>
      <c r="FRA20" s="160"/>
      <c r="FRB20" s="160"/>
      <c r="FRC20" s="160"/>
      <c r="FRD20" s="160"/>
      <c r="FRE20" s="160"/>
      <c r="FRF20" s="160"/>
      <c r="FRG20" s="160"/>
      <c r="FRH20" s="160"/>
      <c r="FRI20" s="160"/>
      <c r="FRJ20" s="160"/>
      <c r="FRK20" s="160"/>
      <c r="FRL20" s="160"/>
      <c r="FRM20" s="160"/>
      <c r="FRN20" s="160"/>
      <c r="FRO20" s="160"/>
      <c r="FRP20" s="160"/>
      <c r="FRQ20" s="160"/>
      <c r="FRR20" s="160"/>
      <c r="FRS20" s="160"/>
      <c r="FRT20" s="160"/>
      <c r="FRU20" s="160"/>
      <c r="FRV20" s="160"/>
      <c r="FRW20" s="160"/>
      <c r="FRX20" s="160"/>
      <c r="FRY20" s="160"/>
      <c r="FRZ20" s="160"/>
      <c r="FSA20" s="160"/>
      <c r="FSB20" s="160"/>
      <c r="FSC20" s="160"/>
      <c r="FSD20" s="160"/>
      <c r="FSE20" s="160"/>
      <c r="FSF20" s="160"/>
      <c r="FSG20" s="160"/>
      <c r="FSH20" s="160"/>
      <c r="FSI20" s="160"/>
      <c r="FSJ20" s="160"/>
      <c r="FSK20" s="160"/>
      <c r="FSL20" s="160"/>
      <c r="FSM20" s="160"/>
      <c r="FSN20" s="160"/>
      <c r="FSO20" s="160"/>
      <c r="FSP20" s="160"/>
      <c r="FSQ20" s="160"/>
      <c r="FSR20" s="160"/>
      <c r="FSS20" s="160"/>
      <c r="FST20" s="160"/>
      <c r="FSU20" s="160"/>
      <c r="FSV20" s="160"/>
      <c r="FSW20" s="160"/>
      <c r="FSX20" s="160"/>
      <c r="FSY20" s="160"/>
      <c r="FSZ20" s="160"/>
      <c r="FTA20" s="160"/>
      <c r="FTB20" s="160"/>
      <c r="FTC20" s="160"/>
      <c r="FTD20" s="160"/>
      <c r="FTE20" s="160"/>
      <c r="FTF20" s="160"/>
      <c r="FTG20" s="160"/>
      <c r="FTH20" s="160"/>
      <c r="FTI20" s="160"/>
      <c r="FTJ20" s="160"/>
      <c r="FTK20" s="160"/>
      <c r="FTL20" s="160"/>
      <c r="FTM20" s="160"/>
      <c r="FTN20" s="160"/>
      <c r="FTO20" s="160"/>
      <c r="FTP20" s="160"/>
      <c r="FTQ20" s="160"/>
      <c r="FTR20" s="160"/>
      <c r="FTS20" s="160"/>
      <c r="FTT20" s="160"/>
      <c r="FTU20" s="160"/>
      <c r="FTV20" s="160"/>
      <c r="FTW20" s="160"/>
      <c r="FTX20" s="160"/>
      <c r="FTY20" s="160"/>
      <c r="FTZ20" s="160"/>
      <c r="FUA20" s="160"/>
      <c r="FUB20" s="160"/>
      <c r="FUC20" s="160"/>
      <c r="FUD20" s="160"/>
      <c r="FUE20" s="160"/>
      <c r="FUF20" s="160"/>
      <c r="FUG20" s="160"/>
      <c r="FUH20" s="160"/>
      <c r="FUI20" s="160"/>
      <c r="FUJ20" s="160"/>
      <c r="FUK20" s="160"/>
      <c r="FUL20" s="160"/>
      <c r="FUM20" s="160"/>
      <c r="FUN20" s="160"/>
      <c r="FUO20" s="160"/>
      <c r="FUP20" s="160"/>
      <c r="FUQ20" s="160"/>
      <c r="FUR20" s="160"/>
      <c r="FUS20" s="160"/>
      <c r="FUT20" s="160"/>
      <c r="FUU20" s="160"/>
      <c r="FUV20" s="160"/>
      <c r="FUW20" s="160"/>
      <c r="FUX20" s="160"/>
      <c r="FUY20" s="160"/>
      <c r="FUZ20" s="160"/>
      <c r="FVA20" s="160"/>
      <c r="FVB20" s="160"/>
      <c r="FVC20" s="160"/>
      <c r="FVD20" s="160"/>
      <c r="FVE20" s="160"/>
      <c r="FVF20" s="160"/>
      <c r="FVG20" s="160"/>
      <c r="FVH20" s="160"/>
      <c r="FVI20" s="160"/>
      <c r="FVJ20" s="160"/>
      <c r="FVK20" s="160"/>
      <c r="FVL20" s="160"/>
      <c r="FVM20" s="160"/>
      <c r="FVN20" s="160"/>
      <c r="FVO20" s="160"/>
      <c r="FVP20" s="160"/>
      <c r="FVQ20" s="160"/>
      <c r="FVR20" s="160"/>
      <c r="FVS20" s="160"/>
      <c r="FVT20" s="160"/>
      <c r="FVU20" s="160"/>
      <c r="FVV20" s="160"/>
      <c r="FVW20" s="160"/>
      <c r="FVX20" s="160"/>
      <c r="FVY20" s="160"/>
      <c r="FVZ20" s="160"/>
      <c r="FWA20" s="160"/>
      <c r="FWB20" s="160"/>
      <c r="FWC20" s="160"/>
      <c r="FWD20" s="160"/>
      <c r="FWE20" s="160"/>
      <c r="FWF20" s="160"/>
      <c r="FWG20" s="160"/>
      <c r="FWH20" s="160"/>
      <c r="FWI20" s="160"/>
      <c r="FWJ20" s="160"/>
      <c r="FWK20" s="160"/>
      <c r="FWL20" s="160"/>
      <c r="FWM20" s="160"/>
      <c r="FWN20" s="160"/>
      <c r="FWO20" s="160"/>
      <c r="FWP20" s="160"/>
      <c r="FWQ20" s="160"/>
      <c r="FWR20" s="160"/>
      <c r="FWS20" s="160"/>
      <c r="FWT20" s="160"/>
      <c r="FWU20" s="160"/>
      <c r="FWV20" s="160"/>
      <c r="FWW20" s="160"/>
      <c r="FWX20" s="160"/>
      <c r="FWY20" s="160"/>
      <c r="FWZ20" s="160"/>
      <c r="FXA20" s="160"/>
      <c r="FXB20" s="160"/>
      <c r="FXC20" s="160"/>
      <c r="FXD20" s="160"/>
      <c r="FXE20" s="160"/>
      <c r="FXF20" s="160"/>
      <c r="FXG20" s="160"/>
      <c r="FXH20" s="160"/>
      <c r="FXI20" s="160"/>
      <c r="FXJ20" s="160"/>
      <c r="FXK20" s="160"/>
      <c r="FXL20" s="160"/>
      <c r="FXM20" s="160"/>
      <c r="FXN20" s="160"/>
      <c r="FXO20" s="160"/>
      <c r="FXP20" s="160"/>
      <c r="FXQ20" s="160"/>
      <c r="FXR20" s="160"/>
      <c r="FXS20" s="160"/>
      <c r="FXT20" s="160"/>
      <c r="FXU20" s="160"/>
      <c r="FXV20" s="160"/>
      <c r="FXW20" s="160"/>
      <c r="FXX20" s="160"/>
      <c r="FXY20" s="160"/>
      <c r="FXZ20" s="160"/>
      <c r="FYA20" s="160"/>
      <c r="FYB20" s="160"/>
      <c r="FYC20" s="160"/>
      <c r="FYD20" s="160"/>
      <c r="FYE20" s="160"/>
      <c r="FYF20" s="160"/>
      <c r="FYG20" s="160"/>
      <c r="FYH20" s="160"/>
      <c r="FYI20" s="160"/>
      <c r="FYJ20" s="160"/>
      <c r="FYK20" s="160"/>
      <c r="FYL20" s="160"/>
      <c r="FYM20" s="160"/>
      <c r="FYN20" s="160"/>
      <c r="FYO20" s="160"/>
      <c r="FYP20" s="160"/>
      <c r="FYQ20" s="160"/>
      <c r="FYR20" s="160"/>
      <c r="FYS20" s="160"/>
      <c r="FYT20" s="160"/>
      <c r="FYU20" s="160"/>
      <c r="FYV20" s="160"/>
      <c r="FYW20" s="160"/>
      <c r="FYX20" s="160"/>
      <c r="FYY20" s="160"/>
      <c r="FYZ20" s="160"/>
      <c r="FZA20" s="160"/>
      <c r="FZB20" s="160"/>
      <c r="FZC20" s="160"/>
      <c r="FZD20" s="160"/>
      <c r="FZE20" s="160"/>
      <c r="FZF20" s="160"/>
      <c r="FZG20" s="160"/>
      <c r="FZH20" s="160"/>
      <c r="FZI20" s="160"/>
      <c r="FZJ20" s="160"/>
      <c r="FZK20" s="160"/>
      <c r="FZL20" s="160"/>
      <c r="FZM20" s="160"/>
      <c r="FZN20" s="160"/>
      <c r="FZO20" s="160"/>
      <c r="FZP20" s="160"/>
      <c r="FZQ20" s="160"/>
      <c r="FZR20" s="160"/>
      <c r="FZS20" s="160"/>
      <c r="FZT20" s="160"/>
      <c r="FZU20" s="160"/>
      <c r="FZV20" s="160"/>
      <c r="FZW20" s="160"/>
      <c r="FZX20" s="160"/>
      <c r="FZY20" s="160"/>
      <c r="FZZ20" s="160"/>
      <c r="GAA20" s="160"/>
      <c r="GAB20" s="160"/>
      <c r="GAC20" s="160"/>
      <c r="GAD20" s="160"/>
      <c r="GAE20" s="160"/>
      <c r="GAF20" s="160"/>
      <c r="GAG20" s="160"/>
      <c r="GAH20" s="160"/>
      <c r="GAI20" s="160"/>
      <c r="GAJ20" s="160"/>
      <c r="GAK20" s="160"/>
      <c r="GAL20" s="160"/>
      <c r="GAM20" s="160"/>
      <c r="GAN20" s="160"/>
      <c r="GAO20" s="160"/>
      <c r="GAP20" s="160"/>
      <c r="GAQ20" s="160"/>
      <c r="GAR20" s="160"/>
      <c r="GAS20" s="160"/>
      <c r="GAT20" s="160"/>
      <c r="GAU20" s="160"/>
      <c r="GAV20" s="160"/>
      <c r="GAW20" s="160"/>
      <c r="GAX20" s="160"/>
      <c r="GAY20" s="160"/>
      <c r="GAZ20" s="160"/>
      <c r="GBA20" s="160"/>
      <c r="GBB20" s="160"/>
      <c r="GBC20" s="160"/>
      <c r="GBD20" s="160"/>
      <c r="GBE20" s="160"/>
      <c r="GBF20" s="160"/>
      <c r="GBG20" s="160"/>
      <c r="GBH20" s="160"/>
      <c r="GBI20" s="160"/>
      <c r="GBJ20" s="160"/>
      <c r="GBK20" s="160"/>
      <c r="GBL20" s="160"/>
      <c r="GBM20" s="160"/>
      <c r="GBN20" s="160"/>
      <c r="GBO20" s="160"/>
      <c r="GBP20" s="160"/>
      <c r="GBQ20" s="160"/>
      <c r="GBR20" s="160"/>
      <c r="GBS20" s="160"/>
      <c r="GBT20" s="160"/>
      <c r="GBU20" s="160"/>
      <c r="GBV20" s="160"/>
      <c r="GBW20" s="160"/>
      <c r="GBX20" s="160"/>
      <c r="GBY20" s="160"/>
      <c r="GBZ20" s="160"/>
      <c r="GCA20" s="160"/>
      <c r="GCB20" s="160"/>
      <c r="GCC20" s="160"/>
      <c r="GCD20" s="160"/>
      <c r="GCE20" s="160"/>
      <c r="GCF20" s="160"/>
      <c r="GCG20" s="160"/>
      <c r="GCH20" s="160"/>
      <c r="GCI20" s="160"/>
      <c r="GCJ20" s="160"/>
      <c r="GCK20" s="160"/>
      <c r="GCL20" s="160"/>
      <c r="GCM20" s="160"/>
      <c r="GCN20" s="160"/>
      <c r="GCO20" s="160"/>
      <c r="GCP20" s="160"/>
      <c r="GCQ20" s="160"/>
      <c r="GCR20" s="160"/>
      <c r="GCS20" s="160"/>
      <c r="GCT20" s="160"/>
      <c r="GCU20" s="160"/>
      <c r="GCV20" s="160"/>
      <c r="GCW20" s="160"/>
      <c r="GCX20" s="160"/>
      <c r="GCY20" s="160"/>
      <c r="GCZ20" s="160"/>
      <c r="GDA20" s="160"/>
      <c r="GDB20" s="160"/>
      <c r="GDC20" s="160"/>
      <c r="GDD20" s="160"/>
      <c r="GDE20" s="160"/>
      <c r="GDF20" s="160"/>
      <c r="GDG20" s="160"/>
      <c r="GDH20" s="160"/>
      <c r="GDI20" s="160"/>
      <c r="GDJ20" s="160"/>
      <c r="GDK20" s="160"/>
      <c r="GDL20" s="160"/>
      <c r="GDM20" s="160"/>
      <c r="GDN20" s="160"/>
      <c r="GDO20" s="160"/>
      <c r="GDP20" s="160"/>
      <c r="GDQ20" s="160"/>
      <c r="GDR20" s="160"/>
      <c r="GDS20" s="160"/>
      <c r="GDT20" s="160"/>
      <c r="GDU20" s="160"/>
      <c r="GDV20" s="160"/>
      <c r="GDW20" s="160"/>
      <c r="GDX20" s="160"/>
      <c r="GDY20" s="160"/>
      <c r="GDZ20" s="160"/>
      <c r="GEA20" s="160"/>
      <c r="GEB20" s="160"/>
      <c r="GEC20" s="160"/>
      <c r="GED20" s="160"/>
      <c r="GEE20" s="160"/>
      <c r="GEF20" s="160"/>
      <c r="GEG20" s="160"/>
      <c r="GEH20" s="160"/>
      <c r="GEI20" s="160"/>
      <c r="GEJ20" s="160"/>
      <c r="GEK20" s="160"/>
      <c r="GEL20" s="160"/>
      <c r="GEM20" s="160"/>
      <c r="GEN20" s="160"/>
      <c r="GEO20" s="160"/>
      <c r="GEP20" s="160"/>
      <c r="GEQ20" s="160"/>
      <c r="GER20" s="160"/>
      <c r="GES20" s="160"/>
      <c r="GET20" s="160"/>
      <c r="GEU20" s="160"/>
      <c r="GEV20" s="160"/>
      <c r="GEW20" s="160"/>
      <c r="GEX20" s="160"/>
      <c r="GEY20" s="160"/>
      <c r="GEZ20" s="160"/>
      <c r="GFA20" s="160"/>
      <c r="GFB20" s="160"/>
      <c r="GFC20" s="160"/>
      <c r="GFD20" s="160"/>
      <c r="GFE20" s="160"/>
      <c r="GFF20" s="160"/>
      <c r="GFG20" s="160"/>
      <c r="GFH20" s="160"/>
      <c r="GFI20" s="160"/>
      <c r="GFJ20" s="160"/>
      <c r="GFK20" s="160"/>
      <c r="GFL20" s="160"/>
      <c r="GFM20" s="160"/>
      <c r="GFN20" s="160"/>
      <c r="GFO20" s="160"/>
      <c r="GFP20" s="160"/>
      <c r="GFQ20" s="160"/>
      <c r="GFR20" s="160"/>
      <c r="GFS20" s="160"/>
      <c r="GFT20" s="160"/>
      <c r="GFU20" s="160"/>
      <c r="GFV20" s="160"/>
      <c r="GFW20" s="160"/>
      <c r="GFX20" s="160"/>
      <c r="GFY20" s="160"/>
      <c r="GFZ20" s="160"/>
      <c r="GGA20" s="160"/>
      <c r="GGB20" s="160"/>
      <c r="GGC20" s="160"/>
      <c r="GGD20" s="160"/>
      <c r="GGE20" s="160"/>
      <c r="GGF20" s="160"/>
      <c r="GGG20" s="160"/>
      <c r="GGH20" s="160"/>
      <c r="GGI20" s="160"/>
      <c r="GGJ20" s="160"/>
      <c r="GGK20" s="160"/>
      <c r="GGL20" s="160"/>
      <c r="GGM20" s="160"/>
      <c r="GGN20" s="160"/>
      <c r="GGO20" s="160"/>
      <c r="GGP20" s="160"/>
      <c r="GGQ20" s="160"/>
      <c r="GGR20" s="160"/>
      <c r="GGS20" s="160"/>
      <c r="GGT20" s="160"/>
      <c r="GGU20" s="160"/>
      <c r="GGV20" s="160"/>
      <c r="GGW20" s="160"/>
      <c r="GGX20" s="160"/>
      <c r="GGY20" s="160"/>
      <c r="GGZ20" s="160"/>
      <c r="GHA20" s="160"/>
      <c r="GHB20" s="160"/>
      <c r="GHC20" s="160"/>
      <c r="GHD20" s="160"/>
      <c r="GHE20" s="160"/>
      <c r="GHF20" s="160"/>
      <c r="GHG20" s="160"/>
      <c r="GHH20" s="160"/>
      <c r="GHI20" s="160"/>
      <c r="GHJ20" s="160"/>
      <c r="GHK20" s="160"/>
      <c r="GHL20" s="160"/>
      <c r="GHM20" s="160"/>
      <c r="GHN20" s="160"/>
      <c r="GHO20" s="160"/>
      <c r="GHP20" s="160"/>
      <c r="GHQ20" s="160"/>
      <c r="GHR20" s="160"/>
      <c r="GHS20" s="160"/>
      <c r="GHT20" s="160"/>
      <c r="GHU20" s="160"/>
      <c r="GHV20" s="160"/>
      <c r="GHW20" s="160"/>
      <c r="GHX20" s="160"/>
      <c r="GHY20" s="160"/>
      <c r="GHZ20" s="160"/>
      <c r="GIA20" s="160"/>
      <c r="GIB20" s="160"/>
      <c r="GIC20" s="160"/>
      <c r="GID20" s="160"/>
      <c r="GIE20" s="160"/>
      <c r="GIF20" s="160"/>
      <c r="GIG20" s="160"/>
      <c r="GIH20" s="160"/>
      <c r="GII20" s="160"/>
      <c r="GIJ20" s="160"/>
      <c r="GIK20" s="160"/>
      <c r="GIL20" s="160"/>
      <c r="GIM20" s="160"/>
      <c r="GIN20" s="160"/>
      <c r="GIO20" s="160"/>
      <c r="GIP20" s="160"/>
      <c r="GIQ20" s="160"/>
      <c r="GIR20" s="160"/>
      <c r="GIS20" s="160"/>
      <c r="GIT20" s="160"/>
      <c r="GIU20" s="160"/>
      <c r="GIV20" s="160"/>
      <c r="GIW20" s="160"/>
      <c r="GIX20" s="160"/>
      <c r="GIY20" s="160"/>
      <c r="GIZ20" s="160"/>
      <c r="GJA20" s="160"/>
      <c r="GJB20" s="160"/>
      <c r="GJC20" s="160"/>
      <c r="GJD20" s="160"/>
      <c r="GJE20" s="160"/>
      <c r="GJF20" s="160"/>
      <c r="GJG20" s="160"/>
      <c r="GJH20" s="160"/>
      <c r="GJI20" s="160"/>
      <c r="GJJ20" s="160"/>
      <c r="GJK20" s="160"/>
      <c r="GJL20" s="160"/>
      <c r="GJM20" s="160"/>
      <c r="GJN20" s="160"/>
      <c r="GJO20" s="160"/>
      <c r="GJP20" s="160"/>
      <c r="GJQ20" s="160"/>
      <c r="GJR20" s="160"/>
      <c r="GJS20" s="160"/>
      <c r="GJT20" s="160"/>
      <c r="GJU20" s="160"/>
      <c r="GJV20" s="160"/>
      <c r="GJW20" s="160"/>
      <c r="GJX20" s="160"/>
      <c r="GJY20" s="160"/>
      <c r="GJZ20" s="160"/>
      <c r="GKA20" s="160"/>
      <c r="GKB20" s="160"/>
      <c r="GKC20" s="160"/>
      <c r="GKD20" s="160"/>
      <c r="GKE20" s="160"/>
      <c r="GKF20" s="160"/>
      <c r="GKG20" s="160"/>
      <c r="GKH20" s="160"/>
      <c r="GKI20" s="160"/>
      <c r="GKJ20" s="160"/>
      <c r="GKK20" s="160"/>
      <c r="GKL20" s="160"/>
      <c r="GKM20" s="160"/>
      <c r="GKN20" s="160"/>
      <c r="GKO20" s="160"/>
      <c r="GKP20" s="160"/>
      <c r="GKQ20" s="160"/>
      <c r="GKR20" s="160"/>
      <c r="GKS20" s="160"/>
      <c r="GKT20" s="160"/>
      <c r="GKU20" s="160"/>
      <c r="GKV20" s="160"/>
      <c r="GKW20" s="160"/>
      <c r="GKX20" s="160"/>
      <c r="GKY20" s="160"/>
      <c r="GKZ20" s="160"/>
      <c r="GLA20" s="160"/>
      <c r="GLB20" s="160"/>
      <c r="GLC20" s="160"/>
      <c r="GLD20" s="160"/>
      <c r="GLE20" s="160"/>
      <c r="GLF20" s="160"/>
      <c r="GLG20" s="160"/>
      <c r="GLH20" s="160"/>
      <c r="GLI20" s="160"/>
      <c r="GLJ20" s="160"/>
      <c r="GLK20" s="160"/>
      <c r="GLL20" s="160"/>
      <c r="GLM20" s="160"/>
      <c r="GLN20" s="160"/>
      <c r="GLO20" s="160"/>
      <c r="GLP20" s="160"/>
      <c r="GLQ20" s="160"/>
      <c r="GLR20" s="160"/>
      <c r="GLS20" s="160"/>
      <c r="GLT20" s="160"/>
      <c r="GLU20" s="160"/>
      <c r="GLV20" s="160"/>
      <c r="GLW20" s="160"/>
      <c r="GLX20" s="160"/>
      <c r="GLY20" s="160"/>
      <c r="GLZ20" s="160"/>
      <c r="GMA20" s="160"/>
      <c r="GMB20" s="160"/>
      <c r="GMC20" s="160"/>
      <c r="GMD20" s="160"/>
      <c r="GME20" s="160"/>
      <c r="GMF20" s="160"/>
      <c r="GMG20" s="160"/>
      <c r="GMH20" s="160"/>
      <c r="GMI20" s="160"/>
      <c r="GMJ20" s="160"/>
      <c r="GMK20" s="160"/>
      <c r="GML20" s="160"/>
      <c r="GMM20" s="160"/>
      <c r="GMN20" s="160"/>
      <c r="GMO20" s="160"/>
      <c r="GMP20" s="160"/>
      <c r="GMQ20" s="160"/>
      <c r="GMR20" s="160"/>
      <c r="GMS20" s="160"/>
      <c r="GMT20" s="160"/>
      <c r="GMU20" s="160"/>
      <c r="GMV20" s="160"/>
      <c r="GMW20" s="160"/>
      <c r="GMX20" s="160"/>
      <c r="GMY20" s="160"/>
      <c r="GMZ20" s="160"/>
      <c r="GNA20" s="160"/>
      <c r="GNB20" s="160"/>
      <c r="GNC20" s="160"/>
      <c r="GND20" s="160"/>
      <c r="GNE20" s="160"/>
      <c r="GNF20" s="160"/>
      <c r="GNG20" s="160"/>
      <c r="GNH20" s="160"/>
      <c r="GNI20" s="160"/>
      <c r="GNJ20" s="160"/>
      <c r="GNK20" s="160"/>
      <c r="GNL20" s="160"/>
      <c r="GNM20" s="160"/>
      <c r="GNN20" s="160"/>
      <c r="GNO20" s="160"/>
      <c r="GNP20" s="160"/>
      <c r="GNQ20" s="160"/>
      <c r="GNR20" s="160"/>
      <c r="GNS20" s="160"/>
      <c r="GNT20" s="160"/>
      <c r="GNU20" s="160"/>
      <c r="GNV20" s="160"/>
      <c r="GNW20" s="160"/>
      <c r="GNX20" s="160"/>
      <c r="GNY20" s="160"/>
      <c r="GNZ20" s="160"/>
      <c r="GOA20" s="160"/>
      <c r="GOB20" s="160"/>
      <c r="GOC20" s="160"/>
      <c r="GOD20" s="160"/>
      <c r="GOE20" s="160"/>
      <c r="GOF20" s="160"/>
      <c r="GOG20" s="160"/>
      <c r="GOH20" s="160"/>
      <c r="GOI20" s="160"/>
      <c r="GOJ20" s="160"/>
      <c r="GOK20" s="160"/>
      <c r="GOL20" s="160"/>
      <c r="GOM20" s="160"/>
      <c r="GON20" s="160"/>
      <c r="GOO20" s="160"/>
      <c r="GOP20" s="160"/>
      <c r="GOQ20" s="160"/>
      <c r="GOR20" s="160"/>
      <c r="GOS20" s="160"/>
      <c r="GOT20" s="160"/>
      <c r="GOU20" s="160"/>
      <c r="GOV20" s="160"/>
      <c r="GOW20" s="160"/>
      <c r="GOX20" s="160"/>
      <c r="GOY20" s="160"/>
      <c r="GOZ20" s="160"/>
      <c r="GPA20" s="160"/>
      <c r="GPB20" s="160"/>
      <c r="GPC20" s="160"/>
      <c r="GPD20" s="160"/>
      <c r="GPE20" s="160"/>
      <c r="GPF20" s="160"/>
      <c r="GPG20" s="160"/>
      <c r="GPH20" s="160"/>
      <c r="GPI20" s="160"/>
      <c r="GPJ20" s="160"/>
      <c r="GPK20" s="160"/>
      <c r="GPL20" s="160"/>
      <c r="GPM20" s="160"/>
      <c r="GPN20" s="160"/>
      <c r="GPO20" s="160"/>
      <c r="GPP20" s="160"/>
      <c r="GPQ20" s="160"/>
      <c r="GPR20" s="160"/>
      <c r="GPS20" s="160"/>
      <c r="GPT20" s="160"/>
      <c r="GPU20" s="160"/>
      <c r="GPV20" s="160"/>
      <c r="GPW20" s="160"/>
      <c r="GPX20" s="160"/>
      <c r="GPY20" s="160"/>
      <c r="GPZ20" s="160"/>
      <c r="GQA20" s="160"/>
      <c r="GQB20" s="160"/>
      <c r="GQC20" s="160"/>
      <c r="GQD20" s="160"/>
      <c r="GQE20" s="160"/>
      <c r="GQF20" s="160"/>
      <c r="GQG20" s="160"/>
      <c r="GQH20" s="160"/>
      <c r="GQI20" s="160"/>
      <c r="GQJ20" s="160"/>
      <c r="GQK20" s="160"/>
      <c r="GQL20" s="160"/>
      <c r="GQM20" s="160"/>
      <c r="GQN20" s="160"/>
      <c r="GQO20" s="160"/>
      <c r="GQP20" s="160"/>
      <c r="GQQ20" s="160"/>
      <c r="GQR20" s="160"/>
      <c r="GQS20" s="160"/>
      <c r="GQT20" s="160"/>
      <c r="GQU20" s="160"/>
      <c r="GQV20" s="160"/>
      <c r="GQW20" s="160"/>
      <c r="GQX20" s="160"/>
      <c r="GQY20" s="160"/>
      <c r="GQZ20" s="160"/>
      <c r="GRA20" s="160"/>
      <c r="GRB20" s="160"/>
      <c r="GRC20" s="160"/>
      <c r="GRD20" s="160"/>
      <c r="GRE20" s="160"/>
      <c r="GRF20" s="160"/>
      <c r="GRG20" s="160"/>
      <c r="GRH20" s="160"/>
      <c r="GRI20" s="160"/>
      <c r="GRJ20" s="160"/>
      <c r="GRK20" s="160"/>
      <c r="GRL20" s="160"/>
      <c r="GRM20" s="160"/>
      <c r="GRN20" s="160"/>
      <c r="GRO20" s="160"/>
      <c r="GRP20" s="160"/>
      <c r="GRQ20" s="160"/>
      <c r="GRR20" s="160"/>
      <c r="GRS20" s="160"/>
      <c r="GRT20" s="160"/>
      <c r="GRU20" s="160"/>
      <c r="GRV20" s="160"/>
      <c r="GRW20" s="160"/>
      <c r="GRX20" s="160"/>
      <c r="GRY20" s="160"/>
      <c r="GRZ20" s="160"/>
      <c r="GSA20" s="160"/>
      <c r="GSB20" s="160"/>
      <c r="GSC20" s="160"/>
      <c r="GSD20" s="160"/>
      <c r="GSE20" s="160"/>
      <c r="GSF20" s="160"/>
      <c r="GSG20" s="160"/>
      <c r="GSH20" s="160"/>
      <c r="GSI20" s="160"/>
      <c r="GSJ20" s="160"/>
      <c r="GSK20" s="160"/>
      <c r="GSL20" s="160"/>
      <c r="GSM20" s="160"/>
      <c r="GSN20" s="160"/>
      <c r="GSO20" s="160"/>
      <c r="GSP20" s="160"/>
      <c r="GSQ20" s="160"/>
      <c r="GSR20" s="160"/>
      <c r="GSS20" s="160"/>
      <c r="GST20" s="160"/>
      <c r="GSU20" s="160"/>
      <c r="GSV20" s="160"/>
      <c r="GSW20" s="160"/>
      <c r="GSX20" s="160"/>
      <c r="GSY20" s="160"/>
      <c r="GSZ20" s="160"/>
      <c r="GTA20" s="160"/>
      <c r="GTB20" s="160"/>
      <c r="GTC20" s="160"/>
      <c r="GTD20" s="160"/>
      <c r="GTE20" s="160"/>
      <c r="GTF20" s="160"/>
      <c r="GTG20" s="160"/>
      <c r="GTH20" s="160"/>
      <c r="GTI20" s="160"/>
      <c r="GTJ20" s="160"/>
      <c r="GTK20" s="160"/>
      <c r="GTL20" s="160"/>
      <c r="GTM20" s="160"/>
      <c r="GTN20" s="160"/>
      <c r="GTO20" s="160"/>
      <c r="GTP20" s="160"/>
      <c r="GTQ20" s="160"/>
      <c r="GTR20" s="160"/>
      <c r="GTS20" s="160"/>
      <c r="GTT20" s="160"/>
      <c r="GTU20" s="160"/>
      <c r="GTV20" s="160"/>
      <c r="GTW20" s="160"/>
      <c r="GTX20" s="160"/>
      <c r="GTY20" s="160"/>
      <c r="GTZ20" s="160"/>
      <c r="GUA20" s="160"/>
      <c r="GUB20" s="160"/>
      <c r="GUC20" s="160"/>
      <c r="GUD20" s="160"/>
      <c r="GUE20" s="160"/>
      <c r="GUF20" s="160"/>
      <c r="GUG20" s="160"/>
      <c r="GUH20" s="160"/>
      <c r="GUI20" s="160"/>
      <c r="GUJ20" s="160"/>
      <c r="GUK20" s="160"/>
      <c r="GUL20" s="160"/>
      <c r="GUM20" s="160"/>
      <c r="GUN20" s="160"/>
      <c r="GUO20" s="160"/>
      <c r="GUP20" s="160"/>
      <c r="GUQ20" s="160"/>
      <c r="GUR20" s="160"/>
      <c r="GUS20" s="160"/>
      <c r="GUT20" s="160"/>
      <c r="GUU20" s="160"/>
      <c r="GUV20" s="160"/>
      <c r="GUW20" s="160"/>
      <c r="GUX20" s="160"/>
      <c r="GUY20" s="160"/>
      <c r="GUZ20" s="160"/>
      <c r="GVA20" s="160"/>
      <c r="GVB20" s="160"/>
      <c r="GVC20" s="160"/>
      <c r="GVD20" s="160"/>
      <c r="GVE20" s="160"/>
      <c r="GVF20" s="160"/>
      <c r="GVG20" s="160"/>
      <c r="GVH20" s="160"/>
      <c r="GVI20" s="160"/>
      <c r="GVJ20" s="160"/>
      <c r="GVK20" s="160"/>
      <c r="GVL20" s="160"/>
      <c r="GVM20" s="160"/>
      <c r="GVN20" s="160"/>
      <c r="GVO20" s="160"/>
      <c r="GVP20" s="160"/>
      <c r="GVQ20" s="160"/>
      <c r="GVR20" s="160"/>
      <c r="GVS20" s="160"/>
      <c r="GVT20" s="160"/>
      <c r="GVU20" s="160"/>
      <c r="GVV20" s="160"/>
      <c r="GVW20" s="160"/>
      <c r="GVX20" s="160"/>
      <c r="GVY20" s="160"/>
      <c r="GVZ20" s="160"/>
      <c r="GWA20" s="160"/>
      <c r="GWB20" s="160"/>
      <c r="GWC20" s="160"/>
      <c r="GWD20" s="160"/>
      <c r="GWE20" s="160"/>
      <c r="GWF20" s="160"/>
      <c r="GWG20" s="160"/>
      <c r="GWH20" s="160"/>
      <c r="GWI20" s="160"/>
      <c r="GWJ20" s="160"/>
      <c r="GWK20" s="160"/>
      <c r="GWL20" s="160"/>
      <c r="GWM20" s="160"/>
      <c r="GWN20" s="160"/>
      <c r="GWO20" s="160"/>
      <c r="GWP20" s="160"/>
      <c r="GWQ20" s="160"/>
      <c r="GWR20" s="160"/>
      <c r="GWS20" s="160"/>
      <c r="GWT20" s="160"/>
      <c r="GWU20" s="160"/>
      <c r="GWV20" s="160"/>
      <c r="GWW20" s="160"/>
      <c r="GWX20" s="160"/>
      <c r="GWY20" s="160"/>
      <c r="GWZ20" s="160"/>
      <c r="GXA20" s="160"/>
      <c r="GXB20" s="160"/>
      <c r="GXC20" s="160"/>
      <c r="GXD20" s="160"/>
      <c r="GXE20" s="160"/>
      <c r="GXF20" s="160"/>
      <c r="GXG20" s="160"/>
      <c r="GXH20" s="160"/>
      <c r="GXI20" s="160"/>
      <c r="GXJ20" s="160"/>
      <c r="GXK20" s="160"/>
      <c r="GXL20" s="160"/>
      <c r="GXM20" s="160"/>
      <c r="GXN20" s="160"/>
      <c r="GXO20" s="160"/>
      <c r="GXP20" s="160"/>
      <c r="GXQ20" s="160"/>
      <c r="GXR20" s="160"/>
      <c r="GXS20" s="160"/>
      <c r="GXT20" s="160"/>
      <c r="GXU20" s="160"/>
      <c r="GXV20" s="160"/>
      <c r="GXW20" s="160"/>
      <c r="GXX20" s="160"/>
      <c r="GXY20" s="160"/>
      <c r="GXZ20" s="160"/>
      <c r="GYA20" s="160"/>
      <c r="GYB20" s="160"/>
      <c r="GYC20" s="160"/>
      <c r="GYD20" s="160"/>
      <c r="GYE20" s="160"/>
      <c r="GYF20" s="160"/>
      <c r="GYG20" s="160"/>
      <c r="GYH20" s="160"/>
      <c r="GYI20" s="160"/>
      <c r="GYJ20" s="160"/>
      <c r="GYK20" s="160"/>
      <c r="GYL20" s="160"/>
      <c r="GYM20" s="160"/>
      <c r="GYN20" s="160"/>
      <c r="GYO20" s="160"/>
      <c r="GYP20" s="160"/>
      <c r="GYQ20" s="160"/>
      <c r="GYR20" s="160"/>
      <c r="GYS20" s="160"/>
      <c r="GYT20" s="160"/>
      <c r="GYU20" s="160"/>
      <c r="GYV20" s="160"/>
      <c r="GYW20" s="160"/>
      <c r="GYX20" s="160"/>
      <c r="GYY20" s="160"/>
      <c r="GYZ20" s="160"/>
      <c r="GZA20" s="160"/>
      <c r="GZB20" s="160"/>
      <c r="GZC20" s="160"/>
      <c r="GZD20" s="160"/>
      <c r="GZE20" s="160"/>
      <c r="GZF20" s="160"/>
      <c r="GZG20" s="160"/>
      <c r="GZH20" s="160"/>
      <c r="GZI20" s="160"/>
      <c r="GZJ20" s="160"/>
      <c r="GZK20" s="160"/>
      <c r="GZL20" s="160"/>
      <c r="GZM20" s="160"/>
      <c r="GZN20" s="160"/>
      <c r="GZO20" s="160"/>
      <c r="GZP20" s="160"/>
      <c r="GZQ20" s="160"/>
      <c r="GZR20" s="160"/>
      <c r="GZS20" s="160"/>
      <c r="GZT20" s="160"/>
      <c r="GZU20" s="160"/>
      <c r="GZV20" s="160"/>
      <c r="GZW20" s="160"/>
      <c r="GZX20" s="160"/>
      <c r="GZY20" s="160"/>
      <c r="GZZ20" s="160"/>
      <c r="HAA20" s="160"/>
      <c r="HAB20" s="160"/>
      <c r="HAC20" s="160"/>
      <c r="HAD20" s="160"/>
      <c r="HAE20" s="160"/>
      <c r="HAF20" s="160"/>
      <c r="HAG20" s="160"/>
      <c r="HAH20" s="160"/>
      <c r="HAI20" s="160"/>
      <c r="HAJ20" s="160"/>
      <c r="HAK20" s="160"/>
      <c r="HAL20" s="160"/>
      <c r="HAM20" s="160"/>
      <c r="HAN20" s="160"/>
      <c r="HAO20" s="160"/>
      <c r="HAP20" s="160"/>
      <c r="HAQ20" s="160"/>
      <c r="HAR20" s="160"/>
      <c r="HAS20" s="160"/>
      <c r="HAT20" s="160"/>
      <c r="HAU20" s="160"/>
      <c r="HAV20" s="160"/>
      <c r="HAW20" s="160"/>
      <c r="HAX20" s="160"/>
      <c r="HAY20" s="160"/>
      <c r="HAZ20" s="160"/>
      <c r="HBA20" s="160"/>
      <c r="HBB20" s="160"/>
      <c r="HBC20" s="160"/>
      <c r="HBD20" s="160"/>
      <c r="HBE20" s="160"/>
      <c r="HBF20" s="160"/>
      <c r="HBG20" s="160"/>
      <c r="HBH20" s="160"/>
      <c r="HBI20" s="160"/>
      <c r="HBJ20" s="160"/>
      <c r="HBK20" s="160"/>
      <c r="HBL20" s="160"/>
      <c r="HBM20" s="160"/>
      <c r="HBN20" s="160"/>
      <c r="HBO20" s="160"/>
      <c r="HBP20" s="160"/>
      <c r="HBQ20" s="160"/>
      <c r="HBR20" s="160"/>
      <c r="HBS20" s="160"/>
      <c r="HBT20" s="160"/>
      <c r="HBU20" s="160"/>
      <c r="HBV20" s="160"/>
      <c r="HBW20" s="160"/>
      <c r="HBX20" s="160"/>
      <c r="HBY20" s="160"/>
      <c r="HBZ20" s="160"/>
      <c r="HCA20" s="160"/>
      <c r="HCB20" s="160"/>
      <c r="HCC20" s="160"/>
      <c r="HCD20" s="160"/>
      <c r="HCE20" s="160"/>
      <c r="HCF20" s="160"/>
      <c r="HCG20" s="160"/>
      <c r="HCH20" s="160"/>
      <c r="HCI20" s="160"/>
      <c r="HCJ20" s="160"/>
      <c r="HCK20" s="160"/>
      <c r="HCL20" s="160"/>
      <c r="HCM20" s="160"/>
      <c r="HCN20" s="160"/>
      <c r="HCO20" s="160"/>
      <c r="HCP20" s="160"/>
      <c r="HCQ20" s="160"/>
      <c r="HCR20" s="160"/>
      <c r="HCS20" s="160"/>
      <c r="HCT20" s="160"/>
      <c r="HCU20" s="160"/>
      <c r="HCV20" s="160"/>
      <c r="HCW20" s="160"/>
      <c r="HCX20" s="160"/>
      <c r="HCY20" s="160"/>
      <c r="HCZ20" s="160"/>
      <c r="HDA20" s="160"/>
      <c r="HDB20" s="160"/>
      <c r="HDC20" s="160"/>
      <c r="HDD20" s="160"/>
      <c r="HDE20" s="160"/>
      <c r="HDF20" s="160"/>
      <c r="HDG20" s="160"/>
      <c r="HDH20" s="160"/>
      <c r="HDI20" s="160"/>
      <c r="HDJ20" s="160"/>
      <c r="HDK20" s="160"/>
      <c r="HDL20" s="160"/>
      <c r="HDM20" s="160"/>
      <c r="HDN20" s="160"/>
      <c r="HDO20" s="160"/>
      <c r="HDP20" s="160"/>
      <c r="HDQ20" s="160"/>
      <c r="HDR20" s="160"/>
      <c r="HDS20" s="160"/>
      <c r="HDT20" s="160"/>
      <c r="HDU20" s="160"/>
      <c r="HDV20" s="160"/>
      <c r="HDW20" s="160"/>
      <c r="HDX20" s="160"/>
      <c r="HDY20" s="160"/>
      <c r="HDZ20" s="160"/>
      <c r="HEA20" s="160"/>
      <c r="HEB20" s="160"/>
      <c r="HEC20" s="160"/>
      <c r="HED20" s="160"/>
      <c r="HEE20" s="160"/>
      <c r="HEF20" s="160"/>
      <c r="HEG20" s="160"/>
      <c r="HEH20" s="160"/>
      <c r="HEI20" s="160"/>
      <c r="HEJ20" s="160"/>
      <c r="HEK20" s="160"/>
      <c r="HEL20" s="160"/>
      <c r="HEM20" s="160"/>
      <c r="HEN20" s="160"/>
      <c r="HEO20" s="160"/>
      <c r="HEP20" s="160"/>
      <c r="HEQ20" s="160"/>
      <c r="HER20" s="160"/>
      <c r="HES20" s="160"/>
      <c r="HET20" s="160"/>
      <c r="HEU20" s="160"/>
      <c r="HEV20" s="160"/>
      <c r="HEW20" s="160"/>
      <c r="HEX20" s="160"/>
      <c r="HEY20" s="160"/>
      <c r="HEZ20" s="160"/>
      <c r="HFA20" s="160"/>
      <c r="HFB20" s="160"/>
      <c r="HFC20" s="160"/>
      <c r="HFD20" s="160"/>
      <c r="HFE20" s="160"/>
      <c r="HFF20" s="160"/>
      <c r="HFG20" s="160"/>
      <c r="HFH20" s="160"/>
      <c r="HFI20" s="160"/>
      <c r="HFJ20" s="160"/>
      <c r="HFK20" s="160"/>
      <c r="HFL20" s="160"/>
      <c r="HFM20" s="160"/>
      <c r="HFN20" s="160"/>
      <c r="HFO20" s="160"/>
      <c r="HFP20" s="160"/>
      <c r="HFQ20" s="160"/>
      <c r="HFR20" s="160"/>
      <c r="HFS20" s="160"/>
      <c r="HFT20" s="160"/>
      <c r="HFU20" s="160"/>
      <c r="HFV20" s="160"/>
      <c r="HFW20" s="160"/>
      <c r="HFX20" s="160"/>
      <c r="HFY20" s="160"/>
      <c r="HFZ20" s="160"/>
      <c r="HGA20" s="160"/>
      <c r="HGB20" s="160"/>
      <c r="HGC20" s="160"/>
      <c r="HGD20" s="160"/>
      <c r="HGE20" s="160"/>
      <c r="HGF20" s="160"/>
      <c r="HGG20" s="160"/>
      <c r="HGH20" s="160"/>
      <c r="HGI20" s="160"/>
      <c r="HGJ20" s="160"/>
      <c r="HGK20" s="160"/>
      <c r="HGL20" s="160"/>
      <c r="HGM20" s="160"/>
      <c r="HGN20" s="160"/>
      <c r="HGO20" s="160"/>
      <c r="HGP20" s="160"/>
      <c r="HGQ20" s="160"/>
      <c r="HGR20" s="160"/>
      <c r="HGS20" s="160"/>
      <c r="HGT20" s="160"/>
      <c r="HGU20" s="160"/>
      <c r="HGV20" s="160"/>
      <c r="HGW20" s="160"/>
      <c r="HGX20" s="160"/>
      <c r="HGY20" s="160"/>
      <c r="HGZ20" s="160"/>
      <c r="HHA20" s="160"/>
      <c r="HHB20" s="160"/>
      <c r="HHC20" s="160"/>
      <c r="HHD20" s="160"/>
      <c r="HHE20" s="160"/>
      <c r="HHF20" s="160"/>
      <c r="HHG20" s="160"/>
      <c r="HHH20" s="160"/>
      <c r="HHI20" s="160"/>
      <c r="HHJ20" s="160"/>
      <c r="HHK20" s="160"/>
      <c r="HHL20" s="160"/>
      <c r="HHM20" s="160"/>
      <c r="HHN20" s="160"/>
      <c r="HHO20" s="160"/>
      <c r="HHP20" s="160"/>
      <c r="HHQ20" s="160"/>
      <c r="HHR20" s="160"/>
      <c r="HHS20" s="160"/>
      <c r="HHT20" s="160"/>
      <c r="HHU20" s="160"/>
      <c r="HHV20" s="160"/>
      <c r="HHW20" s="160"/>
      <c r="HHX20" s="160"/>
      <c r="HHY20" s="160"/>
      <c r="HHZ20" s="160"/>
      <c r="HIA20" s="160"/>
      <c r="HIB20" s="160"/>
      <c r="HIC20" s="160"/>
      <c r="HID20" s="160"/>
      <c r="HIE20" s="160"/>
      <c r="HIF20" s="160"/>
      <c r="HIG20" s="160"/>
      <c r="HIH20" s="160"/>
      <c r="HII20" s="160"/>
      <c r="HIJ20" s="160"/>
      <c r="HIK20" s="160"/>
      <c r="HIL20" s="160"/>
      <c r="HIM20" s="160"/>
      <c r="HIN20" s="160"/>
      <c r="HIO20" s="160"/>
      <c r="HIP20" s="160"/>
      <c r="HIQ20" s="160"/>
      <c r="HIR20" s="160"/>
      <c r="HIS20" s="160"/>
      <c r="HIT20" s="160"/>
      <c r="HIU20" s="160"/>
      <c r="HIV20" s="160"/>
      <c r="HIW20" s="160"/>
      <c r="HIX20" s="160"/>
      <c r="HIY20" s="160"/>
      <c r="HIZ20" s="160"/>
      <c r="HJA20" s="160"/>
      <c r="HJB20" s="160"/>
      <c r="HJC20" s="160"/>
      <c r="HJD20" s="160"/>
      <c r="HJE20" s="160"/>
      <c r="HJF20" s="160"/>
      <c r="HJG20" s="160"/>
      <c r="HJH20" s="160"/>
      <c r="HJI20" s="160"/>
      <c r="HJJ20" s="160"/>
      <c r="HJK20" s="160"/>
      <c r="HJL20" s="160"/>
      <c r="HJM20" s="160"/>
      <c r="HJN20" s="160"/>
      <c r="HJO20" s="160"/>
      <c r="HJP20" s="160"/>
      <c r="HJQ20" s="160"/>
      <c r="HJR20" s="160"/>
      <c r="HJS20" s="160"/>
      <c r="HJT20" s="160"/>
      <c r="HJU20" s="160"/>
      <c r="HJV20" s="160"/>
      <c r="HJW20" s="160"/>
      <c r="HJX20" s="160"/>
      <c r="HJY20" s="160"/>
      <c r="HJZ20" s="160"/>
      <c r="HKA20" s="160"/>
      <c r="HKB20" s="160"/>
      <c r="HKC20" s="160"/>
      <c r="HKD20" s="160"/>
      <c r="HKE20" s="160"/>
      <c r="HKF20" s="160"/>
      <c r="HKG20" s="160"/>
      <c r="HKH20" s="160"/>
      <c r="HKI20" s="160"/>
      <c r="HKJ20" s="160"/>
      <c r="HKK20" s="160"/>
      <c r="HKL20" s="160"/>
      <c r="HKM20" s="160"/>
      <c r="HKN20" s="160"/>
      <c r="HKO20" s="160"/>
      <c r="HKP20" s="160"/>
      <c r="HKQ20" s="160"/>
      <c r="HKR20" s="160"/>
      <c r="HKS20" s="160"/>
      <c r="HKT20" s="160"/>
      <c r="HKU20" s="160"/>
      <c r="HKV20" s="160"/>
      <c r="HKW20" s="160"/>
      <c r="HKX20" s="160"/>
      <c r="HKY20" s="160"/>
      <c r="HKZ20" s="160"/>
      <c r="HLA20" s="160"/>
      <c r="HLB20" s="160"/>
      <c r="HLC20" s="160"/>
      <c r="HLD20" s="160"/>
      <c r="HLE20" s="160"/>
      <c r="HLF20" s="160"/>
      <c r="HLG20" s="160"/>
      <c r="HLH20" s="160"/>
      <c r="HLI20" s="160"/>
      <c r="HLJ20" s="160"/>
      <c r="HLK20" s="160"/>
      <c r="HLL20" s="160"/>
      <c r="HLM20" s="160"/>
      <c r="HLN20" s="160"/>
      <c r="HLO20" s="160"/>
      <c r="HLP20" s="160"/>
      <c r="HLQ20" s="160"/>
      <c r="HLR20" s="160"/>
      <c r="HLS20" s="160"/>
      <c r="HLT20" s="160"/>
      <c r="HLU20" s="160"/>
      <c r="HLV20" s="160"/>
      <c r="HLW20" s="160"/>
      <c r="HLX20" s="160"/>
      <c r="HLY20" s="160"/>
      <c r="HLZ20" s="160"/>
      <c r="HMA20" s="160"/>
      <c r="HMB20" s="160"/>
      <c r="HMC20" s="160"/>
      <c r="HMD20" s="160"/>
      <c r="HME20" s="160"/>
      <c r="HMF20" s="160"/>
      <c r="HMG20" s="160"/>
      <c r="HMH20" s="160"/>
      <c r="HMI20" s="160"/>
      <c r="HMJ20" s="160"/>
      <c r="HMK20" s="160"/>
      <c r="HML20" s="160"/>
      <c r="HMM20" s="160"/>
      <c r="HMN20" s="160"/>
      <c r="HMO20" s="160"/>
      <c r="HMP20" s="160"/>
      <c r="HMQ20" s="160"/>
      <c r="HMR20" s="160"/>
      <c r="HMS20" s="160"/>
      <c r="HMT20" s="160"/>
      <c r="HMU20" s="160"/>
      <c r="HMV20" s="160"/>
      <c r="HMW20" s="160"/>
      <c r="HMX20" s="160"/>
      <c r="HMY20" s="160"/>
      <c r="HMZ20" s="160"/>
      <c r="HNA20" s="160"/>
      <c r="HNB20" s="160"/>
      <c r="HNC20" s="160"/>
      <c r="HND20" s="160"/>
      <c r="HNE20" s="160"/>
      <c r="HNF20" s="160"/>
      <c r="HNG20" s="160"/>
      <c r="HNH20" s="160"/>
      <c r="HNI20" s="160"/>
      <c r="HNJ20" s="160"/>
      <c r="HNK20" s="160"/>
      <c r="HNL20" s="160"/>
      <c r="HNM20" s="160"/>
      <c r="HNN20" s="160"/>
      <c r="HNO20" s="160"/>
      <c r="HNP20" s="160"/>
      <c r="HNQ20" s="160"/>
      <c r="HNR20" s="160"/>
      <c r="HNS20" s="160"/>
      <c r="HNT20" s="160"/>
      <c r="HNU20" s="160"/>
      <c r="HNV20" s="160"/>
      <c r="HNW20" s="160"/>
      <c r="HNX20" s="160"/>
      <c r="HNY20" s="160"/>
      <c r="HNZ20" s="160"/>
      <c r="HOA20" s="160"/>
      <c r="HOB20" s="160"/>
      <c r="HOC20" s="160"/>
      <c r="HOD20" s="160"/>
      <c r="HOE20" s="160"/>
      <c r="HOF20" s="160"/>
      <c r="HOG20" s="160"/>
      <c r="HOH20" s="160"/>
      <c r="HOI20" s="160"/>
      <c r="HOJ20" s="160"/>
      <c r="HOK20" s="160"/>
      <c r="HOL20" s="160"/>
      <c r="HOM20" s="160"/>
      <c r="HON20" s="160"/>
      <c r="HOO20" s="160"/>
      <c r="HOP20" s="160"/>
      <c r="HOQ20" s="160"/>
      <c r="HOR20" s="160"/>
      <c r="HOS20" s="160"/>
      <c r="HOT20" s="160"/>
      <c r="HOU20" s="160"/>
      <c r="HOV20" s="160"/>
      <c r="HOW20" s="160"/>
      <c r="HOX20" s="160"/>
      <c r="HOY20" s="160"/>
      <c r="HOZ20" s="160"/>
      <c r="HPA20" s="160"/>
      <c r="HPB20" s="160"/>
      <c r="HPC20" s="160"/>
      <c r="HPD20" s="160"/>
      <c r="HPE20" s="160"/>
      <c r="HPF20" s="160"/>
      <c r="HPG20" s="160"/>
      <c r="HPH20" s="160"/>
      <c r="HPI20" s="160"/>
      <c r="HPJ20" s="160"/>
      <c r="HPK20" s="160"/>
      <c r="HPL20" s="160"/>
      <c r="HPM20" s="160"/>
      <c r="HPN20" s="160"/>
      <c r="HPO20" s="160"/>
      <c r="HPP20" s="160"/>
      <c r="HPQ20" s="160"/>
      <c r="HPR20" s="160"/>
      <c r="HPS20" s="160"/>
      <c r="HPT20" s="160"/>
      <c r="HPU20" s="160"/>
      <c r="HPV20" s="160"/>
      <c r="HPW20" s="160"/>
      <c r="HPX20" s="160"/>
      <c r="HPY20" s="160"/>
      <c r="HPZ20" s="160"/>
      <c r="HQA20" s="160"/>
      <c r="HQB20" s="160"/>
      <c r="HQC20" s="160"/>
      <c r="HQD20" s="160"/>
      <c r="HQE20" s="160"/>
      <c r="HQF20" s="160"/>
      <c r="HQG20" s="160"/>
      <c r="HQH20" s="160"/>
      <c r="HQI20" s="160"/>
      <c r="HQJ20" s="160"/>
      <c r="HQK20" s="160"/>
      <c r="HQL20" s="160"/>
      <c r="HQM20" s="160"/>
      <c r="HQN20" s="160"/>
      <c r="HQO20" s="160"/>
      <c r="HQP20" s="160"/>
      <c r="HQQ20" s="160"/>
      <c r="HQR20" s="160"/>
      <c r="HQS20" s="160"/>
      <c r="HQT20" s="160"/>
      <c r="HQU20" s="160"/>
      <c r="HQV20" s="160"/>
      <c r="HQW20" s="160"/>
      <c r="HQX20" s="160"/>
      <c r="HQY20" s="160"/>
      <c r="HQZ20" s="160"/>
      <c r="HRA20" s="160"/>
      <c r="HRB20" s="160"/>
      <c r="HRC20" s="160"/>
      <c r="HRD20" s="160"/>
      <c r="HRE20" s="160"/>
      <c r="HRF20" s="160"/>
      <c r="HRG20" s="160"/>
      <c r="HRH20" s="160"/>
      <c r="HRI20" s="160"/>
      <c r="HRJ20" s="160"/>
      <c r="HRK20" s="160"/>
      <c r="HRL20" s="160"/>
      <c r="HRM20" s="160"/>
      <c r="HRN20" s="160"/>
      <c r="HRO20" s="160"/>
      <c r="HRP20" s="160"/>
      <c r="HRQ20" s="160"/>
      <c r="HRR20" s="160"/>
      <c r="HRS20" s="160"/>
      <c r="HRT20" s="160"/>
      <c r="HRU20" s="160"/>
      <c r="HRV20" s="160"/>
      <c r="HRW20" s="160"/>
      <c r="HRX20" s="160"/>
      <c r="HRY20" s="160"/>
      <c r="HRZ20" s="160"/>
      <c r="HSA20" s="160"/>
      <c r="HSB20" s="160"/>
      <c r="HSC20" s="160"/>
      <c r="HSD20" s="160"/>
      <c r="HSE20" s="160"/>
      <c r="HSF20" s="160"/>
      <c r="HSG20" s="160"/>
      <c r="HSH20" s="160"/>
      <c r="HSI20" s="160"/>
      <c r="HSJ20" s="160"/>
      <c r="HSK20" s="160"/>
      <c r="HSL20" s="160"/>
      <c r="HSM20" s="160"/>
      <c r="HSN20" s="160"/>
      <c r="HSO20" s="160"/>
      <c r="HSP20" s="160"/>
      <c r="HSQ20" s="160"/>
      <c r="HSR20" s="160"/>
      <c r="HSS20" s="160"/>
      <c r="HST20" s="160"/>
      <c r="HSU20" s="160"/>
      <c r="HSV20" s="160"/>
      <c r="HSW20" s="160"/>
      <c r="HSX20" s="160"/>
      <c r="HSY20" s="160"/>
      <c r="HSZ20" s="160"/>
      <c r="HTA20" s="160"/>
      <c r="HTB20" s="160"/>
      <c r="HTC20" s="160"/>
      <c r="HTD20" s="160"/>
      <c r="HTE20" s="160"/>
      <c r="HTF20" s="160"/>
      <c r="HTG20" s="160"/>
      <c r="HTH20" s="160"/>
      <c r="HTI20" s="160"/>
      <c r="HTJ20" s="160"/>
      <c r="HTK20" s="160"/>
      <c r="HTL20" s="160"/>
      <c r="HTM20" s="160"/>
      <c r="HTN20" s="160"/>
      <c r="HTO20" s="160"/>
      <c r="HTP20" s="160"/>
      <c r="HTQ20" s="160"/>
      <c r="HTR20" s="160"/>
      <c r="HTS20" s="160"/>
      <c r="HTT20" s="160"/>
      <c r="HTU20" s="160"/>
      <c r="HTV20" s="160"/>
      <c r="HTW20" s="160"/>
      <c r="HTX20" s="160"/>
      <c r="HTY20" s="160"/>
      <c r="HTZ20" s="160"/>
      <c r="HUA20" s="160"/>
      <c r="HUB20" s="160"/>
      <c r="HUC20" s="160"/>
      <c r="HUD20" s="160"/>
      <c r="HUE20" s="160"/>
      <c r="HUF20" s="160"/>
      <c r="HUG20" s="160"/>
      <c r="HUH20" s="160"/>
      <c r="HUI20" s="160"/>
      <c r="HUJ20" s="160"/>
      <c r="HUK20" s="160"/>
      <c r="HUL20" s="160"/>
      <c r="HUM20" s="160"/>
      <c r="HUN20" s="160"/>
      <c r="HUO20" s="160"/>
      <c r="HUP20" s="160"/>
      <c r="HUQ20" s="160"/>
      <c r="HUR20" s="160"/>
      <c r="HUS20" s="160"/>
      <c r="HUT20" s="160"/>
      <c r="HUU20" s="160"/>
      <c r="HUV20" s="160"/>
      <c r="HUW20" s="160"/>
      <c r="HUX20" s="160"/>
      <c r="HUY20" s="160"/>
      <c r="HUZ20" s="160"/>
      <c r="HVA20" s="160"/>
      <c r="HVB20" s="160"/>
      <c r="HVC20" s="160"/>
      <c r="HVD20" s="160"/>
      <c r="HVE20" s="160"/>
      <c r="HVF20" s="160"/>
      <c r="HVG20" s="160"/>
      <c r="HVH20" s="160"/>
      <c r="HVI20" s="160"/>
      <c r="HVJ20" s="160"/>
      <c r="HVK20" s="160"/>
      <c r="HVL20" s="160"/>
      <c r="HVM20" s="160"/>
      <c r="HVN20" s="160"/>
      <c r="HVO20" s="160"/>
      <c r="HVP20" s="160"/>
      <c r="HVQ20" s="160"/>
      <c r="HVR20" s="160"/>
      <c r="HVS20" s="160"/>
      <c r="HVT20" s="160"/>
      <c r="HVU20" s="160"/>
      <c r="HVV20" s="160"/>
      <c r="HVW20" s="160"/>
      <c r="HVX20" s="160"/>
      <c r="HVY20" s="160"/>
      <c r="HVZ20" s="160"/>
      <c r="HWA20" s="160"/>
      <c r="HWB20" s="160"/>
      <c r="HWC20" s="160"/>
      <c r="HWD20" s="160"/>
      <c r="HWE20" s="160"/>
      <c r="HWF20" s="160"/>
      <c r="HWG20" s="160"/>
      <c r="HWH20" s="160"/>
      <c r="HWI20" s="160"/>
      <c r="HWJ20" s="160"/>
      <c r="HWK20" s="160"/>
      <c r="HWL20" s="160"/>
      <c r="HWM20" s="160"/>
      <c r="HWN20" s="160"/>
      <c r="HWO20" s="160"/>
      <c r="HWP20" s="160"/>
      <c r="HWQ20" s="160"/>
      <c r="HWR20" s="160"/>
      <c r="HWS20" s="160"/>
      <c r="HWT20" s="160"/>
      <c r="HWU20" s="160"/>
      <c r="HWV20" s="160"/>
      <c r="HWW20" s="160"/>
      <c r="HWX20" s="160"/>
      <c r="HWY20" s="160"/>
      <c r="HWZ20" s="160"/>
      <c r="HXA20" s="160"/>
      <c r="HXB20" s="160"/>
      <c r="HXC20" s="160"/>
      <c r="HXD20" s="160"/>
      <c r="HXE20" s="160"/>
      <c r="HXF20" s="160"/>
      <c r="HXG20" s="160"/>
      <c r="HXH20" s="160"/>
      <c r="HXI20" s="160"/>
      <c r="HXJ20" s="160"/>
      <c r="HXK20" s="160"/>
      <c r="HXL20" s="160"/>
      <c r="HXM20" s="160"/>
      <c r="HXN20" s="160"/>
      <c r="HXO20" s="160"/>
      <c r="HXP20" s="160"/>
      <c r="HXQ20" s="160"/>
      <c r="HXR20" s="160"/>
      <c r="HXS20" s="160"/>
      <c r="HXT20" s="160"/>
      <c r="HXU20" s="160"/>
      <c r="HXV20" s="160"/>
      <c r="HXW20" s="160"/>
      <c r="HXX20" s="160"/>
      <c r="HXY20" s="160"/>
      <c r="HXZ20" s="160"/>
      <c r="HYA20" s="160"/>
      <c r="HYB20" s="160"/>
      <c r="HYC20" s="160"/>
      <c r="HYD20" s="160"/>
      <c r="HYE20" s="160"/>
      <c r="HYF20" s="160"/>
      <c r="HYG20" s="160"/>
      <c r="HYH20" s="160"/>
      <c r="HYI20" s="160"/>
      <c r="HYJ20" s="160"/>
      <c r="HYK20" s="160"/>
      <c r="HYL20" s="160"/>
      <c r="HYM20" s="160"/>
      <c r="HYN20" s="160"/>
      <c r="HYO20" s="160"/>
      <c r="HYP20" s="160"/>
      <c r="HYQ20" s="160"/>
      <c r="HYR20" s="160"/>
      <c r="HYS20" s="160"/>
      <c r="HYT20" s="160"/>
      <c r="HYU20" s="160"/>
      <c r="HYV20" s="160"/>
      <c r="HYW20" s="160"/>
      <c r="HYX20" s="160"/>
      <c r="HYY20" s="160"/>
      <c r="HYZ20" s="160"/>
      <c r="HZA20" s="160"/>
      <c r="HZB20" s="160"/>
      <c r="HZC20" s="160"/>
      <c r="HZD20" s="160"/>
      <c r="HZE20" s="160"/>
      <c r="HZF20" s="160"/>
      <c r="HZG20" s="160"/>
      <c r="HZH20" s="160"/>
      <c r="HZI20" s="160"/>
      <c r="HZJ20" s="160"/>
      <c r="HZK20" s="160"/>
      <c r="HZL20" s="160"/>
      <c r="HZM20" s="160"/>
      <c r="HZN20" s="160"/>
      <c r="HZO20" s="160"/>
      <c r="HZP20" s="160"/>
      <c r="HZQ20" s="160"/>
      <c r="HZR20" s="160"/>
      <c r="HZS20" s="160"/>
      <c r="HZT20" s="160"/>
      <c r="HZU20" s="160"/>
      <c r="HZV20" s="160"/>
      <c r="HZW20" s="160"/>
      <c r="HZX20" s="160"/>
      <c r="HZY20" s="160"/>
      <c r="HZZ20" s="160"/>
      <c r="IAA20" s="160"/>
      <c r="IAB20" s="160"/>
      <c r="IAC20" s="160"/>
      <c r="IAD20" s="160"/>
      <c r="IAE20" s="160"/>
      <c r="IAF20" s="160"/>
      <c r="IAG20" s="160"/>
      <c r="IAH20" s="160"/>
      <c r="IAI20" s="160"/>
      <c r="IAJ20" s="160"/>
      <c r="IAK20" s="160"/>
      <c r="IAL20" s="160"/>
      <c r="IAM20" s="160"/>
      <c r="IAN20" s="160"/>
      <c r="IAO20" s="160"/>
      <c r="IAP20" s="160"/>
      <c r="IAQ20" s="160"/>
      <c r="IAR20" s="160"/>
      <c r="IAS20" s="160"/>
      <c r="IAT20" s="160"/>
      <c r="IAU20" s="160"/>
      <c r="IAV20" s="160"/>
      <c r="IAW20" s="160"/>
      <c r="IAX20" s="160"/>
      <c r="IAY20" s="160"/>
      <c r="IAZ20" s="160"/>
      <c r="IBA20" s="160"/>
      <c r="IBB20" s="160"/>
      <c r="IBC20" s="160"/>
      <c r="IBD20" s="160"/>
      <c r="IBE20" s="160"/>
      <c r="IBF20" s="160"/>
      <c r="IBG20" s="160"/>
      <c r="IBH20" s="160"/>
      <c r="IBI20" s="160"/>
      <c r="IBJ20" s="160"/>
      <c r="IBK20" s="160"/>
      <c r="IBL20" s="160"/>
      <c r="IBM20" s="160"/>
      <c r="IBN20" s="160"/>
      <c r="IBO20" s="160"/>
      <c r="IBP20" s="160"/>
      <c r="IBQ20" s="160"/>
      <c r="IBR20" s="160"/>
      <c r="IBS20" s="160"/>
      <c r="IBT20" s="160"/>
      <c r="IBU20" s="160"/>
      <c r="IBV20" s="160"/>
      <c r="IBW20" s="160"/>
      <c r="IBX20" s="160"/>
      <c r="IBY20" s="160"/>
      <c r="IBZ20" s="160"/>
      <c r="ICA20" s="160"/>
      <c r="ICB20" s="160"/>
      <c r="ICC20" s="160"/>
      <c r="ICD20" s="160"/>
      <c r="ICE20" s="160"/>
      <c r="ICF20" s="160"/>
      <c r="ICG20" s="160"/>
      <c r="ICH20" s="160"/>
      <c r="ICI20" s="160"/>
      <c r="ICJ20" s="160"/>
      <c r="ICK20" s="160"/>
      <c r="ICL20" s="160"/>
      <c r="ICM20" s="160"/>
      <c r="ICN20" s="160"/>
      <c r="ICO20" s="160"/>
      <c r="ICP20" s="160"/>
      <c r="ICQ20" s="160"/>
      <c r="ICR20" s="160"/>
      <c r="ICS20" s="160"/>
      <c r="ICT20" s="160"/>
      <c r="ICU20" s="160"/>
      <c r="ICV20" s="160"/>
      <c r="ICW20" s="160"/>
      <c r="ICX20" s="160"/>
      <c r="ICY20" s="160"/>
      <c r="ICZ20" s="160"/>
      <c r="IDA20" s="160"/>
      <c r="IDB20" s="160"/>
      <c r="IDC20" s="160"/>
      <c r="IDD20" s="160"/>
      <c r="IDE20" s="160"/>
      <c r="IDF20" s="160"/>
      <c r="IDG20" s="160"/>
      <c r="IDH20" s="160"/>
      <c r="IDI20" s="160"/>
      <c r="IDJ20" s="160"/>
      <c r="IDK20" s="160"/>
      <c r="IDL20" s="160"/>
      <c r="IDM20" s="160"/>
      <c r="IDN20" s="160"/>
      <c r="IDO20" s="160"/>
      <c r="IDP20" s="160"/>
      <c r="IDQ20" s="160"/>
      <c r="IDR20" s="160"/>
      <c r="IDS20" s="160"/>
      <c r="IDT20" s="160"/>
      <c r="IDU20" s="160"/>
      <c r="IDV20" s="160"/>
      <c r="IDW20" s="160"/>
      <c r="IDX20" s="160"/>
      <c r="IDY20" s="160"/>
      <c r="IDZ20" s="160"/>
      <c r="IEA20" s="160"/>
      <c r="IEB20" s="160"/>
      <c r="IEC20" s="160"/>
      <c r="IED20" s="160"/>
      <c r="IEE20" s="160"/>
      <c r="IEF20" s="160"/>
      <c r="IEG20" s="160"/>
      <c r="IEH20" s="160"/>
      <c r="IEI20" s="160"/>
      <c r="IEJ20" s="160"/>
      <c r="IEK20" s="160"/>
      <c r="IEL20" s="160"/>
      <c r="IEM20" s="160"/>
      <c r="IEN20" s="160"/>
      <c r="IEO20" s="160"/>
      <c r="IEP20" s="160"/>
      <c r="IEQ20" s="160"/>
      <c r="IER20" s="160"/>
      <c r="IES20" s="160"/>
      <c r="IET20" s="160"/>
      <c r="IEU20" s="160"/>
      <c r="IEV20" s="160"/>
      <c r="IEW20" s="160"/>
      <c r="IEX20" s="160"/>
      <c r="IEY20" s="160"/>
      <c r="IEZ20" s="160"/>
      <c r="IFA20" s="160"/>
      <c r="IFB20" s="160"/>
      <c r="IFC20" s="160"/>
      <c r="IFD20" s="160"/>
      <c r="IFE20" s="160"/>
      <c r="IFF20" s="160"/>
      <c r="IFG20" s="160"/>
      <c r="IFH20" s="160"/>
      <c r="IFI20" s="160"/>
      <c r="IFJ20" s="160"/>
      <c r="IFK20" s="160"/>
      <c r="IFL20" s="160"/>
      <c r="IFM20" s="160"/>
      <c r="IFN20" s="160"/>
      <c r="IFO20" s="160"/>
      <c r="IFP20" s="160"/>
      <c r="IFQ20" s="160"/>
      <c r="IFR20" s="160"/>
      <c r="IFS20" s="160"/>
      <c r="IFT20" s="160"/>
      <c r="IFU20" s="160"/>
      <c r="IFV20" s="160"/>
      <c r="IFW20" s="160"/>
      <c r="IFX20" s="160"/>
      <c r="IFY20" s="160"/>
      <c r="IFZ20" s="160"/>
      <c r="IGA20" s="160"/>
      <c r="IGB20" s="160"/>
      <c r="IGC20" s="160"/>
      <c r="IGD20" s="160"/>
      <c r="IGE20" s="160"/>
      <c r="IGF20" s="160"/>
      <c r="IGG20" s="160"/>
      <c r="IGH20" s="160"/>
      <c r="IGI20" s="160"/>
      <c r="IGJ20" s="160"/>
      <c r="IGK20" s="160"/>
      <c r="IGL20" s="160"/>
      <c r="IGM20" s="160"/>
      <c r="IGN20" s="160"/>
      <c r="IGO20" s="160"/>
      <c r="IGP20" s="160"/>
      <c r="IGQ20" s="160"/>
      <c r="IGR20" s="160"/>
      <c r="IGS20" s="160"/>
      <c r="IGT20" s="160"/>
      <c r="IGU20" s="160"/>
      <c r="IGV20" s="160"/>
      <c r="IGW20" s="160"/>
      <c r="IGX20" s="160"/>
      <c r="IGY20" s="160"/>
      <c r="IGZ20" s="160"/>
      <c r="IHA20" s="160"/>
      <c r="IHB20" s="160"/>
      <c r="IHC20" s="160"/>
      <c r="IHD20" s="160"/>
      <c r="IHE20" s="160"/>
      <c r="IHF20" s="160"/>
      <c r="IHG20" s="160"/>
      <c r="IHH20" s="160"/>
      <c r="IHI20" s="160"/>
      <c r="IHJ20" s="160"/>
      <c r="IHK20" s="160"/>
      <c r="IHL20" s="160"/>
      <c r="IHM20" s="160"/>
      <c r="IHN20" s="160"/>
      <c r="IHO20" s="160"/>
      <c r="IHP20" s="160"/>
      <c r="IHQ20" s="160"/>
      <c r="IHR20" s="160"/>
      <c r="IHS20" s="160"/>
      <c r="IHT20" s="160"/>
      <c r="IHU20" s="160"/>
      <c r="IHV20" s="160"/>
      <c r="IHW20" s="160"/>
      <c r="IHX20" s="160"/>
      <c r="IHY20" s="160"/>
      <c r="IHZ20" s="160"/>
      <c r="IIA20" s="160"/>
      <c r="IIB20" s="160"/>
      <c r="IIC20" s="160"/>
      <c r="IID20" s="160"/>
      <c r="IIE20" s="160"/>
      <c r="IIF20" s="160"/>
      <c r="IIG20" s="160"/>
      <c r="IIH20" s="160"/>
      <c r="III20" s="160"/>
      <c r="IIJ20" s="160"/>
      <c r="IIK20" s="160"/>
      <c r="IIL20" s="160"/>
      <c r="IIM20" s="160"/>
      <c r="IIN20" s="160"/>
      <c r="IIO20" s="160"/>
      <c r="IIP20" s="160"/>
      <c r="IIQ20" s="160"/>
      <c r="IIR20" s="160"/>
      <c r="IIS20" s="160"/>
      <c r="IIT20" s="160"/>
      <c r="IIU20" s="160"/>
      <c r="IIV20" s="160"/>
      <c r="IIW20" s="160"/>
      <c r="IIX20" s="160"/>
      <c r="IIY20" s="160"/>
      <c r="IIZ20" s="160"/>
      <c r="IJA20" s="160"/>
      <c r="IJB20" s="160"/>
      <c r="IJC20" s="160"/>
      <c r="IJD20" s="160"/>
      <c r="IJE20" s="160"/>
      <c r="IJF20" s="160"/>
      <c r="IJG20" s="160"/>
      <c r="IJH20" s="160"/>
      <c r="IJI20" s="160"/>
      <c r="IJJ20" s="160"/>
      <c r="IJK20" s="160"/>
      <c r="IJL20" s="160"/>
      <c r="IJM20" s="160"/>
      <c r="IJN20" s="160"/>
      <c r="IJO20" s="160"/>
      <c r="IJP20" s="160"/>
      <c r="IJQ20" s="160"/>
      <c r="IJR20" s="160"/>
      <c r="IJS20" s="160"/>
      <c r="IJT20" s="160"/>
      <c r="IJU20" s="160"/>
      <c r="IJV20" s="160"/>
      <c r="IJW20" s="160"/>
      <c r="IJX20" s="160"/>
      <c r="IJY20" s="160"/>
      <c r="IJZ20" s="160"/>
      <c r="IKA20" s="160"/>
      <c r="IKB20" s="160"/>
      <c r="IKC20" s="160"/>
      <c r="IKD20" s="160"/>
      <c r="IKE20" s="160"/>
      <c r="IKF20" s="160"/>
      <c r="IKG20" s="160"/>
      <c r="IKH20" s="160"/>
      <c r="IKI20" s="160"/>
      <c r="IKJ20" s="160"/>
      <c r="IKK20" s="160"/>
      <c r="IKL20" s="160"/>
      <c r="IKM20" s="160"/>
      <c r="IKN20" s="160"/>
      <c r="IKO20" s="160"/>
      <c r="IKP20" s="160"/>
      <c r="IKQ20" s="160"/>
      <c r="IKR20" s="160"/>
      <c r="IKS20" s="160"/>
      <c r="IKT20" s="160"/>
      <c r="IKU20" s="160"/>
      <c r="IKV20" s="160"/>
      <c r="IKW20" s="160"/>
      <c r="IKX20" s="160"/>
      <c r="IKY20" s="160"/>
      <c r="IKZ20" s="160"/>
      <c r="ILA20" s="160"/>
      <c r="ILB20" s="160"/>
      <c r="ILC20" s="160"/>
      <c r="ILD20" s="160"/>
      <c r="ILE20" s="160"/>
      <c r="ILF20" s="160"/>
      <c r="ILG20" s="160"/>
      <c r="ILH20" s="160"/>
      <c r="ILI20" s="160"/>
      <c r="ILJ20" s="160"/>
      <c r="ILK20" s="160"/>
      <c r="ILL20" s="160"/>
      <c r="ILM20" s="160"/>
      <c r="ILN20" s="160"/>
      <c r="ILO20" s="160"/>
      <c r="ILP20" s="160"/>
      <c r="ILQ20" s="160"/>
      <c r="ILR20" s="160"/>
      <c r="ILS20" s="160"/>
      <c r="ILT20" s="160"/>
      <c r="ILU20" s="160"/>
      <c r="ILV20" s="160"/>
      <c r="ILW20" s="160"/>
      <c r="ILX20" s="160"/>
      <c r="ILY20" s="160"/>
      <c r="ILZ20" s="160"/>
      <c r="IMA20" s="160"/>
      <c r="IMB20" s="160"/>
      <c r="IMC20" s="160"/>
      <c r="IMD20" s="160"/>
      <c r="IME20" s="160"/>
      <c r="IMF20" s="160"/>
      <c r="IMG20" s="160"/>
      <c r="IMH20" s="160"/>
      <c r="IMI20" s="160"/>
      <c r="IMJ20" s="160"/>
      <c r="IMK20" s="160"/>
      <c r="IML20" s="160"/>
      <c r="IMM20" s="160"/>
      <c r="IMN20" s="160"/>
      <c r="IMO20" s="160"/>
      <c r="IMP20" s="160"/>
      <c r="IMQ20" s="160"/>
      <c r="IMR20" s="160"/>
      <c r="IMS20" s="160"/>
      <c r="IMT20" s="160"/>
      <c r="IMU20" s="160"/>
      <c r="IMV20" s="160"/>
      <c r="IMW20" s="160"/>
      <c r="IMX20" s="160"/>
      <c r="IMY20" s="160"/>
      <c r="IMZ20" s="160"/>
      <c r="INA20" s="160"/>
      <c r="INB20" s="160"/>
      <c r="INC20" s="160"/>
      <c r="IND20" s="160"/>
      <c r="INE20" s="160"/>
      <c r="INF20" s="160"/>
      <c r="ING20" s="160"/>
      <c r="INH20" s="160"/>
      <c r="INI20" s="160"/>
      <c r="INJ20" s="160"/>
      <c r="INK20" s="160"/>
      <c r="INL20" s="160"/>
      <c r="INM20" s="160"/>
      <c r="INN20" s="160"/>
      <c r="INO20" s="160"/>
      <c r="INP20" s="160"/>
      <c r="INQ20" s="160"/>
      <c r="INR20" s="160"/>
      <c r="INS20" s="160"/>
      <c r="INT20" s="160"/>
      <c r="INU20" s="160"/>
      <c r="INV20" s="160"/>
      <c r="INW20" s="160"/>
      <c r="INX20" s="160"/>
      <c r="INY20" s="160"/>
      <c r="INZ20" s="160"/>
      <c r="IOA20" s="160"/>
      <c r="IOB20" s="160"/>
      <c r="IOC20" s="160"/>
      <c r="IOD20" s="160"/>
      <c r="IOE20" s="160"/>
      <c r="IOF20" s="160"/>
      <c r="IOG20" s="160"/>
      <c r="IOH20" s="160"/>
      <c r="IOI20" s="160"/>
      <c r="IOJ20" s="160"/>
      <c r="IOK20" s="160"/>
      <c r="IOL20" s="160"/>
      <c r="IOM20" s="160"/>
      <c r="ION20" s="160"/>
      <c r="IOO20" s="160"/>
      <c r="IOP20" s="160"/>
      <c r="IOQ20" s="160"/>
      <c r="IOR20" s="160"/>
      <c r="IOS20" s="160"/>
      <c r="IOT20" s="160"/>
      <c r="IOU20" s="160"/>
      <c r="IOV20" s="160"/>
      <c r="IOW20" s="160"/>
      <c r="IOX20" s="160"/>
      <c r="IOY20" s="160"/>
      <c r="IOZ20" s="160"/>
      <c r="IPA20" s="160"/>
      <c r="IPB20" s="160"/>
      <c r="IPC20" s="160"/>
      <c r="IPD20" s="160"/>
      <c r="IPE20" s="160"/>
      <c r="IPF20" s="160"/>
      <c r="IPG20" s="160"/>
      <c r="IPH20" s="160"/>
      <c r="IPI20" s="160"/>
      <c r="IPJ20" s="160"/>
      <c r="IPK20" s="160"/>
      <c r="IPL20" s="160"/>
      <c r="IPM20" s="160"/>
      <c r="IPN20" s="160"/>
      <c r="IPO20" s="160"/>
      <c r="IPP20" s="160"/>
      <c r="IPQ20" s="160"/>
      <c r="IPR20" s="160"/>
      <c r="IPS20" s="160"/>
      <c r="IPT20" s="160"/>
      <c r="IPU20" s="160"/>
      <c r="IPV20" s="160"/>
      <c r="IPW20" s="160"/>
      <c r="IPX20" s="160"/>
      <c r="IPY20" s="160"/>
      <c r="IPZ20" s="160"/>
      <c r="IQA20" s="160"/>
      <c r="IQB20" s="160"/>
      <c r="IQC20" s="160"/>
      <c r="IQD20" s="160"/>
      <c r="IQE20" s="160"/>
      <c r="IQF20" s="160"/>
      <c r="IQG20" s="160"/>
      <c r="IQH20" s="160"/>
      <c r="IQI20" s="160"/>
      <c r="IQJ20" s="160"/>
      <c r="IQK20" s="160"/>
      <c r="IQL20" s="160"/>
      <c r="IQM20" s="160"/>
      <c r="IQN20" s="160"/>
      <c r="IQO20" s="160"/>
      <c r="IQP20" s="160"/>
      <c r="IQQ20" s="160"/>
      <c r="IQR20" s="160"/>
      <c r="IQS20" s="160"/>
      <c r="IQT20" s="160"/>
      <c r="IQU20" s="160"/>
      <c r="IQV20" s="160"/>
      <c r="IQW20" s="160"/>
      <c r="IQX20" s="160"/>
      <c r="IQY20" s="160"/>
      <c r="IQZ20" s="160"/>
      <c r="IRA20" s="160"/>
      <c r="IRB20" s="160"/>
      <c r="IRC20" s="160"/>
      <c r="IRD20" s="160"/>
      <c r="IRE20" s="160"/>
      <c r="IRF20" s="160"/>
      <c r="IRG20" s="160"/>
      <c r="IRH20" s="160"/>
      <c r="IRI20" s="160"/>
      <c r="IRJ20" s="160"/>
      <c r="IRK20" s="160"/>
      <c r="IRL20" s="160"/>
      <c r="IRM20" s="160"/>
      <c r="IRN20" s="160"/>
      <c r="IRO20" s="160"/>
      <c r="IRP20" s="160"/>
      <c r="IRQ20" s="160"/>
      <c r="IRR20" s="160"/>
      <c r="IRS20" s="160"/>
      <c r="IRT20" s="160"/>
      <c r="IRU20" s="160"/>
      <c r="IRV20" s="160"/>
      <c r="IRW20" s="160"/>
      <c r="IRX20" s="160"/>
      <c r="IRY20" s="160"/>
      <c r="IRZ20" s="160"/>
      <c r="ISA20" s="160"/>
      <c r="ISB20" s="160"/>
      <c r="ISC20" s="160"/>
      <c r="ISD20" s="160"/>
      <c r="ISE20" s="160"/>
      <c r="ISF20" s="160"/>
      <c r="ISG20" s="160"/>
      <c r="ISH20" s="160"/>
      <c r="ISI20" s="160"/>
      <c r="ISJ20" s="160"/>
      <c r="ISK20" s="160"/>
      <c r="ISL20" s="160"/>
      <c r="ISM20" s="160"/>
      <c r="ISN20" s="160"/>
      <c r="ISO20" s="160"/>
      <c r="ISP20" s="160"/>
      <c r="ISQ20" s="160"/>
      <c r="ISR20" s="160"/>
      <c r="ISS20" s="160"/>
      <c r="IST20" s="160"/>
      <c r="ISU20" s="160"/>
      <c r="ISV20" s="160"/>
      <c r="ISW20" s="160"/>
      <c r="ISX20" s="160"/>
      <c r="ISY20" s="160"/>
      <c r="ISZ20" s="160"/>
      <c r="ITA20" s="160"/>
      <c r="ITB20" s="160"/>
      <c r="ITC20" s="160"/>
      <c r="ITD20" s="160"/>
      <c r="ITE20" s="160"/>
      <c r="ITF20" s="160"/>
      <c r="ITG20" s="160"/>
      <c r="ITH20" s="160"/>
      <c r="ITI20" s="160"/>
      <c r="ITJ20" s="160"/>
      <c r="ITK20" s="160"/>
      <c r="ITL20" s="160"/>
      <c r="ITM20" s="160"/>
      <c r="ITN20" s="160"/>
      <c r="ITO20" s="160"/>
      <c r="ITP20" s="160"/>
      <c r="ITQ20" s="160"/>
      <c r="ITR20" s="160"/>
      <c r="ITS20" s="160"/>
      <c r="ITT20" s="160"/>
      <c r="ITU20" s="160"/>
      <c r="ITV20" s="160"/>
      <c r="ITW20" s="160"/>
      <c r="ITX20" s="160"/>
      <c r="ITY20" s="160"/>
      <c r="ITZ20" s="160"/>
      <c r="IUA20" s="160"/>
      <c r="IUB20" s="160"/>
      <c r="IUC20" s="160"/>
      <c r="IUD20" s="160"/>
      <c r="IUE20" s="160"/>
      <c r="IUF20" s="160"/>
      <c r="IUG20" s="160"/>
      <c r="IUH20" s="160"/>
      <c r="IUI20" s="160"/>
      <c r="IUJ20" s="160"/>
      <c r="IUK20" s="160"/>
      <c r="IUL20" s="160"/>
      <c r="IUM20" s="160"/>
      <c r="IUN20" s="160"/>
      <c r="IUO20" s="160"/>
      <c r="IUP20" s="160"/>
      <c r="IUQ20" s="160"/>
      <c r="IUR20" s="160"/>
      <c r="IUS20" s="160"/>
      <c r="IUT20" s="160"/>
      <c r="IUU20" s="160"/>
      <c r="IUV20" s="160"/>
      <c r="IUW20" s="160"/>
      <c r="IUX20" s="160"/>
      <c r="IUY20" s="160"/>
      <c r="IUZ20" s="160"/>
      <c r="IVA20" s="160"/>
      <c r="IVB20" s="160"/>
      <c r="IVC20" s="160"/>
      <c r="IVD20" s="160"/>
      <c r="IVE20" s="160"/>
      <c r="IVF20" s="160"/>
      <c r="IVG20" s="160"/>
      <c r="IVH20" s="160"/>
      <c r="IVI20" s="160"/>
      <c r="IVJ20" s="160"/>
      <c r="IVK20" s="160"/>
      <c r="IVL20" s="160"/>
      <c r="IVM20" s="160"/>
      <c r="IVN20" s="160"/>
      <c r="IVO20" s="160"/>
      <c r="IVP20" s="160"/>
      <c r="IVQ20" s="160"/>
      <c r="IVR20" s="160"/>
      <c r="IVS20" s="160"/>
      <c r="IVT20" s="160"/>
      <c r="IVU20" s="160"/>
      <c r="IVV20" s="160"/>
      <c r="IVW20" s="160"/>
      <c r="IVX20" s="160"/>
      <c r="IVY20" s="160"/>
      <c r="IVZ20" s="160"/>
      <c r="IWA20" s="160"/>
      <c r="IWB20" s="160"/>
      <c r="IWC20" s="160"/>
      <c r="IWD20" s="160"/>
      <c r="IWE20" s="160"/>
      <c r="IWF20" s="160"/>
      <c r="IWG20" s="160"/>
      <c r="IWH20" s="160"/>
      <c r="IWI20" s="160"/>
      <c r="IWJ20" s="160"/>
      <c r="IWK20" s="160"/>
      <c r="IWL20" s="160"/>
      <c r="IWM20" s="160"/>
      <c r="IWN20" s="160"/>
      <c r="IWO20" s="160"/>
      <c r="IWP20" s="160"/>
      <c r="IWQ20" s="160"/>
      <c r="IWR20" s="160"/>
      <c r="IWS20" s="160"/>
      <c r="IWT20" s="160"/>
      <c r="IWU20" s="160"/>
      <c r="IWV20" s="160"/>
      <c r="IWW20" s="160"/>
      <c r="IWX20" s="160"/>
      <c r="IWY20" s="160"/>
      <c r="IWZ20" s="160"/>
      <c r="IXA20" s="160"/>
      <c r="IXB20" s="160"/>
      <c r="IXC20" s="160"/>
      <c r="IXD20" s="160"/>
      <c r="IXE20" s="160"/>
      <c r="IXF20" s="160"/>
      <c r="IXG20" s="160"/>
      <c r="IXH20" s="160"/>
      <c r="IXI20" s="160"/>
      <c r="IXJ20" s="160"/>
      <c r="IXK20" s="160"/>
      <c r="IXL20" s="160"/>
      <c r="IXM20" s="160"/>
      <c r="IXN20" s="160"/>
      <c r="IXO20" s="160"/>
      <c r="IXP20" s="160"/>
      <c r="IXQ20" s="160"/>
      <c r="IXR20" s="160"/>
      <c r="IXS20" s="160"/>
      <c r="IXT20" s="160"/>
      <c r="IXU20" s="160"/>
      <c r="IXV20" s="160"/>
      <c r="IXW20" s="160"/>
      <c r="IXX20" s="160"/>
      <c r="IXY20" s="160"/>
      <c r="IXZ20" s="160"/>
      <c r="IYA20" s="160"/>
      <c r="IYB20" s="160"/>
      <c r="IYC20" s="160"/>
      <c r="IYD20" s="160"/>
      <c r="IYE20" s="160"/>
      <c r="IYF20" s="160"/>
      <c r="IYG20" s="160"/>
      <c r="IYH20" s="160"/>
      <c r="IYI20" s="160"/>
      <c r="IYJ20" s="160"/>
      <c r="IYK20" s="160"/>
      <c r="IYL20" s="160"/>
      <c r="IYM20" s="160"/>
      <c r="IYN20" s="160"/>
      <c r="IYO20" s="160"/>
      <c r="IYP20" s="160"/>
      <c r="IYQ20" s="160"/>
      <c r="IYR20" s="160"/>
      <c r="IYS20" s="160"/>
      <c r="IYT20" s="160"/>
      <c r="IYU20" s="160"/>
      <c r="IYV20" s="160"/>
      <c r="IYW20" s="160"/>
      <c r="IYX20" s="160"/>
      <c r="IYY20" s="160"/>
      <c r="IYZ20" s="160"/>
      <c r="IZA20" s="160"/>
      <c r="IZB20" s="160"/>
      <c r="IZC20" s="160"/>
      <c r="IZD20" s="160"/>
      <c r="IZE20" s="160"/>
      <c r="IZF20" s="160"/>
      <c r="IZG20" s="160"/>
      <c r="IZH20" s="160"/>
      <c r="IZI20" s="160"/>
      <c r="IZJ20" s="160"/>
      <c r="IZK20" s="160"/>
      <c r="IZL20" s="160"/>
      <c r="IZM20" s="160"/>
      <c r="IZN20" s="160"/>
      <c r="IZO20" s="160"/>
      <c r="IZP20" s="160"/>
      <c r="IZQ20" s="160"/>
      <c r="IZR20" s="160"/>
      <c r="IZS20" s="160"/>
      <c r="IZT20" s="160"/>
      <c r="IZU20" s="160"/>
      <c r="IZV20" s="160"/>
      <c r="IZW20" s="160"/>
      <c r="IZX20" s="160"/>
      <c r="IZY20" s="160"/>
      <c r="IZZ20" s="160"/>
      <c r="JAA20" s="160"/>
      <c r="JAB20" s="160"/>
      <c r="JAC20" s="160"/>
      <c r="JAD20" s="160"/>
      <c r="JAE20" s="160"/>
      <c r="JAF20" s="160"/>
      <c r="JAG20" s="160"/>
      <c r="JAH20" s="160"/>
      <c r="JAI20" s="160"/>
      <c r="JAJ20" s="160"/>
      <c r="JAK20" s="160"/>
      <c r="JAL20" s="160"/>
      <c r="JAM20" s="160"/>
      <c r="JAN20" s="160"/>
      <c r="JAO20" s="160"/>
      <c r="JAP20" s="160"/>
      <c r="JAQ20" s="160"/>
      <c r="JAR20" s="160"/>
      <c r="JAS20" s="160"/>
      <c r="JAT20" s="160"/>
      <c r="JAU20" s="160"/>
      <c r="JAV20" s="160"/>
      <c r="JAW20" s="160"/>
      <c r="JAX20" s="160"/>
      <c r="JAY20" s="160"/>
      <c r="JAZ20" s="160"/>
      <c r="JBA20" s="160"/>
      <c r="JBB20" s="160"/>
      <c r="JBC20" s="160"/>
      <c r="JBD20" s="160"/>
      <c r="JBE20" s="160"/>
      <c r="JBF20" s="160"/>
      <c r="JBG20" s="160"/>
      <c r="JBH20" s="160"/>
      <c r="JBI20" s="160"/>
      <c r="JBJ20" s="160"/>
      <c r="JBK20" s="160"/>
      <c r="JBL20" s="160"/>
      <c r="JBM20" s="160"/>
      <c r="JBN20" s="160"/>
      <c r="JBO20" s="160"/>
      <c r="JBP20" s="160"/>
      <c r="JBQ20" s="160"/>
      <c r="JBR20" s="160"/>
      <c r="JBS20" s="160"/>
      <c r="JBT20" s="160"/>
      <c r="JBU20" s="160"/>
      <c r="JBV20" s="160"/>
      <c r="JBW20" s="160"/>
      <c r="JBX20" s="160"/>
      <c r="JBY20" s="160"/>
      <c r="JBZ20" s="160"/>
      <c r="JCA20" s="160"/>
      <c r="JCB20" s="160"/>
      <c r="JCC20" s="160"/>
      <c r="JCD20" s="160"/>
      <c r="JCE20" s="160"/>
      <c r="JCF20" s="160"/>
      <c r="JCG20" s="160"/>
      <c r="JCH20" s="160"/>
      <c r="JCI20" s="160"/>
      <c r="JCJ20" s="160"/>
      <c r="JCK20" s="160"/>
      <c r="JCL20" s="160"/>
      <c r="JCM20" s="160"/>
      <c r="JCN20" s="160"/>
      <c r="JCO20" s="160"/>
      <c r="JCP20" s="160"/>
      <c r="JCQ20" s="160"/>
      <c r="JCR20" s="160"/>
      <c r="JCS20" s="160"/>
      <c r="JCT20" s="160"/>
      <c r="JCU20" s="160"/>
      <c r="JCV20" s="160"/>
      <c r="JCW20" s="160"/>
      <c r="JCX20" s="160"/>
      <c r="JCY20" s="160"/>
      <c r="JCZ20" s="160"/>
      <c r="JDA20" s="160"/>
      <c r="JDB20" s="160"/>
      <c r="JDC20" s="160"/>
      <c r="JDD20" s="160"/>
      <c r="JDE20" s="160"/>
      <c r="JDF20" s="160"/>
      <c r="JDG20" s="160"/>
      <c r="JDH20" s="160"/>
      <c r="JDI20" s="160"/>
      <c r="JDJ20" s="160"/>
      <c r="JDK20" s="160"/>
      <c r="JDL20" s="160"/>
      <c r="JDM20" s="160"/>
      <c r="JDN20" s="160"/>
      <c r="JDO20" s="160"/>
      <c r="JDP20" s="160"/>
      <c r="JDQ20" s="160"/>
      <c r="JDR20" s="160"/>
      <c r="JDS20" s="160"/>
      <c r="JDT20" s="160"/>
      <c r="JDU20" s="160"/>
      <c r="JDV20" s="160"/>
      <c r="JDW20" s="160"/>
      <c r="JDX20" s="160"/>
      <c r="JDY20" s="160"/>
      <c r="JDZ20" s="160"/>
      <c r="JEA20" s="160"/>
      <c r="JEB20" s="160"/>
      <c r="JEC20" s="160"/>
      <c r="JED20" s="160"/>
      <c r="JEE20" s="160"/>
      <c r="JEF20" s="160"/>
      <c r="JEG20" s="160"/>
      <c r="JEH20" s="160"/>
      <c r="JEI20" s="160"/>
      <c r="JEJ20" s="160"/>
      <c r="JEK20" s="160"/>
      <c r="JEL20" s="160"/>
      <c r="JEM20" s="160"/>
      <c r="JEN20" s="160"/>
      <c r="JEO20" s="160"/>
      <c r="JEP20" s="160"/>
      <c r="JEQ20" s="160"/>
      <c r="JER20" s="160"/>
      <c r="JES20" s="160"/>
      <c r="JET20" s="160"/>
      <c r="JEU20" s="160"/>
      <c r="JEV20" s="160"/>
      <c r="JEW20" s="160"/>
      <c r="JEX20" s="160"/>
      <c r="JEY20" s="160"/>
      <c r="JEZ20" s="160"/>
      <c r="JFA20" s="160"/>
      <c r="JFB20" s="160"/>
      <c r="JFC20" s="160"/>
      <c r="JFD20" s="160"/>
      <c r="JFE20" s="160"/>
      <c r="JFF20" s="160"/>
      <c r="JFG20" s="160"/>
      <c r="JFH20" s="160"/>
      <c r="JFI20" s="160"/>
      <c r="JFJ20" s="160"/>
      <c r="JFK20" s="160"/>
      <c r="JFL20" s="160"/>
      <c r="JFM20" s="160"/>
      <c r="JFN20" s="160"/>
      <c r="JFO20" s="160"/>
      <c r="JFP20" s="160"/>
      <c r="JFQ20" s="160"/>
      <c r="JFR20" s="160"/>
      <c r="JFS20" s="160"/>
      <c r="JFT20" s="160"/>
      <c r="JFU20" s="160"/>
      <c r="JFV20" s="160"/>
      <c r="JFW20" s="160"/>
      <c r="JFX20" s="160"/>
      <c r="JFY20" s="160"/>
      <c r="JFZ20" s="160"/>
      <c r="JGA20" s="160"/>
      <c r="JGB20" s="160"/>
      <c r="JGC20" s="160"/>
      <c r="JGD20" s="160"/>
      <c r="JGE20" s="160"/>
      <c r="JGF20" s="160"/>
      <c r="JGG20" s="160"/>
      <c r="JGH20" s="160"/>
      <c r="JGI20" s="160"/>
      <c r="JGJ20" s="160"/>
      <c r="JGK20" s="160"/>
      <c r="JGL20" s="160"/>
      <c r="JGM20" s="160"/>
      <c r="JGN20" s="160"/>
      <c r="JGO20" s="160"/>
      <c r="JGP20" s="160"/>
      <c r="JGQ20" s="160"/>
      <c r="JGR20" s="160"/>
      <c r="JGS20" s="160"/>
      <c r="JGT20" s="160"/>
      <c r="JGU20" s="160"/>
      <c r="JGV20" s="160"/>
      <c r="JGW20" s="160"/>
      <c r="JGX20" s="160"/>
      <c r="JGY20" s="160"/>
      <c r="JGZ20" s="160"/>
      <c r="JHA20" s="160"/>
      <c r="JHB20" s="160"/>
      <c r="JHC20" s="160"/>
      <c r="JHD20" s="160"/>
      <c r="JHE20" s="160"/>
      <c r="JHF20" s="160"/>
      <c r="JHG20" s="160"/>
      <c r="JHH20" s="160"/>
      <c r="JHI20" s="160"/>
      <c r="JHJ20" s="160"/>
      <c r="JHK20" s="160"/>
      <c r="JHL20" s="160"/>
      <c r="JHM20" s="160"/>
      <c r="JHN20" s="160"/>
      <c r="JHO20" s="160"/>
      <c r="JHP20" s="160"/>
      <c r="JHQ20" s="160"/>
      <c r="JHR20" s="160"/>
      <c r="JHS20" s="160"/>
      <c r="JHT20" s="160"/>
      <c r="JHU20" s="160"/>
      <c r="JHV20" s="160"/>
      <c r="JHW20" s="160"/>
      <c r="JHX20" s="160"/>
      <c r="JHY20" s="160"/>
      <c r="JHZ20" s="160"/>
      <c r="JIA20" s="160"/>
      <c r="JIB20" s="160"/>
      <c r="JIC20" s="160"/>
      <c r="JID20" s="160"/>
      <c r="JIE20" s="160"/>
      <c r="JIF20" s="160"/>
      <c r="JIG20" s="160"/>
      <c r="JIH20" s="160"/>
      <c r="JII20" s="160"/>
      <c r="JIJ20" s="160"/>
      <c r="JIK20" s="160"/>
      <c r="JIL20" s="160"/>
      <c r="JIM20" s="160"/>
      <c r="JIN20" s="160"/>
      <c r="JIO20" s="160"/>
      <c r="JIP20" s="160"/>
      <c r="JIQ20" s="160"/>
      <c r="JIR20" s="160"/>
      <c r="JIS20" s="160"/>
      <c r="JIT20" s="160"/>
      <c r="JIU20" s="160"/>
      <c r="JIV20" s="160"/>
      <c r="JIW20" s="160"/>
      <c r="JIX20" s="160"/>
      <c r="JIY20" s="160"/>
      <c r="JIZ20" s="160"/>
      <c r="JJA20" s="160"/>
      <c r="JJB20" s="160"/>
      <c r="JJC20" s="160"/>
      <c r="JJD20" s="160"/>
      <c r="JJE20" s="160"/>
      <c r="JJF20" s="160"/>
      <c r="JJG20" s="160"/>
      <c r="JJH20" s="160"/>
      <c r="JJI20" s="160"/>
      <c r="JJJ20" s="160"/>
      <c r="JJK20" s="160"/>
      <c r="JJL20" s="160"/>
      <c r="JJM20" s="160"/>
      <c r="JJN20" s="160"/>
      <c r="JJO20" s="160"/>
      <c r="JJP20" s="160"/>
      <c r="JJQ20" s="160"/>
      <c r="JJR20" s="160"/>
      <c r="JJS20" s="160"/>
      <c r="JJT20" s="160"/>
      <c r="JJU20" s="160"/>
      <c r="JJV20" s="160"/>
      <c r="JJW20" s="160"/>
      <c r="JJX20" s="160"/>
      <c r="JJY20" s="160"/>
      <c r="JJZ20" s="160"/>
      <c r="JKA20" s="160"/>
      <c r="JKB20" s="160"/>
      <c r="JKC20" s="160"/>
      <c r="JKD20" s="160"/>
      <c r="JKE20" s="160"/>
      <c r="JKF20" s="160"/>
      <c r="JKG20" s="160"/>
      <c r="JKH20" s="160"/>
      <c r="JKI20" s="160"/>
      <c r="JKJ20" s="160"/>
      <c r="JKK20" s="160"/>
      <c r="JKL20" s="160"/>
      <c r="JKM20" s="160"/>
      <c r="JKN20" s="160"/>
      <c r="JKO20" s="160"/>
      <c r="JKP20" s="160"/>
      <c r="JKQ20" s="160"/>
      <c r="JKR20" s="160"/>
      <c r="JKS20" s="160"/>
      <c r="JKT20" s="160"/>
      <c r="JKU20" s="160"/>
      <c r="JKV20" s="160"/>
      <c r="JKW20" s="160"/>
      <c r="JKX20" s="160"/>
      <c r="JKY20" s="160"/>
      <c r="JKZ20" s="160"/>
      <c r="JLA20" s="160"/>
      <c r="JLB20" s="160"/>
      <c r="JLC20" s="160"/>
      <c r="JLD20" s="160"/>
      <c r="JLE20" s="160"/>
      <c r="JLF20" s="160"/>
      <c r="JLG20" s="160"/>
      <c r="JLH20" s="160"/>
      <c r="JLI20" s="160"/>
      <c r="JLJ20" s="160"/>
      <c r="JLK20" s="160"/>
      <c r="JLL20" s="160"/>
      <c r="JLM20" s="160"/>
      <c r="JLN20" s="160"/>
      <c r="JLO20" s="160"/>
      <c r="JLP20" s="160"/>
      <c r="JLQ20" s="160"/>
      <c r="JLR20" s="160"/>
      <c r="JLS20" s="160"/>
      <c r="JLT20" s="160"/>
      <c r="JLU20" s="160"/>
      <c r="JLV20" s="160"/>
      <c r="JLW20" s="160"/>
      <c r="JLX20" s="160"/>
      <c r="JLY20" s="160"/>
      <c r="JLZ20" s="160"/>
      <c r="JMA20" s="160"/>
      <c r="JMB20" s="160"/>
      <c r="JMC20" s="160"/>
      <c r="JMD20" s="160"/>
      <c r="JME20" s="160"/>
      <c r="JMF20" s="160"/>
      <c r="JMG20" s="160"/>
      <c r="JMH20" s="160"/>
      <c r="JMI20" s="160"/>
      <c r="JMJ20" s="160"/>
      <c r="JMK20" s="160"/>
      <c r="JML20" s="160"/>
      <c r="JMM20" s="160"/>
      <c r="JMN20" s="160"/>
      <c r="JMO20" s="160"/>
      <c r="JMP20" s="160"/>
      <c r="JMQ20" s="160"/>
      <c r="JMR20" s="160"/>
      <c r="JMS20" s="160"/>
      <c r="JMT20" s="160"/>
      <c r="JMU20" s="160"/>
      <c r="JMV20" s="160"/>
      <c r="JMW20" s="160"/>
      <c r="JMX20" s="160"/>
      <c r="JMY20" s="160"/>
      <c r="JMZ20" s="160"/>
      <c r="JNA20" s="160"/>
      <c r="JNB20" s="160"/>
      <c r="JNC20" s="160"/>
      <c r="JND20" s="160"/>
      <c r="JNE20" s="160"/>
      <c r="JNF20" s="160"/>
      <c r="JNG20" s="160"/>
      <c r="JNH20" s="160"/>
      <c r="JNI20" s="160"/>
      <c r="JNJ20" s="160"/>
      <c r="JNK20" s="160"/>
      <c r="JNL20" s="160"/>
      <c r="JNM20" s="160"/>
      <c r="JNN20" s="160"/>
      <c r="JNO20" s="160"/>
      <c r="JNP20" s="160"/>
      <c r="JNQ20" s="160"/>
      <c r="JNR20" s="160"/>
      <c r="JNS20" s="160"/>
      <c r="JNT20" s="160"/>
      <c r="JNU20" s="160"/>
      <c r="JNV20" s="160"/>
      <c r="JNW20" s="160"/>
      <c r="JNX20" s="160"/>
      <c r="JNY20" s="160"/>
      <c r="JNZ20" s="160"/>
      <c r="JOA20" s="160"/>
      <c r="JOB20" s="160"/>
      <c r="JOC20" s="160"/>
      <c r="JOD20" s="160"/>
      <c r="JOE20" s="160"/>
      <c r="JOF20" s="160"/>
      <c r="JOG20" s="160"/>
      <c r="JOH20" s="160"/>
      <c r="JOI20" s="160"/>
      <c r="JOJ20" s="160"/>
      <c r="JOK20" s="160"/>
      <c r="JOL20" s="160"/>
      <c r="JOM20" s="160"/>
      <c r="JON20" s="160"/>
      <c r="JOO20" s="160"/>
      <c r="JOP20" s="160"/>
      <c r="JOQ20" s="160"/>
      <c r="JOR20" s="160"/>
      <c r="JOS20" s="160"/>
      <c r="JOT20" s="160"/>
      <c r="JOU20" s="160"/>
      <c r="JOV20" s="160"/>
      <c r="JOW20" s="160"/>
      <c r="JOX20" s="160"/>
      <c r="JOY20" s="160"/>
      <c r="JOZ20" s="160"/>
      <c r="JPA20" s="160"/>
      <c r="JPB20" s="160"/>
      <c r="JPC20" s="160"/>
      <c r="JPD20" s="160"/>
      <c r="JPE20" s="160"/>
      <c r="JPF20" s="160"/>
      <c r="JPG20" s="160"/>
      <c r="JPH20" s="160"/>
      <c r="JPI20" s="160"/>
      <c r="JPJ20" s="160"/>
      <c r="JPK20" s="160"/>
      <c r="JPL20" s="160"/>
      <c r="JPM20" s="160"/>
      <c r="JPN20" s="160"/>
      <c r="JPO20" s="160"/>
      <c r="JPP20" s="160"/>
      <c r="JPQ20" s="160"/>
      <c r="JPR20" s="160"/>
      <c r="JPS20" s="160"/>
      <c r="JPT20" s="160"/>
      <c r="JPU20" s="160"/>
      <c r="JPV20" s="160"/>
      <c r="JPW20" s="160"/>
      <c r="JPX20" s="160"/>
      <c r="JPY20" s="160"/>
      <c r="JPZ20" s="160"/>
      <c r="JQA20" s="160"/>
      <c r="JQB20" s="160"/>
      <c r="JQC20" s="160"/>
      <c r="JQD20" s="160"/>
      <c r="JQE20" s="160"/>
      <c r="JQF20" s="160"/>
      <c r="JQG20" s="160"/>
      <c r="JQH20" s="160"/>
      <c r="JQI20" s="160"/>
      <c r="JQJ20" s="160"/>
      <c r="JQK20" s="160"/>
      <c r="JQL20" s="160"/>
      <c r="JQM20" s="160"/>
      <c r="JQN20" s="160"/>
      <c r="JQO20" s="160"/>
      <c r="JQP20" s="160"/>
      <c r="JQQ20" s="160"/>
      <c r="JQR20" s="160"/>
      <c r="JQS20" s="160"/>
      <c r="JQT20" s="160"/>
      <c r="JQU20" s="160"/>
      <c r="JQV20" s="160"/>
      <c r="JQW20" s="160"/>
      <c r="JQX20" s="160"/>
      <c r="JQY20" s="160"/>
      <c r="JQZ20" s="160"/>
      <c r="JRA20" s="160"/>
      <c r="JRB20" s="160"/>
      <c r="JRC20" s="160"/>
      <c r="JRD20" s="160"/>
      <c r="JRE20" s="160"/>
      <c r="JRF20" s="160"/>
      <c r="JRG20" s="160"/>
      <c r="JRH20" s="160"/>
      <c r="JRI20" s="160"/>
      <c r="JRJ20" s="160"/>
      <c r="JRK20" s="160"/>
      <c r="JRL20" s="160"/>
      <c r="JRM20" s="160"/>
      <c r="JRN20" s="160"/>
      <c r="JRO20" s="160"/>
      <c r="JRP20" s="160"/>
      <c r="JRQ20" s="160"/>
      <c r="JRR20" s="160"/>
      <c r="JRS20" s="160"/>
      <c r="JRT20" s="160"/>
      <c r="JRU20" s="160"/>
      <c r="JRV20" s="160"/>
      <c r="JRW20" s="160"/>
      <c r="JRX20" s="160"/>
      <c r="JRY20" s="160"/>
      <c r="JRZ20" s="160"/>
      <c r="JSA20" s="160"/>
      <c r="JSB20" s="160"/>
      <c r="JSC20" s="160"/>
      <c r="JSD20" s="160"/>
      <c r="JSE20" s="160"/>
      <c r="JSF20" s="160"/>
      <c r="JSG20" s="160"/>
      <c r="JSH20" s="160"/>
      <c r="JSI20" s="160"/>
      <c r="JSJ20" s="160"/>
      <c r="JSK20" s="160"/>
      <c r="JSL20" s="160"/>
      <c r="JSM20" s="160"/>
      <c r="JSN20" s="160"/>
      <c r="JSO20" s="160"/>
      <c r="JSP20" s="160"/>
      <c r="JSQ20" s="160"/>
      <c r="JSR20" s="160"/>
      <c r="JSS20" s="160"/>
      <c r="JST20" s="160"/>
      <c r="JSU20" s="160"/>
      <c r="JSV20" s="160"/>
      <c r="JSW20" s="160"/>
      <c r="JSX20" s="160"/>
      <c r="JSY20" s="160"/>
      <c r="JSZ20" s="160"/>
      <c r="JTA20" s="160"/>
      <c r="JTB20" s="160"/>
      <c r="JTC20" s="160"/>
      <c r="JTD20" s="160"/>
      <c r="JTE20" s="160"/>
      <c r="JTF20" s="160"/>
      <c r="JTG20" s="160"/>
      <c r="JTH20" s="160"/>
      <c r="JTI20" s="160"/>
      <c r="JTJ20" s="160"/>
      <c r="JTK20" s="160"/>
      <c r="JTL20" s="160"/>
      <c r="JTM20" s="160"/>
      <c r="JTN20" s="160"/>
      <c r="JTO20" s="160"/>
      <c r="JTP20" s="160"/>
      <c r="JTQ20" s="160"/>
      <c r="JTR20" s="160"/>
      <c r="JTS20" s="160"/>
      <c r="JTT20" s="160"/>
      <c r="JTU20" s="160"/>
      <c r="JTV20" s="160"/>
      <c r="JTW20" s="160"/>
      <c r="JTX20" s="160"/>
      <c r="JTY20" s="160"/>
      <c r="JTZ20" s="160"/>
      <c r="JUA20" s="160"/>
      <c r="JUB20" s="160"/>
      <c r="JUC20" s="160"/>
      <c r="JUD20" s="160"/>
      <c r="JUE20" s="160"/>
      <c r="JUF20" s="160"/>
      <c r="JUG20" s="160"/>
      <c r="JUH20" s="160"/>
      <c r="JUI20" s="160"/>
      <c r="JUJ20" s="160"/>
      <c r="JUK20" s="160"/>
      <c r="JUL20" s="160"/>
      <c r="JUM20" s="160"/>
      <c r="JUN20" s="160"/>
      <c r="JUO20" s="160"/>
      <c r="JUP20" s="160"/>
      <c r="JUQ20" s="160"/>
      <c r="JUR20" s="160"/>
      <c r="JUS20" s="160"/>
      <c r="JUT20" s="160"/>
      <c r="JUU20" s="160"/>
      <c r="JUV20" s="160"/>
      <c r="JUW20" s="160"/>
      <c r="JUX20" s="160"/>
      <c r="JUY20" s="160"/>
      <c r="JUZ20" s="160"/>
      <c r="JVA20" s="160"/>
      <c r="JVB20" s="160"/>
      <c r="JVC20" s="160"/>
      <c r="JVD20" s="160"/>
      <c r="JVE20" s="160"/>
      <c r="JVF20" s="160"/>
      <c r="JVG20" s="160"/>
      <c r="JVH20" s="160"/>
      <c r="JVI20" s="160"/>
      <c r="JVJ20" s="160"/>
      <c r="JVK20" s="160"/>
      <c r="JVL20" s="160"/>
      <c r="JVM20" s="160"/>
      <c r="JVN20" s="160"/>
      <c r="JVO20" s="160"/>
      <c r="JVP20" s="160"/>
      <c r="JVQ20" s="160"/>
      <c r="JVR20" s="160"/>
      <c r="JVS20" s="160"/>
      <c r="JVT20" s="160"/>
      <c r="JVU20" s="160"/>
      <c r="JVV20" s="160"/>
      <c r="JVW20" s="160"/>
      <c r="JVX20" s="160"/>
      <c r="JVY20" s="160"/>
      <c r="JVZ20" s="160"/>
      <c r="JWA20" s="160"/>
      <c r="JWB20" s="160"/>
      <c r="JWC20" s="160"/>
      <c r="JWD20" s="160"/>
      <c r="JWE20" s="160"/>
      <c r="JWF20" s="160"/>
      <c r="JWG20" s="160"/>
      <c r="JWH20" s="160"/>
      <c r="JWI20" s="160"/>
      <c r="JWJ20" s="160"/>
      <c r="JWK20" s="160"/>
      <c r="JWL20" s="160"/>
      <c r="JWM20" s="160"/>
      <c r="JWN20" s="160"/>
      <c r="JWO20" s="160"/>
      <c r="JWP20" s="160"/>
      <c r="JWQ20" s="160"/>
      <c r="JWR20" s="160"/>
      <c r="JWS20" s="160"/>
      <c r="JWT20" s="160"/>
      <c r="JWU20" s="160"/>
      <c r="JWV20" s="160"/>
      <c r="JWW20" s="160"/>
      <c r="JWX20" s="160"/>
      <c r="JWY20" s="160"/>
      <c r="JWZ20" s="160"/>
      <c r="JXA20" s="160"/>
      <c r="JXB20" s="160"/>
      <c r="JXC20" s="160"/>
      <c r="JXD20" s="160"/>
      <c r="JXE20" s="160"/>
      <c r="JXF20" s="160"/>
      <c r="JXG20" s="160"/>
      <c r="JXH20" s="160"/>
      <c r="JXI20" s="160"/>
      <c r="JXJ20" s="160"/>
      <c r="JXK20" s="160"/>
      <c r="JXL20" s="160"/>
      <c r="JXM20" s="160"/>
      <c r="JXN20" s="160"/>
      <c r="JXO20" s="160"/>
      <c r="JXP20" s="160"/>
      <c r="JXQ20" s="160"/>
      <c r="JXR20" s="160"/>
      <c r="JXS20" s="160"/>
      <c r="JXT20" s="160"/>
      <c r="JXU20" s="160"/>
      <c r="JXV20" s="160"/>
      <c r="JXW20" s="160"/>
      <c r="JXX20" s="160"/>
      <c r="JXY20" s="160"/>
      <c r="JXZ20" s="160"/>
      <c r="JYA20" s="160"/>
      <c r="JYB20" s="160"/>
      <c r="JYC20" s="160"/>
      <c r="JYD20" s="160"/>
      <c r="JYE20" s="160"/>
      <c r="JYF20" s="160"/>
      <c r="JYG20" s="160"/>
      <c r="JYH20" s="160"/>
      <c r="JYI20" s="160"/>
      <c r="JYJ20" s="160"/>
      <c r="JYK20" s="160"/>
      <c r="JYL20" s="160"/>
      <c r="JYM20" s="160"/>
      <c r="JYN20" s="160"/>
      <c r="JYO20" s="160"/>
      <c r="JYP20" s="160"/>
      <c r="JYQ20" s="160"/>
      <c r="JYR20" s="160"/>
      <c r="JYS20" s="160"/>
      <c r="JYT20" s="160"/>
      <c r="JYU20" s="160"/>
      <c r="JYV20" s="160"/>
      <c r="JYW20" s="160"/>
      <c r="JYX20" s="160"/>
      <c r="JYY20" s="160"/>
      <c r="JYZ20" s="160"/>
      <c r="JZA20" s="160"/>
      <c r="JZB20" s="160"/>
      <c r="JZC20" s="160"/>
      <c r="JZD20" s="160"/>
      <c r="JZE20" s="160"/>
      <c r="JZF20" s="160"/>
      <c r="JZG20" s="160"/>
      <c r="JZH20" s="160"/>
      <c r="JZI20" s="160"/>
      <c r="JZJ20" s="160"/>
      <c r="JZK20" s="160"/>
      <c r="JZL20" s="160"/>
      <c r="JZM20" s="160"/>
      <c r="JZN20" s="160"/>
      <c r="JZO20" s="160"/>
      <c r="JZP20" s="160"/>
      <c r="JZQ20" s="160"/>
      <c r="JZR20" s="160"/>
      <c r="JZS20" s="160"/>
      <c r="JZT20" s="160"/>
      <c r="JZU20" s="160"/>
      <c r="JZV20" s="160"/>
      <c r="JZW20" s="160"/>
      <c r="JZX20" s="160"/>
      <c r="JZY20" s="160"/>
      <c r="JZZ20" s="160"/>
      <c r="KAA20" s="160"/>
      <c r="KAB20" s="160"/>
      <c r="KAC20" s="160"/>
      <c r="KAD20" s="160"/>
      <c r="KAE20" s="160"/>
      <c r="KAF20" s="160"/>
      <c r="KAG20" s="160"/>
      <c r="KAH20" s="160"/>
      <c r="KAI20" s="160"/>
      <c r="KAJ20" s="160"/>
      <c r="KAK20" s="160"/>
      <c r="KAL20" s="160"/>
      <c r="KAM20" s="160"/>
      <c r="KAN20" s="160"/>
      <c r="KAO20" s="160"/>
      <c r="KAP20" s="160"/>
      <c r="KAQ20" s="160"/>
      <c r="KAR20" s="160"/>
      <c r="KAS20" s="160"/>
      <c r="KAT20" s="160"/>
      <c r="KAU20" s="160"/>
      <c r="KAV20" s="160"/>
      <c r="KAW20" s="160"/>
      <c r="KAX20" s="160"/>
      <c r="KAY20" s="160"/>
      <c r="KAZ20" s="160"/>
      <c r="KBA20" s="160"/>
      <c r="KBB20" s="160"/>
      <c r="KBC20" s="160"/>
      <c r="KBD20" s="160"/>
      <c r="KBE20" s="160"/>
      <c r="KBF20" s="160"/>
      <c r="KBG20" s="160"/>
      <c r="KBH20" s="160"/>
      <c r="KBI20" s="160"/>
      <c r="KBJ20" s="160"/>
      <c r="KBK20" s="160"/>
      <c r="KBL20" s="160"/>
      <c r="KBM20" s="160"/>
      <c r="KBN20" s="160"/>
      <c r="KBO20" s="160"/>
      <c r="KBP20" s="160"/>
      <c r="KBQ20" s="160"/>
      <c r="KBR20" s="160"/>
      <c r="KBS20" s="160"/>
      <c r="KBT20" s="160"/>
      <c r="KBU20" s="160"/>
      <c r="KBV20" s="160"/>
      <c r="KBW20" s="160"/>
      <c r="KBX20" s="160"/>
      <c r="KBY20" s="160"/>
      <c r="KBZ20" s="160"/>
      <c r="KCA20" s="160"/>
      <c r="KCB20" s="160"/>
      <c r="KCC20" s="160"/>
      <c r="KCD20" s="160"/>
      <c r="KCE20" s="160"/>
      <c r="KCF20" s="160"/>
      <c r="KCG20" s="160"/>
      <c r="KCH20" s="160"/>
      <c r="KCI20" s="160"/>
      <c r="KCJ20" s="160"/>
      <c r="KCK20" s="160"/>
      <c r="KCL20" s="160"/>
      <c r="KCM20" s="160"/>
      <c r="KCN20" s="160"/>
      <c r="KCO20" s="160"/>
      <c r="KCP20" s="160"/>
      <c r="KCQ20" s="160"/>
      <c r="KCR20" s="160"/>
      <c r="KCS20" s="160"/>
      <c r="KCT20" s="160"/>
      <c r="KCU20" s="160"/>
      <c r="KCV20" s="160"/>
      <c r="KCW20" s="160"/>
      <c r="KCX20" s="160"/>
      <c r="KCY20" s="160"/>
      <c r="KCZ20" s="160"/>
      <c r="KDA20" s="160"/>
      <c r="KDB20" s="160"/>
      <c r="KDC20" s="160"/>
      <c r="KDD20" s="160"/>
      <c r="KDE20" s="160"/>
      <c r="KDF20" s="160"/>
      <c r="KDG20" s="160"/>
      <c r="KDH20" s="160"/>
      <c r="KDI20" s="160"/>
      <c r="KDJ20" s="160"/>
      <c r="KDK20" s="160"/>
      <c r="KDL20" s="160"/>
      <c r="KDM20" s="160"/>
      <c r="KDN20" s="160"/>
      <c r="KDO20" s="160"/>
      <c r="KDP20" s="160"/>
      <c r="KDQ20" s="160"/>
      <c r="KDR20" s="160"/>
      <c r="KDS20" s="160"/>
      <c r="KDT20" s="160"/>
      <c r="KDU20" s="160"/>
      <c r="KDV20" s="160"/>
      <c r="KDW20" s="160"/>
      <c r="KDX20" s="160"/>
      <c r="KDY20" s="160"/>
      <c r="KDZ20" s="160"/>
      <c r="KEA20" s="160"/>
      <c r="KEB20" s="160"/>
      <c r="KEC20" s="160"/>
      <c r="KED20" s="160"/>
      <c r="KEE20" s="160"/>
      <c r="KEF20" s="160"/>
      <c r="KEG20" s="160"/>
      <c r="KEH20" s="160"/>
      <c r="KEI20" s="160"/>
      <c r="KEJ20" s="160"/>
      <c r="KEK20" s="160"/>
      <c r="KEL20" s="160"/>
      <c r="KEM20" s="160"/>
      <c r="KEN20" s="160"/>
      <c r="KEO20" s="160"/>
      <c r="KEP20" s="160"/>
      <c r="KEQ20" s="160"/>
      <c r="KER20" s="160"/>
      <c r="KES20" s="160"/>
      <c r="KET20" s="160"/>
      <c r="KEU20" s="160"/>
      <c r="KEV20" s="160"/>
      <c r="KEW20" s="160"/>
      <c r="KEX20" s="160"/>
      <c r="KEY20" s="160"/>
      <c r="KEZ20" s="160"/>
      <c r="KFA20" s="160"/>
      <c r="KFB20" s="160"/>
      <c r="KFC20" s="160"/>
      <c r="KFD20" s="160"/>
      <c r="KFE20" s="160"/>
      <c r="KFF20" s="160"/>
      <c r="KFG20" s="160"/>
      <c r="KFH20" s="160"/>
      <c r="KFI20" s="160"/>
      <c r="KFJ20" s="160"/>
      <c r="KFK20" s="160"/>
      <c r="KFL20" s="160"/>
      <c r="KFM20" s="160"/>
      <c r="KFN20" s="160"/>
      <c r="KFO20" s="160"/>
      <c r="KFP20" s="160"/>
      <c r="KFQ20" s="160"/>
      <c r="KFR20" s="160"/>
      <c r="KFS20" s="160"/>
      <c r="KFT20" s="160"/>
      <c r="KFU20" s="160"/>
      <c r="KFV20" s="160"/>
      <c r="KFW20" s="160"/>
      <c r="KFX20" s="160"/>
      <c r="KFY20" s="160"/>
      <c r="KFZ20" s="160"/>
      <c r="KGA20" s="160"/>
      <c r="KGB20" s="160"/>
      <c r="KGC20" s="160"/>
      <c r="KGD20" s="160"/>
      <c r="KGE20" s="160"/>
      <c r="KGF20" s="160"/>
      <c r="KGG20" s="160"/>
      <c r="KGH20" s="160"/>
      <c r="KGI20" s="160"/>
      <c r="KGJ20" s="160"/>
      <c r="KGK20" s="160"/>
      <c r="KGL20" s="160"/>
      <c r="KGM20" s="160"/>
      <c r="KGN20" s="160"/>
      <c r="KGO20" s="160"/>
      <c r="KGP20" s="160"/>
      <c r="KGQ20" s="160"/>
      <c r="KGR20" s="160"/>
      <c r="KGS20" s="160"/>
      <c r="KGT20" s="160"/>
      <c r="KGU20" s="160"/>
      <c r="KGV20" s="160"/>
      <c r="KGW20" s="160"/>
      <c r="KGX20" s="160"/>
      <c r="KGY20" s="160"/>
      <c r="KGZ20" s="160"/>
      <c r="KHA20" s="160"/>
      <c r="KHB20" s="160"/>
      <c r="KHC20" s="160"/>
      <c r="KHD20" s="160"/>
      <c r="KHE20" s="160"/>
      <c r="KHF20" s="160"/>
      <c r="KHG20" s="160"/>
      <c r="KHH20" s="160"/>
      <c r="KHI20" s="160"/>
      <c r="KHJ20" s="160"/>
      <c r="KHK20" s="160"/>
      <c r="KHL20" s="160"/>
      <c r="KHM20" s="160"/>
      <c r="KHN20" s="160"/>
      <c r="KHO20" s="160"/>
      <c r="KHP20" s="160"/>
      <c r="KHQ20" s="160"/>
      <c r="KHR20" s="160"/>
      <c r="KHS20" s="160"/>
      <c r="KHT20" s="160"/>
      <c r="KHU20" s="160"/>
      <c r="KHV20" s="160"/>
      <c r="KHW20" s="160"/>
      <c r="KHX20" s="160"/>
      <c r="KHY20" s="160"/>
      <c r="KHZ20" s="160"/>
      <c r="KIA20" s="160"/>
      <c r="KIB20" s="160"/>
      <c r="KIC20" s="160"/>
      <c r="KID20" s="160"/>
      <c r="KIE20" s="160"/>
      <c r="KIF20" s="160"/>
      <c r="KIG20" s="160"/>
      <c r="KIH20" s="160"/>
      <c r="KII20" s="160"/>
      <c r="KIJ20" s="160"/>
      <c r="KIK20" s="160"/>
      <c r="KIL20" s="160"/>
      <c r="KIM20" s="160"/>
      <c r="KIN20" s="160"/>
      <c r="KIO20" s="160"/>
      <c r="KIP20" s="160"/>
      <c r="KIQ20" s="160"/>
      <c r="KIR20" s="160"/>
      <c r="KIS20" s="160"/>
      <c r="KIT20" s="160"/>
      <c r="KIU20" s="160"/>
      <c r="KIV20" s="160"/>
      <c r="KIW20" s="160"/>
      <c r="KIX20" s="160"/>
      <c r="KIY20" s="160"/>
      <c r="KIZ20" s="160"/>
      <c r="KJA20" s="160"/>
      <c r="KJB20" s="160"/>
      <c r="KJC20" s="160"/>
      <c r="KJD20" s="160"/>
      <c r="KJE20" s="160"/>
      <c r="KJF20" s="160"/>
      <c r="KJG20" s="160"/>
      <c r="KJH20" s="160"/>
      <c r="KJI20" s="160"/>
      <c r="KJJ20" s="160"/>
      <c r="KJK20" s="160"/>
      <c r="KJL20" s="160"/>
      <c r="KJM20" s="160"/>
      <c r="KJN20" s="160"/>
      <c r="KJO20" s="160"/>
      <c r="KJP20" s="160"/>
      <c r="KJQ20" s="160"/>
      <c r="KJR20" s="160"/>
      <c r="KJS20" s="160"/>
      <c r="KJT20" s="160"/>
      <c r="KJU20" s="160"/>
      <c r="KJV20" s="160"/>
      <c r="KJW20" s="160"/>
      <c r="KJX20" s="160"/>
      <c r="KJY20" s="160"/>
      <c r="KJZ20" s="160"/>
      <c r="KKA20" s="160"/>
      <c r="KKB20" s="160"/>
      <c r="KKC20" s="160"/>
      <c r="KKD20" s="160"/>
      <c r="KKE20" s="160"/>
      <c r="KKF20" s="160"/>
      <c r="KKG20" s="160"/>
      <c r="KKH20" s="160"/>
      <c r="KKI20" s="160"/>
      <c r="KKJ20" s="160"/>
      <c r="KKK20" s="160"/>
      <c r="KKL20" s="160"/>
      <c r="KKM20" s="160"/>
      <c r="KKN20" s="160"/>
      <c r="KKO20" s="160"/>
      <c r="KKP20" s="160"/>
      <c r="KKQ20" s="160"/>
      <c r="KKR20" s="160"/>
      <c r="KKS20" s="160"/>
      <c r="KKT20" s="160"/>
      <c r="KKU20" s="160"/>
      <c r="KKV20" s="160"/>
      <c r="KKW20" s="160"/>
      <c r="KKX20" s="160"/>
      <c r="KKY20" s="160"/>
      <c r="KKZ20" s="160"/>
      <c r="KLA20" s="160"/>
      <c r="KLB20" s="160"/>
      <c r="KLC20" s="160"/>
      <c r="KLD20" s="160"/>
      <c r="KLE20" s="160"/>
      <c r="KLF20" s="160"/>
      <c r="KLG20" s="160"/>
      <c r="KLH20" s="160"/>
      <c r="KLI20" s="160"/>
      <c r="KLJ20" s="160"/>
      <c r="KLK20" s="160"/>
      <c r="KLL20" s="160"/>
      <c r="KLM20" s="160"/>
      <c r="KLN20" s="160"/>
      <c r="KLO20" s="160"/>
      <c r="KLP20" s="160"/>
      <c r="KLQ20" s="160"/>
      <c r="KLR20" s="160"/>
      <c r="KLS20" s="160"/>
      <c r="KLT20" s="160"/>
      <c r="KLU20" s="160"/>
      <c r="KLV20" s="160"/>
      <c r="KLW20" s="160"/>
      <c r="KLX20" s="160"/>
      <c r="KLY20" s="160"/>
      <c r="KLZ20" s="160"/>
      <c r="KMA20" s="160"/>
      <c r="KMB20" s="160"/>
      <c r="KMC20" s="160"/>
      <c r="KMD20" s="160"/>
      <c r="KME20" s="160"/>
      <c r="KMF20" s="160"/>
      <c r="KMG20" s="160"/>
      <c r="KMH20" s="160"/>
      <c r="KMI20" s="160"/>
      <c r="KMJ20" s="160"/>
      <c r="KMK20" s="160"/>
      <c r="KML20" s="160"/>
      <c r="KMM20" s="160"/>
      <c r="KMN20" s="160"/>
      <c r="KMO20" s="160"/>
      <c r="KMP20" s="160"/>
      <c r="KMQ20" s="160"/>
      <c r="KMR20" s="160"/>
      <c r="KMS20" s="160"/>
      <c r="KMT20" s="160"/>
      <c r="KMU20" s="160"/>
      <c r="KMV20" s="160"/>
      <c r="KMW20" s="160"/>
      <c r="KMX20" s="160"/>
      <c r="KMY20" s="160"/>
      <c r="KMZ20" s="160"/>
      <c r="KNA20" s="160"/>
      <c r="KNB20" s="160"/>
      <c r="KNC20" s="160"/>
      <c r="KND20" s="160"/>
      <c r="KNE20" s="160"/>
      <c r="KNF20" s="160"/>
      <c r="KNG20" s="160"/>
      <c r="KNH20" s="160"/>
      <c r="KNI20" s="160"/>
      <c r="KNJ20" s="160"/>
      <c r="KNK20" s="160"/>
      <c r="KNL20" s="160"/>
      <c r="KNM20" s="160"/>
      <c r="KNN20" s="160"/>
      <c r="KNO20" s="160"/>
      <c r="KNP20" s="160"/>
      <c r="KNQ20" s="160"/>
      <c r="KNR20" s="160"/>
      <c r="KNS20" s="160"/>
      <c r="KNT20" s="160"/>
      <c r="KNU20" s="160"/>
      <c r="KNV20" s="160"/>
      <c r="KNW20" s="160"/>
      <c r="KNX20" s="160"/>
      <c r="KNY20" s="160"/>
      <c r="KNZ20" s="160"/>
      <c r="KOA20" s="160"/>
      <c r="KOB20" s="160"/>
      <c r="KOC20" s="160"/>
      <c r="KOD20" s="160"/>
      <c r="KOE20" s="160"/>
      <c r="KOF20" s="160"/>
      <c r="KOG20" s="160"/>
      <c r="KOH20" s="160"/>
      <c r="KOI20" s="160"/>
      <c r="KOJ20" s="160"/>
      <c r="KOK20" s="160"/>
      <c r="KOL20" s="160"/>
      <c r="KOM20" s="160"/>
      <c r="KON20" s="160"/>
      <c r="KOO20" s="160"/>
      <c r="KOP20" s="160"/>
      <c r="KOQ20" s="160"/>
      <c r="KOR20" s="160"/>
      <c r="KOS20" s="160"/>
      <c r="KOT20" s="160"/>
      <c r="KOU20" s="160"/>
      <c r="KOV20" s="160"/>
      <c r="KOW20" s="160"/>
      <c r="KOX20" s="160"/>
      <c r="KOY20" s="160"/>
      <c r="KOZ20" s="160"/>
      <c r="KPA20" s="160"/>
      <c r="KPB20" s="160"/>
      <c r="KPC20" s="160"/>
      <c r="KPD20" s="160"/>
      <c r="KPE20" s="160"/>
      <c r="KPF20" s="160"/>
      <c r="KPG20" s="160"/>
      <c r="KPH20" s="160"/>
      <c r="KPI20" s="160"/>
      <c r="KPJ20" s="160"/>
      <c r="KPK20" s="160"/>
      <c r="KPL20" s="160"/>
      <c r="KPM20" s="160"/>
      <c r="KPN20" s="160"/>
      <c r="KPO20" s="160"/>
      <c r="KPP20" s="160"/>
      <c r="KPQ20" s="160"/>
      <c r="KPR20" s="160"/>
      <c r="KPS20" s="160"/>
      <c r="KPT20" s="160"/>
      <c r="KPU20" s="160"/>
      <c r="KPV20" s="160"/>
      <c r="KPW20" s="160"/>
      <c r="KPX20" s="160"/>
      <c r="KPY20" s="160"/>
      <c r="KPZ20" s="160"/>
      <c r="KQA20" s="160"/>
      <c r="KQB20" s="160"/>
      <c r="KQC20" s="160"/>
      <c r="KQD20" s="160"/>
      <c r="KQE20" s="160"/>
      <c r="KQF20" s="160"/>
      <c r="KQG20" s="160"/>
      <c r="KQH20" s="160"/>
      <c r="KQI20" s="160"/>
      <c r="KQJ20" s="160"/>
      <c r="KQK20" s="160"/>
      <c r="KQL20" s="160"/>
      <c r="KQM20" s="160"/>
      <c r="KQN20" s="160"/>
      <c r="KQO20" s="160"/>
      <c r="KQP20" s="160"/>
      <c r="KQQ20" s="160"/>
      <c r="KQR20" s="160"/>
      <c r="KQS20" s="160"/>
      <c r="KQT20" s="160"/>
      <c r="KQU20" s="160"/>
      <c r="KQV20" s="160"/>
      <c r="KQW20" s="160"/>
      <c r="KQX20" s="160"/>
      <c r="KQY20" s="160"/>
      <c r="KQZ20" s="160"/>
      <c r="KRA20" s="160"/>
      <c r="KRB20" s="160"/>
      <c r="KRC20" s="160"/>
      <c r="KRD20" s="160"/>
      <c r="KRE20" s="160"/>
      <c r="KRF20" s="160"/>
      <c r="KRG20" s="160"/>
      <c r="KRH20" s="160"/>
      <c r="KRI20" s="160"/>
      <c r="KRJ20" s="160"/>
      <c r="KRK20" s="160"/>
      <c r="KRL20" s="160"/>
      <c r="KRM20" s="160"/>
      <c r="KRN20" s="160"/>
      <c r="KRO20" s="160"/>
      <c r="KRP20" s="160"/>
      <c r="KRQ20" s="160"/>
      <c r="KRR20" s="160"/>
      <c r="KRS20" s="160"/>
      <c r="KRT20" s="160"/>
      <c r="KRU20" s="160"/>
      <c r="KRV20" s="160"/>
      <c r="KRW20" s="160"/>
      <c r="KRX20" s="160"/>
      <c r="KRY20" s="160"/>
      <c r="KRZ20" s="160"/>
      <c r="KSA20" s="160"/>
      <c r="KSB20" s="160"/>
      <c r="KSC20" s="160"/>
      <c r="KSD20" s="160"/>
      <c r="KSE20" s="160"/>
      <c r="KSF20" s="160"/>
      <c r="KSG20" s="160"/>
      <c r="KSH20" s="160"/>
      <c r="KSI20" s="160"/>
      <c r="KSJ20" s="160"/>
      <c r="KSK20" s="160"/>
      <c r="KSL20" s="160"/>
      <c r="KSM20" s="160"/>
      <c r="KSN20" s="160"/>
      <c r="KSO20" s="160"/>
      <c r="KSP20" s="160"/>
      <c r="KSQ20" s="160"/>
      <c r="KSR20" s="160"/>
      <c r="KSS20" s="160"/>
      <c r="KST20" s="160"/>
      <c r="KSU20" s="160"/>
      <c r="KSV20" s="160"/>
      <c r="KSW20" s="160"/>
      <c r="KSX20" s="160"/>
      <c r="KSY20" s="160"/>
      <c r="KSZ20" s="160"/>
      <c r="KTA20" s="160"/>
      <c r="KTB20" s="160"/>
      <c r="KTC20" s="160"/>
      <c r="KTD20" s="160"/>
      <c r="KTE20" s="160"/>
      <c r="KTF20" s="160"/>
      <c r="KTG20" s="160"/>
      <c r="KTH20" s="160"/>
      <c r="KTI20" s="160"/>
      <c r="KTJ20" s="160"/>
      <c r="KTK20" s="160"/>
      <c r="KTL20" s="160"/>
      <c r="KTM20" s="160"/>
      <c r="KTN20" s="160"/>
      <c r="KTO20" s="160"/>
      <c r="KTP20" s="160"/>
      <c r="KTQ20" s="160"/>
      <c r="KTR20" s="160"/>
      <c r="KTS20" s="160"/>
      <c r="KTT20" s="160"/>
      <c r="KTU20" s="160"/>
      <c r="KTV20" s="160"/>
      <c r="KTW20" s="160"/>
      <c r="KTX20" s="160"/>
      <c r="KTY20" s="160"/>
      <c r="KTZ20" s="160"/>
      <c r="KUA20" s="160"/>
      <c r="KUB20" s="160"/>
      <c r="KUC20" s="160"/>
      <c r="KUD20" s="160"/>
      <c r="KUE20" s="160"/>
      <c r="KUF20" s="160"/>
      <c r="KUG20" s="160"/>
      <c r="KUH20" s="160"/>
      <c r="KUI20" s="160"/>
      <c r="KUJ20" s="160"/>
      <c r="KUK20" s="160"/>
      <c r="KUL20" s="160"/>
      <c r="KUM20" s="160"/>
      <c r="KUN20" s="160"/>
      <c r="KUO20" s="160"/>
      <c r="KUP20" s="160"/>
      <c r="KUQ20" s="160"/>
      <c r="KUR20" s="160"/>
      <c r="KUS20" s="160"/>
      <c r="KUT20" s="160"/>
      <c r="KUU20" s="160"/>
      <c r="KUV20" s="160"/>
      <c r="KUW20" s="160"/>
      <c r="KUX20" s="160"/>
      <c r="KUY20" s="160"/>
      <c r="KUZ20" s="160"/>
      <c r="KVA20" s="160"/>
      <c r="KVB20" s="160"/>
      <c r="KVC20" s="160"/>
      <c r="KVD20" s="160"/>
      <c r="KVE20" s="160"/>
      <c r="KVF20" s="160"/>
      <c r="KVG20" s="160"/>
      <c r="KVH20" s="160"/>
      <c r="KVI20" s="160"/>
      <c r="KVJ20" s="160"/>
      <c r="KVK20" s="160"/>
      <c r="KVL20" s="160"/>
      <c r="KVM20" s="160"/>
      <c r="KVN20" s="160"/>
      <c r="KVO20" s="160"/>
      <c r="KVP20" s="160"/>
      <c r="KVQ20" s="160"/>
      <c r="KVR20" s="160"/>
      <c r="KVS20" s="160"/>
      <c r="KVT20" s="160"/>
      <c r="KVU20" s="160"/>
      <c r="KVV20" s="160"/>
      <c r="KVW20" s="160"/>
      <c r="KVX20" s="160"/>
      <c r="KVY20" s="160"/>
      <c r="KVZ20" s="160"/>
      <c r="KWA20" s="160"/>
      <c r="KWB20" s="160"/>
      <c r="KWC20" s="160"/>
      <c r="KWD20" s="160"/>
      <c r="KWE20" s="160"/>
      <c r="KWF20" s="160"/>
      <c r="KWG20" s="160"/>
      <c r="KWH20" s="160"/>
      <c r="KWI20" s="160"/>
      <c r="KWJ20" s="160"/>
      <c r="KWK20" s="160"/>
      <c r="KWL20" s="160"/>
      <c r="KWM20" s="160"/>
      <c r="KWN20" s="160"/>
      <c r="KWO20" s="160"/>
      <c r="KWP20" s="160"/>
      <c r="KWQ20" s="160"/>
      <c r="KWR20" s="160"/>
      <c r="KWS20" s="160"/>
      <c r="KWT20" s="160"/>
      <c r="KWU20" s="160"/>
      <c r="KWV20" s="160"/>
      <c r="KWW20" s="160"/>
      <c r="KWX20" s="160"/>
      <c r="KWY20" s="160"/>
      <c r="KWZ20" s="160"/>
      <c r="KXA20" s="160"/>
      <c r="KXB20" s="160"/>
      <c r="KXC20" s="160"/>
      <c r="KXD20" s="160"/>
      <c r="KXE20" s="160"/>
      <c r="KXF20" s="160"/>
      <c r="KXG20" s="160"/>
      <c r="KXH20" s="160"/>
      <c r="KXI20" s="160"/>
      <c r="KXJ20" s="160"/>
      <c r="KXK20" s="160"/>
      <c r="KXL20" s="160"/>
      <c r="KXM20" s="160"/>
      <c r="KXN20" s="160"/>
      <c r="KXO20" s="160"/>
      <c r="KXP20" s="160"/>
      <c r="KXQ20" s="160"/>
      <c r="KXR20" s="160"/>
      <c r="KXS20" s="160"/>
      <c r="KXT20" s="160"/>
      <c r="KXU20" s="160"/>
      <c r="KXV20" s="160"/>
      <c r="KXW20" s="160"/>
      <c r="KXX20" s="160"/>
      <c r="KXY20" s="160"/>
      <c r="KXZ20" s="160"/>
      <c r="KYA20" s="160"/>
      <c r="KYB20" s="160"/>
      <c r="KYC20" s="160"/>
      <c r="KYD20" s="160"/>
      <c r="KYE20" s="160"/>
      <c r="KYF20" s="160"/>
      <c r="KYG20" s="160"/>
      <c r="KYH20" s="160"/>
      <c r="KYI20" s="160"/>
      <c r="KYJ20" s="160"/>
      <c r="KYK20" s="160"/>
      <c r="KYL20" s="160"/>
      <c r="KYM20" s="160"/>
      <c r="KYN20" s="160"/>
      <c r="KYO20" s="160"/>
      <c r="KYP20" s="160"/>
      <c r="KYQ20" s="160"/>
      <c r="KYR20" s="160"/>
      <c r="KYS20" s="160"/>
      <c r="KYT20" s="160"/>
      <c r="KYU20" s="160"/>
      <c r="KYV20" s="160"/>
      <c r="KYW20" s="160"/>
      <c r="KYX20" s="160"/>
      <c r="KYY20" s="160"/>
      <c r="KYZ20" s="160"/>
      <c r="KZA20" s="160"/>
      <c r="KZB20" s="160"/>
      <c r="KZC20" s="160"/>
      <c r="KZD20" s="160"/>
      <c r="KZE20" s="160"/>
      <c r="KZF20" s="160"/>
      <c r="KZG20" s="160"/>
      <c r="KZH20" s="160"/>
      <c r="KZI20" s="160"/>
      <c r="KZJ20" s="160"/>
      <c r="KZK20" s="160"/>
      <c r="KZL20" s="160"/>
      <c r="KZM20" s="160"/>
      <c r="KZN20" s="160"/>
      <c r="KZO20" s="160"/>
      <c r="KZP20" s="160"/>
      <c r="KZQ20" s="160"/>
      <c r="KZR20" s="160"/>
      <c r="KZS20" s="160"/>
      <c r="KZT20" s="160"/>
      <c r="KZU20" s="160"/>
      <c r="KZV20" s="160"/>
      <c r="KZW20" s="160"/>
      <c r="KZX20" s="160"/>
      <c r="KZY20" s="160"/>
      <c r="KZZ20" s="160"/>
      <c r="LAA20" s="160"/>
      <c r="LAB20" s="160"/>
      <c r="LAC20" s="160"/>
      <c r="LAD20" s="160"/>
      <c r="LAE20" s="160"/>
      <c r="LAF20" s="160"/>
      <c r="LAG20" s="160"/>
      <c r="LAH20" s="160"/>
      <c r="LAI20" s="160"/>
      <c r="LAJ20" s="160"/>
      <c r="LAK20" s="160"/>
      <c r="LAL20" s="160"/>
      <c r="LAM20" s="160"/>
      <c r="LAN20" s="160"/>
      <c r="LAO20" s="160"/>
      <c r="LAP20" s="160"/>
      <c r="LAQ20" s="160"/>
      <c r="LAR20" s="160"/>
      <c r="LAS20" s="160"/>
      <c r="LAT20" s="160"/>
      <c r="LAU20" s="160"/>
      <c r="LAV20" s="160"/>
      <c r="LAW20" s="160"/>
      <c r="LAX20" s="160"/>
      <c r="LAY20" s="160"/>
      <c r="LAZ20" s="160"/>
      <c r="LBA20" s="160"/>
      <c r="LBB20" s="160"/>
      <c r="LBC20" s="160"/>
      <c r="LBD20" s="160"/>
      <c r="LBE20" s="160"/>
      <c r="LBF20" s="160"/>
      <c r="LBG20" s="160"/>
      <c r="LBH20" s="160"/>
      <c r="LBI20" s="160"/>
      <c r="LBJ20" s="160"/>
      <c r="LBK20" s="160"/>
      <c r="LBL20" s="160"/>
      <c r="LBM20" s="160"/>
      <c r="LBN20" s="160"/>
      <c r="LBO20" s="160"/>
      <c r="LBP20" s="160"/>
      <c r="LBQ20" s="160"/>
      <c r="LBR20" s="160"/>
      <c r="LBS20" s="160"/>
      <c r="LBT20" s="160"/>
      <c r="LBU20" s="160"/>
      <c r="LBV20" s="160"/>
      <c r="LBW20" s="160"/>
      <c r="LBX20" s="160"/>
      <c r="LBY20" s="160"/>
      <c r="LBZ20" s="160"/>
      <c r="LCA20" s="160"/>
      <c r="LCB20" s="160"/>
      <c r="LCC20" s="160"/>
      <c r="LCD20" s="160"/>
      <c r="LCE20" s="160"/>
      <c r="LCF20" s="160"/>
      <c r="LCG20" s="160"/>
      <c r="LCH20" s="160"/>
      <c r="LCI20" s="160"/>
      <c r="LCJ20" s="160"/>
      <c r="LCK20" s="160"/>
      <c r="LCL20" s="160"/>
      <c r="LCM20" s="160"/>
      <c r="LCN20" s="160"/>
      <c r="LCO20" s="160"/>
      <c r="LCP20" s="160"/>
      <c r="LCQ20" s="160"/>
      <c r="LCR20" s="160"/>
      <c r="LCS20" s="160"/>
      <c r="LCT20" s="160"/>
      <c r="LCU20" s="160"/>
      <c r="LCV20" s="160"/>
      <c r="LCW20" s="160"/>
      <c r="LCX20" s="160"/>
      <c r="LCY20" s="160"/>
      <c r="LCZ20" s="160"/>
      <c r="LDA20" s="160"/>
      <c r="LDB20" s="160"/>
      <c r="LDC20" s="160"/>
      <c r="LDD20" s="160"/>
      <c r="LDE20" s="160"/>
      <c r="LDF20" s="160"/>
      <c r="LDG20" s="160"/>
      <c r="LDH20" s="160"/>
      <c r="LDI20" s="160"/>
      <c r="LDJ20" s="160"/>
      <c r="LDK20" s="160"/>
      <c r="LDL20" s="160"/>
      <c r="LDM20" s="160"/>
      <c r="LDN20" s="160"/>
      <c r="LDO20" s="160"/>
      <c r="LDP20" s="160"/>
      <c r="LDQ20" s="160"/>
      <c r="LDR20" s="160"/>
      <c r="LDS20" s="160"/>
      <c r="LDT20" s="160"/>
      <c r="LDU20" s="160"/>
      <c r="LDV20" s="160"/>
      <c r="LDW20" s="160"/>
      <c r="LDX20" s="160"/>
      <c r="LDY20" s="160"/>
      <c r="LDZ20" s="160"/>
      <c r="LEA20" s="160"/>
      <c r="LEB20" s="160"/>
      <c r="LEC20" s="160"/>
      <c r="LED20" s="160"/>
      <c r="LEE20" s="160"/>
      <c r="LEF20" s="160"/>
      <c r="LEG20" s="160"/>
      <c r="LEH20" s="160"/>
      <c r="LEI20" s="160"/>
      <c r="LEJ20" s="160"/>
      <c r="LEK20" s="160"/>
      <c r="LEL20" s="160"/>
      <c r="LEM20" s="160"/>
      <c r="LEN20" s="160"/>
      <c r="LEO20" s="160"/>
      <c r="LEP20" s="160"/>
      <c r="LEQ20" s="160"/>
      <c r="LER20" s="160"/>
      <c r="LES20" s="160"/>
      <c r="LET20" s="160"/>
      <c r="LEU20" s="160"/>
      <c r="LEV20" s="160"/>
      <c r="LEW20" s="160"/>
      <c r="LEX20" s="160"/>
      <c r="LEY20" s="160"/>
      <c r="LEZ20" s="160"/>
      <c r="LFA20" s="160"/>
      <c r="LFB20" s="160"/>
      <c r="LFC20" s="160"/>
      <c r="LFD20" s="160"/>
      <c r="LFE20" s="160"/>
      <c r="LFF20" s="160"/>
      <c r="LFG20" s="160"/>
      <c r="LFH20" s="160"/>
      <c r="LFI20" s="160"/>
      <c r="LFJ20" s="160"/>
      <c r="LFK20" s="160"/>
      <c r="LFL20" s="160"/>
      <c r="LFM20" s="160"/>
      <c r="LFN20" s="160"/>
      <c r="LFO20" s="160"/>
      <c r="LFP20" s="160"/>
      <c r="LFQ20" s="160"/>
      <c r="LFR20" s="160"/>
      <c r="LFS20" s="160"/>
      <c r="LFT20" s="160"/>
      <c r="LFU20" s="160"/>
      <c r="LFV20" s="160"/>
      <c r="LFW20" s="160"/>
      <c r="LFX20" s="160"/>
      <c r="LFY20" s="160"/>
      <c r="LFZ20" s="160"/>
      <c r="LGA20" s="160"/>
      <c r="LGB20" s="160"/>
      <c r="LGC20" s="160"/>
      <c r="LGD20" s="160"/>
      <c r="LGE20" s="160"/>
      <c r="LGF20" s="160"/>
      <c r="LGG20" s="160"/>
      <c r="LGH20" s="160"/>
      <c r="LGI20" s="160"/>
      <c r="LGJ20" s="160"/>
      <c r="LGK20" s="160"/>
      <c r="LGL20" s="160"/>
      <c r="LGM20" s="160"/>
      <c r="LGN20" s="160"/>
      <c r="LGO20" s="160"/>
      <c r="LGP20" s="160"/>
      <c r="LGQ20" s="160"/>
      <c r="LGR20" s="160"/>
      <c r="LGS20" s="160"/>
      <c r="LGT20" s="160"/>
      <c r="LGU20" s="160"/>
      <c r="LGV20" s="160"/>
      <c r="LGW20" s="160"/>
      <c r="LGX20" s="160"/>
      <c r="LGY20" s="160"/>
      <c r="LGZ20" s="160"/>
      <c r="LHA20" s="160"/>
      <c r="LHB20" s="160"/>
      <c r="LHC20" s="160"/>
      <c r="LHD20" s="160"/>
      <c r="LHE20" s="160"/>
      <c r="LHF20" s="160"/>
      <c r="LHG20" s="160"/>
      <c r="LHH20" s="160"/>
      <c r="LHI20" s="160"/>
      <c r="LHJ20" s="160"/>
      <c r="LHK20" s="160"/>
      <c r="LHL20" s="160"/>
      <c r="LHM20" s="160"/>
      <c r="LHN20" s="160"/>
      <c r="LHO20" s="160"/>
      <c r="LHP20" s="160"/>
      <c r="LHQ20" s="160"/>
      <c r="LHR20" s="160"/>
      <c r="LHS20" s="160"/>
      <c r="LHT20" s="160"/>
      <c r="LHU20" s="160"/>
      <c r="LHV20" s="160"/>
      <c r="LHW20" s="160"/>
      <c r="LHX20" s="160"/>
      <c r="LHY20" s="160"/>
      <c r="LHZ20" s="160"/>
      <c r="LIA20" s="160"/>
      <c r="LIB20" s="160"/>
      <c r="LIC20" s="160"/>
      <c r="LID20" s="160"/>
      <c r="LIE20" s="160"/>
      <c r="LIF20" s="160"/>
      <c r="LIG20" s="160"/>
      <c r="LIH20" s="160"/>
      <c r="LII20" s="160"/>
      <c r="LIJ20" s="160"/>
      <c r="LIK20" s="160"/>
      <c r="LIL20" s="160"/>
      <c r="LIM20" s="160"/>
      <c r="LIN20" s="160"/>
      <c r="LIO20" s="160"/>
      <c r="LIP20" s="160"/>
      <c r="LIQ20" s="160"/>
      <c r="LIR20" s="160"/>
      <c r="LIS20" s="160"/>
      <c r="LIT20" s="160"/>
      <c r="LIU20" s="160"/>
      <c r="LIV20" s="160"/>
      <c r="LIW20" s="160"/>
      <c r="LIX20" s="160"/>
      <c r="LIY20" s="160"/>
      <c r="LIZ20" s="160"/>
      <c r="LJA20" s="160"/>
      <c r="LJB20" s="160"/>
      <c r="LJC20" s="160"/>
      <c r="LJD20" s="160"/>
      <c r="LJE20" s="160"/>
      <c r="LJF20" s="160"/>
      <c r="LJG20" s="160"/>
      <c r="LJH20" s="160"/>
      <c r="LJI20" s="160"/>
      <c r="LJJ20" s="160"/>
      <c r="LJK20" s="160"/>
      <c r="LJL20" s="160"/>
      <c r="LJM20" s="160"/>
      <c r="LJN20" s="160"/>
      <c r="LJO20" s="160"/>
      <c r="LJP20" s="160"/>
      <c r="LJQ20" s="160"/>
      <c r="LJR20" s="160"/>
      <c r="LJS20" s="160"/>
      <c r="LJT20" s="160"/>
      <c r="LJU20" s="160"/>
      <c r="LJV20" s="160"/>
      <c r="LJW20" s="160"/>
      <c r="LJX20" s="160"/>
      <c r="LJY20" s="160"/>
      <c r="LJZ20" s="160"/>
      <c r="LKA20" s="160"/>
      <c r="LKB20" s="160"/>
      <c r="LKC20" s="160"/>
      <c r="LKD20" s="160"/>
      <c r="LKE20" s="160"/>
      <c r="LKF20" s="160"/>
      <c r="LKG20" s="160"/>
      <c r="LKH20" s="160"/>
      <c r="LKI20" s="160"/>
      <c r="LKJ20" s="160"/>
      <c r="LKK20" s="160"/>
      <c r="LKL20" s="160"/>
      <c r="LKM20" s="160"/>
      <c r="LKN20" s="160"/>
      <c r="LKO20" s="160"/>
      <c r="LKP20" s="160"/>
      <c r="LKQ20" s="160"/>
      <c r="LKR20" s="160"/>
      <c r="LKS20" s="160"/>
      <c r="LKT20" s="160"/>
      <c r="LKU20" s="160"/>
      <c r="LKV20" s="160"/>
      <c r="LKW20" s="160"/>
      <c r="LKX20" s="160"/>
      <c r="LKY20" s="160"/>
      <c r="LKZ20" s="160"/>
      <c r="LLA20" s="160"/>
      <c r="LLB20" s="160"/>
      <c r="LLC20" s="160"/>
      <c r="LLD20" s="160"/>
      <c r="LLE20" s="160"/>
      <c r="LLF20" s="160"/>
      <c r="LLG20" s="160"/>
      <c r="LLH20" s="160"/>
      <c r="LLI20" s="160"/>
      <c r="LLJ20" s="160"/>
      <c r="LLK20" s="160"/>
      <c r="LLL20" s="160"/>
      <c r="LLM20" s="160"/>
      <c r="LLN20" s="160"/>
      <c r="LLO20" s="160"/>
      <c r="LLP20" s="160"/>
      <c r="LLQ20" s="160"/>
      <c r="LLR20" s="160"/>
      <c r="LLS20" s="160"/>
      <c r="LLT20" s="160"/>
      <c r="LLU20" s="160"/>
      <c r="LLV20" s="160"/>
      <c r="LLW20" s="160"/>
      <c r="LLX20" s="160"/>
      <c r="LLY20" s="160"/>
      <c r="LLZ20" s="160"/>
      <c r="LMA20" s="160"/>
      <c r="LMB20" s="160"/>
      <c r="LMC20" s="160"/>
      <c r="LMD20" s="160"/>
      <c r="LME20" s="160"/>
      <c r="LMF20" s="160"/>
      <c r="LMG20" s="160"/>
      <c r="LMH20" s="160"/>
      <c r="LMI20" s="160"/>
      <c r="LMJ20" s="160"/>
      <c r="LMK20" s="160"/>
      <c r="LML20" s="160"/>
      <c r="LMM20" s="160"/>
      <c r="LMN20" s="160"/>
      <c r="LMO20" s="160"/>
      <c r="LMP20" s="160"/>
      <c r="LMQ20" s="160"/>
      <c r="LMR20" s="160"/>
      <c r="LMS20" s="160"/>
      <c r="LMT20" s="160"/>
      <c r="LMU20" s="160"/>
      <c r="LMV20" s="160"/>
      <c r="LMW20" s="160"/>
      <c r="LMX20" s="160"/>
      <c r="LMY20" s="160"/>
      <c r="LMZ20" s="160"/>
      <c r="LNA20" s="160"/>
      <c r="LNB20" s="160"/>
      <c r="LNC20" s="160"/>
      <c r="LND20" s="160"/>
      <c r="LNE20" s="160"/>
      <c r="LNF20" s="160"/>
      <c r="LNG20" s="160"/>
      <c r="LNH20" s="160"/>
      <c r="LNI20" s="160"/>
      <c r="LNJ20" s="160"/>
      <c r="LNK20" s="160"/>
      <c r="LNL20" s="160"/>
      <c r="LNM20" s="160"/>
      <c r="LNN20" s="160"/>
      <c r="LNO20" s="160"/>
      <c r="LNP20" s="160"/>
      <c r="LNQ20" s="160"/>
      <c r="LNR20" s="160"/>
      <c r="LNS20" s="160"/>
      <c r="LNT20" s="160"/>
      <c r="LNU20" s="160"/>
      <c r="LNV20" s="160"/>
      <c r="LNW20" s="160"/>
      <c r="LNX20" s="160"/>
      <c r="LNY20" s="160"/>
      <c r="LNZ20" s="160"/>
      <c r="LOA20" s="160"/>
      <c r="LOB20" s="160"/>
      <c r="LOC20" s="160"/>
      <c r="LOD20" s="160"/>
      <c r="LOE20" s="160"/>
      <c r="LOF20" s="160"/>
      <c r="LOG20" s="160"/>
      <c r="LOH20" s="160"/>
      <c r="LOI20" s="160"/>
      <c r="LOJ20" s="160"/>
      <c r="LOK20" s="160"/>
      <c r="LOL20" s="160"/>
      <c r="LOM20" s="160"/>
      <c r="LON20" s="160"/>
      <c r="LOO20" s="160"/>
      <c r="LOP20" s="160"/>
      <c r="LOQ20" s="160"/>
      <c r="LOR20" s="160"/>
      <c r="LOS20" s="160"/>
      <c r="LOT20" s="160"/>
      <c r="LOU20" s="160"/>
      <c r="LOV20" s="160"/>
      <c r="LOW20" s="160"/>
      <c r="LOX20" s="160"/>
      <c r="LOY20" s="160"/>
      <c r="LOZ20" s="160"/>
      <c r="LPA20" s="160"/>
      <c r="LPB20" s="160"/>
      <c r="LPC20" s="160"/>
      <c r="LPD20" s="160"/>
      <c r="LPE20" s="160"/>
      <c r="LPF20" s="160"/>
      <c r="LPG20" s="160"/>
      <c r="LPH20" s="160"/>
      <c r="LPI20" s="160"/>
      <c r="LPJ20" s="160"/>
      <c r="LPK20" s="160"/>
      <c r="LPL20" s="160"/>
      <c r="LPM20" s="160"/>
      <c r="LPN20" s="160"/>
      <c r="LPO20" s="160"/>
      <c r="LPP20" s="160"/>
      <c r="LPQ20" s="160"/>
      <c r="LPR20" s="160"/>
      <c r="LPS20" s="160"/>
      <c r="LPT20" s="160"/>
      <c r="LPU20" s="160"/>
      <c r="LPV20" s="160"/>
      <c r="LPW20" s="160"/>
      <c r="LPX20" s="160"/>
      <c r="LPY20" s="160"/>
      <c r="LPZ20" s="160"/>
      <c r="LQA20" s="160"/>
      <c r="LQB20" s="160"/>
      <c r="LQC20" s="160"/>
      <c r="LQD20" s="160"/>
      <c r="LQE20" s="160"/>
      <c r="LQF20" s="160"/>
      <c r="LQG20" s="160"/>
      <c r="LQH20" s="160"/>
      <c r="LQI20" s="160"/>
      <c r="LQJ20" s="160"/>
      <c r="LQK20" s="160"/>
      <c r="LQL20" s="160"/>
      <c r="LQM20" s="160"/>
      <c r="LQN20" s="160"/>
      <c r="LQO20" s="160"/>
      <c r="LQP20" s="160"/>
      <c r="LQQ20" s="160"/>
      <c r="LQR20" s="160"/>
      <c r="LQS20" s="160"/>
      <c r="LQT20" s="160"/>
      <c r="LQU20" s="160"/>
      <c r="LQV20" s="160"/>
      <c r="LQW20" s="160"/>
      <c r="LQX20" s="160"/>
      <c r="LQY20" s="160"/>
      <c r="LQZ20" s="160"/>
      <c r="LRA20" s="160"/>
      <c r="LRB20" s="160"/>
      <c r="LRC20" s="160"/>
      <c r="LRD20" s="160"/>
      <c r="LRE20" s="160"/>
      <c r="LRF20" s="160"/>
      <c r="LRG20" s="160"/>
      <c r="LRH20" s="160"/>
      <c r="LRI20" s="160"/>
      <c r="LRJ20" s="160"/>
      <c r="LRK20" s="160"/>
      <c r="LRL20" s="160"/>
      <c r="LRM20" s="160"/>
      <c r="LRN20" s="160"/>
      <c r="LRO20" s="160"/>
      <c r="LRP20" s="160"/>
      <c r="LRQ20" s="160"/>
      <c r="LRR20" s="160"/>
      <c r="LRS20" s="160"/>
      <c r="LRT20" s="160"/>
      <c r="LRU20" s="160"/>
      <c r="LRV20" s="160"/>
      <c r="LRW20" s="160"/>
      <c r="LRX20" s="160"/>
      <c r="LRY20" s="160"/>
      <c r="LRZ20" s="160"/>
      <c r="LSA20" s="160"/>
      <c r="LSB20" s="160"/>
      <c r="LSC20" s="160"/>
      <c r="LSD20" s="160"/>
      <c r="LSE20" s="160"/>
      <c r="LSF20" s="160"/>
      <c r="LSG20" s="160"/>
      <c r="LSH20" s="160"/>
      <c r="LSI20" s="160"/>
      <c r="LSJ20" s="160"/>
      <c r="LSK20" s="160"/>
      <c r="LSL20" s="160"/>
      <c r="LSM20" s="160"/>
      <c r="LSN20" s="160"/>
      <c r="LSO20" s="160"/>
      <c r="LSP20" s="160"/>
      <c r="LSQ20" s="160"/>
      <c r="LSR20" s="160"/>
      <c r="LSS20" s="160"/>
      <c r="LST20" s="160"/>
      <c r="LSU20" s="160"/>
      <c r="LSV20" s="160"/>
      <c r="LSW20" s="160"/>
      <c r="LSX20" s="160"/>
      <c r="LSY20" s="160"/>
      <c r="LSZ20" s="160"/>
      <c r="LTA20" s="160"/>
      <c r="LTB20" s="160"/>
      <c r="LTC20" s="160"/>
      <c r="LTD20" s="160"/>
      <c r="LTE20" s="160"/>
      <c r="LTF20" s="160"/>
      <c r="LTG20" s="160"/>
      <c r="LTH20" s="160"/>
      <c r="LTI20" s="160"/>
      <c r="LTJ20" s="160"/>
      <c r="LTK20" s="160"/>
      <c r="LTL20" s="160"/>
      <c r="LTM20" s="160"/>
      <c r="LTN20" s="160"/>
      <c r="LTO20" s="160"/>
      <c r="LTP20" s="160"/>
      <c r="LTQ20" s="160"/>
      <c r="LTR20" s="160"/>
      <c r="LTS20" s="160"/>
      <c r="LTT20" s="160"/>
      <c r="LTU20" s="160"/>
      <c r="LTV20" s="160"/>
      <c r="LTW20" s="160"/>
      <c r="LTX20" s="160"/>
      <c r="LTY20" s="160"/>
      <c r="LTZ20" s="160"/>
      <c r="LUA20" s="160"/>
      <c r="LUB20" s="160"/>
      <c r="LUC20" s="160"/>
      <c r="LUD20" s="160"/>
      <c r="LUE20" s="160"/>
      <c r="LUF20" s="160"/>
      <c r="LUG20" s="160"/>
      <c r="LUH20" s="160"/>
      <c r="LUI20" s="160"/>
      <c r="LUJ20" s="160"/>
      <c r="LUK20" s="160"/>
      <c r="LUL20" s="160"/>
      <c r="LUM20" s="160"/>
      <c r="LUN20" s="160"/>
      <c r="LUO20" s="160"/>
      <c r="LUP20" s="160"/>
      <c r="LUQ20" s="160"/>
      <c r="LUR20" s="160"/>
      <c r="LUS20" s="160"/>
      <c r="LUT20" s="160"/>
      <c r="LUU20" s="160"/>
      <c r="LUV20" s="160"/>
      <c r="LUW20" s="160"/>
      <c r="LUX20" s="160"/>
      <c r="LUY20" s="160"/>
      <c r="LUZ20" s="160"/>
      <c r="LVA20" s="160"/>
      <c r="LVB20" s="160"/>
      <c r="LVC20" s="160"/>
      <c r="LVD20" s="160"/>
      <c r="LVE20" s="160"/>
      <c r="LVF20" s="160"/>
      <c r="LVG20" s="160"/>
      <c r="LVH20" s="160"/>
      <c r="LVI20" s="160"/>
      <c r="LVJ20" s="160"/>
      <c r="LVK20" s="160"/>
      <c r="LVL20" s="160"/>
      <c r="LVM20" s="160"/>
      <c r="LVN20" s="160"/>
      <c r="LVO20" s="160"/>
      <c r="LVP20" s="160"/>
      <c r="LVQ20" s="160"/>
      <c r="LVR20" s="160"/>
      <c r="LVS20" s="160"/>
      <c r="LVT20" s="160"/>
      <c r="LVU20" s="160"/>
      <c r="LVV20" s="160"/>
      <c r="LVW20" s="160"/>
      <c r="LVX20" s="160"/>
      <c r="LVY20" s="160"/>
      <c r="LVZ20" s="160"/>
      <c r="LWA20" s="160"/>
      <c r="LWB20" s="160"/>
      <c r="LWC20" s="160"/>
      <c r="LWD20" s="160"/>
      <c r="LWE20" s="160"/>
      <c r="LWF20" s="160"/>
      <c r="LWG20" s="160"/>
      <c r="LWH20" s="160"/>
      <c r="LWI20" s="160"/>
      <c r="LWJ20" s="160"/>
      <c r="LWK20" s="160"/>
      <c r="LWL20" s="160"/>
      <c r="LWM20" s="160"/>
      <c r="LWN20" s="160"/>
      <c r="LWO20" s="160"/>
      <c r="LWP20" s="160"/>
      <c r="LWQ20" s="160"/>
      <c r="LWR20" s="160"/>
      <c r="LWS20" s="160"/>
      <c r="LWT20" s="160"/>
      <c r="LWU20" s="160"/>
      <c r="LWV20" s="160"/>
      <c r="LWW20" s="160"/>
      <c r="LWX20" s="160"/>
      <c r="LWY20" s="160"/>
      <c r="LWZ20" s="160"/>
      <c r="LXA20" s="160"/>
      <c r="LXB20" s="160"/>
      <c r="LXC20" s="160"/>
      <c r="LXD20" s="160"/>
      <c r="LXE20" s="160"/>
      <c r="LXF20" s="160"/>
      <c r="LXG20" s="160"/>
      <c r="LXH20" s="160"/>
      <c r="LXI20" s="160"/>
      <c r="LXJ20" s="160"/>
      <c r="LXK20" s="160"/>
      <c r="LXL20" s="160"/>
      <c r="LXM20" s="160"/>
      <c r="LXN20" s="160"/>
      <c r="LXO20" s="160"/>
      <c r="LXP20" s="160"/>
      <c r="LXQ20" s="160"/>
      <c r="LXR20" s="160"/>
      <c r="LXS20" s="160"/>
      <c r="LXT20" s="160"/>
      <c r="LXU20" s="160"/>
      <c r="LXV20" s="160"/>
      <c r="LXW20" s="160"/>
      <c r="LXX20" s="160"/>
      <c r="LXY20" s="160"/>
      <c r="LXZ20" s="160"/>
      <c r="LYA20" s="160"/>
      <c r="LYB20" s="160"/>
      <c r="LYC20" s="160"/>
      <c r="LYD20" s="160"/>
      <c r="LYE20" s="160"/>
      <c r="LYF20" s="160"/>
      <c r="LYG20" s="160"/>
      <c r="LYH20" s="160"/>
      <c r="LYI20" s="160"/>
      <c r="LYJ20" s="160"/>
      <c r="LYK20" s="160"/>
      <c r="LYL20" s="160"/>
      <c r="LYM20" s="160"/>
      <c r="LYN20" s="160"/>
      <c r="LYO20" s="160"/>
      <c r="LYP20" s="160"/>
      <c r="LYQ20" s="160"/>
      <c r="LYR20" s="160"/>
      <c r="LYS20" s="160"/>
      <c r="LYT20" s="160"/>
      <c r="LYU20" s="160"/>
      <c r="LYV20" s="160"/>
      <c r="LYW20" s="160"/>
      <c r="LYX20" s="160"/>
      <c r="LYY20" s="160"/>
      <c r="LYZ20" s="160"/>
      <c r="LZA20" s="160"/>
      <c r="LZB20" s="160"/>
      <c r="LZC20" s="160"/>
      <c r="LZD20" s="160"/>
      <c r="LZE20" s="160"/>
      <c r="LZF20" s="160"/>
      <c r="LZG20" s="160"/>
      <c r="LZH20" s="160"/>
      <c r="LZI20" s="160"/>
      <c r="LZJ20" s="160"/>
      <c r="LZK20" s="160"/>
      <c r="LZL20" s="160"/>
      <c r="LZM20" s="160"/>
      <c r="LZN20" s="160"/>
      <c r="LZO20" s="160"/>
      <c r="LZP20" s="160"/>
      <c r="LZQ20" s="160"/>
      <c r="LZR20" s="160"/>
      <c r="LZS20" s="160"/>
      <c r="LZT20" s="160"/>
      <c r="LZU20" s="160"/>
      <c r="LZV20" s="160"/>
      <c r="LZW20" s="160"/>
      <c r="LZX20" s="160"/>
      <c r="LZY20" s="160"/>
      <c r="LZZ20" s="160"/>
      <c r="MAA20" s="160"/>
      <c r="MAB20" s="160"/>
      <c r="MAC20" s="160"/>
      <c r="MAD20" s="160"/>
      <c r="MAE20" s="160"/>
      <c r="MAF20" s="160"/>
      <c r="MAG20" s="160"/>
      <c r="MAH20" s="160"/>
      <c r="MAI20" s="160"/>
      <c r="MAJ20" s="160"/>
      <c r="MAK20" s="160"/>
      <c r="MAL20" s="160"/>
      <c r="MAM20" s="160"/>
      <c r="MAN20" s="160"/>
      <c r="MAO20" s="160"/>
      <c r="MAP20" s="160"/>
      <c r="MAQ20" s="160"/>
      <c r="MAR20" s="160"/>
      <c r="MAS20" s="160"/>
      <c r="MAT20" s="160"/>
      <c r="MAU20" s="160"/>
      <c r="MAV20" s="160"/>
      <c r="MAW20" s="160"/>
      <c r="MAX20" s="160"/>
      <c r="MAY20" s="160"/>
      <c r="MAZ20" s="160"/>
      <c r="MBA20" s="160"/>
      <c r="MBB20" s="160"/>
      <c r="MBC20" s="160"/>
      <c r="MBD20" s="160"/>
      <c r="MBE20" s="160"/>
      <c r="MBF20" s="160"/>
      <c r="MBG20" s="160"/>
      <c r="MBH20" s="160"/>
      <c r="MBI20" s="160"/>
      <c r="MBJ20" s="160"/>
      <c r="MBK20" s="160"/>
      <c r="MBL20" s="160"/>
      <c r="MBM20" s="160"/>
      <c r="MBN20" s="160"/>
      <c r="MBO20" s="160"/>
      <c r="MBP20" s="160"/>
      <c r="MBQ20" s="160"/>
      <c r="MBR20" s="160"/>
      <c r="MBS20" s="160"/>
      <c r="MBT20" s="160"/>
      <c r="MBU20" s="160"/>
      <c r="MBV20" s="160"/>
      <c r="MBW20" s="160"/>
      <c r="MBX20" s="160"/>
      <c r="MBY20" s="160"/>
      <c r="MBZ20" s="160"/>
      <c r="MCA20" s="160"/>
      <c r="MCB20" s="160"/>
      <c r="MCC20" s="160"/>
      <c r="MCD20" s="160"/>
      <c r="MCE20" s="160"/>
      <c r="MCF20" s="160"/>
      <c r="MCG20" s="160"/>
      <c r="MCH20" s="160"/>
      <c r="MCI20" s="160"/>
      <c r="MCJ20" s="160"/>
      <c r="MCK20" s="160"/>
      <c r="MCL20" s="160"/>
      <c r="MCM20" s="160"/>
      <c r="MCN20" s="160"/>
      <c r="MCO20" s="160"/>
      <c r="MCP20" s="160"/>
      <c r="MCQ20" s="160"/>
      <c r="MCR20" s="160"/>
      <c r="MCS20" s="160"/>
      <c r="MCT20" s="160"/>
      <c r="MCU20" s="160"/>
      <c r="MCV20" s="160"/>
      <c r="MCW20" s="160"/>
      <c r="MCX20" s="160"/>
      <c r="MCY20" s="160"/>
      <c r="MCZ20" s="160"/>
      <c r="MDA20" s="160"/>
      <c r="MDB20" s="160"/>
      <c r="MDC20" s="160"/>
      <c r="MDD20" s="160"/>
      <c r="MDE20" s="160"/>
      <c r="MDF20" s="160"/>
      <c r="MDG20" s="160"/>
      <c r="MDH20" s="160"/>
      <c r="MDI20" s="160"/>
      <c r="MDJ20" s="160"/>
      <c r="MDK20" s="160"/>
      <c r="MDL20" s="160"/>
      <c r="MDM20" s="160"/>
      <c r="MDN20" s="160"/>
      <c r="MDO20" s="160"/>
      <c r="MDP20" s="160"/>
      <c r="MDQ20" s="160"/>
      <c r="MDR20" s="160"/>
      <c r="MDS20" s="160"/>
      <c r="MDT20" s="160"/>
      <c r="MDU20" s="160"/>
      <c r="MDV20" s="160"/>
      <c r="MDW20" s="160"/>
      <c r="MDX20" s="160"/>
      <c r="MDY20" s="160"/>
      <c r="MDZ20" s="160"/>
      <c r="MEA20" s="160"/>
      <c r="MEB20" s="160"/>
      <c r="MEC20" s="160"/>
      <c r="MED20" s="160"/>
      <c r="MEE20" s="160"/>
      <c r="MEF20" s="160"/>
      <c r="MEG20" s="160"/>
      <c r="MEH20" s="160"/>
      <c r="MEI20" s="160"/>
      <c r="MEJ20" s="160"/>
      <c r="MEK20" s="160"/>
      <c r="MEL20" s="160"/>
      <c r="MEM20" s="160"/>
      <c r="MEN20" s="160"/>
      <c r="MEO20" s="160"/>
      <c r="MEP20" s="160"/>
      <c r="MEQ20" s="160"/>
      <c r="MER20" s="160"/>
      <c r="MES20" s="160"/>
      <c r="MET20" s="160"/>
      <c r="MEU20" s="160"/>
      <c r="MEV20" s="160"/>
      <c r="MEW20" s="160"/>
      <c r="MEX20" s="160"/>
      <c r="MEY20" s="160"/>
      <c r="MEZ20" s="160"/>
      <c r="MFA20" s="160"/>
      <c r="MFB20" s="160"/>
      <c r="MFC20" s="160"/>
      <c r="MFD20" s="160"/>
      <c r="MFE20" s="160"/>
      <c r="MFF20" s="160"/>
      <c r="MFG20" s="160"/>
      <c r="MFH20" s="160"/>
      <c r="MFI20" s="160"/>
      <c r="MFJ20" s="160"/>
      <c r="MFK20" s="160"/>
      <c r="MFL20" s="160"/>
      <c r="MFM20" s="160"/>
      <c r="MFN20" s="160"/>
      <c r="MFO20" s="160"/>
      <c r="MFP20" s="160"/>
      <c r="MFQ20" s="160"/>
      <c r="MFR20" s="160"/>
      <c r="MFS20" s="160"/>
      <c r="MFT20" s="160"/>
      <c r="MFU20" s="160"/>
      <c r="MFV20" s="160"/>
      <c r="MFW20" s="160"/>
      <c r="MFX20" s="160"/>
      <c r="MFY20" s="160"/>
      <c r="MFZ20" s="160"/>
      <c r="MGA20" s="160"/>
      <c r="MGB20" s="160"/>
      <c r="MGC20" s="160"/>
      <c r="MGD20" s="160"/>
      <c r="MGE20" s="160"/>
      <c r="MGF20" s="160"/>
      <c r="MGG20" s="160"/>
      <c r="MGH20" s="160"/>
      <c r="MGI20" s="160"/>
      <c r="MGJ20" s="160"/>
      <c r="MGK20" s="160"/>
      <c r="MGL20" s="160"/>
      <c r="MGM20" s="160"/>
      <c r="MGN20" s="160"/>
      <c r="MGO20" s="160"/>
      <c r="MGP20" s="160"/>
      <c r="MGQ20" s="160"/>
      <c r="MGR20" s="160"/>
      <c r="MGS20" s="160"/>
      <c r="MGT20" s="160"/>
      <c r="MGU20" s="160"/>
      <c r="MGV20" s="160"/>
      <c r="MGW20" s="160"/>
      <c r="MGX20" s="160"/>
      <c r="MGY20" s="160"/>
      <c r="MGZ20" s="160"/>
      <c r="MHA20" s="160"/>
      <c r="MHB20" s="160"/>
      <c r="MHC20" s="160"/>
      <c r="MHD20" s="160"/>
      <c r="MHE20" s="160"/>
      <c r="MHF20" s="160"/>
      <c r="MHG20" s="160"/>
      <c r="MHH20" s="160"/>
      <c r="MHI20" s="160"/>
      <c r="MHJ20" s="160"/>
      <c r="MHK20" s="160"/>
      <c r="MHL20" s="160"/>
      <c r="MHM20" s="160"/>
      <c r="MHN20" s="160"/>
      <c r="MHO20" s="160"/>
      <c r="MHP20" s="160"/>
      <c r="MHQ20" s="160"/>
      <c r="MHR20" s="160"/>
      <c r="MHS20" s="160"/>
      <c r="MHT20" s="160"/>
      <c r="MHU20" s="160"/>
      <c r="MHV20" s="160"/>
      <c r="MHW20" s="160"/>
      <c r="MHX20" s="160"/>
      <c r="MHY20" s="160"/>
      <c r="MHZ20" s="160"/>
      <c r="MIA20" s="160"/>
      <c r="MIB20" s="160"/>
      <c r="MIC20" s="160"/>
      <c r="MID20" s="160"/>
      <c r="MIE20" s="160"/>
      <c r="MIF20" s="160"/>
      <c r="MIG20" s="160"/>
      <c r="MIH20" s="160"/>
      <c r="MII20" s="160"/>
      <c r="MIJ20" s="160"/>
      <c r="MIK20" s="160"/>
      <c r="MIL20" s="160"/>
      <c r="MIM20" s="160"/>
      <c r="MIN20" s="160"/>
      <c r="MIO20" s="160"/>
      <c r="MIP20" s="160"/>
      <c r="MIQ20" s="160"/>
      <c r="MIR20" s="160"/>
      <c r="MIS20" s="160"/>
      <c r="MIT20" s="160"/>
      <c r="MIU20" s="160"/>
      <c r="MIV20" s="160"/>
      <c r="MIW20" s="160"/>
      <c r="MIX20" s="160"/>
      <c r="MIY20" s="160"/>
      <c r="MIZ20" s="160"/>
      <c r="MJA20" s="160"/>
      <c r="MJB20" s="160"/>
      <c r="MJC20" s="160"/>
      <c r="MJD20" s="160"/>
      <c r="MJE20" s="160"/>
      <c r="MJF20" s="160"/>
      <c r="MJG20" s="160"/>
      <c r="MJH20" s="160"/>
      <c r="MJI20" s="160"/>
      <c r="MJJ20" s="160"/>
      <c r="MJK20" s="160"/>
      <c r="MJL20" s="160"/>
      <c r="MJM20" s="160"/>
      <c r="MJN20" s="160"/>
      <c r="MJO20" s="160"/>
      <c r="MJP20" s="160"/>
      <c r="MJQ20" s="160"/>
      <c r="MJR20" s="160"/>
      <c r="MJS20" s="160"/>
      <c r="MJT20" s="160"/>
      <c r="MJU20" s="160"/>
      <c r="MJV20" s="160"/>
      <c r="MJW20" s="160"/>
      <c r="MJX20" s="160"/>
      <c r="MJY20" s="160"/>
      <c r="MJZ20" s="160"/>
      <c r="MKA20" s="160"/>
      <c r="MKB20" s="160"/>
      <c r="MKC20" s="160"/>
      <c r="MKD20" s="160"/>
      <c r="MKE20" s="160"/>
      <c r="MKF20" s="160"/>
      <c r="MKG20" s="160"/>
      <c r="MKH20" s="160"/>
      <c r="MKI20" s="160"/>
      <c r="MKJ20" s="160"/>
      <c r="MKK20" s="160"/>
      <c r="MKL20" s="160"/>
      <c r="MKM20" s="160"/>
      <c r="MKN20" s="160"/>
      <c r="MKO20" s="160"/>
      <c r="MKP20" s="160"/>
      <c r="MKQ20" s="160"/>
      <c r="MKR20" s="160"/>
      <c r="MKS20" s="160"/>
      <c r="MKT20" s="160"/>
      <c r="MKU20" s="160"/>
      <c r="MKV20" s="160"/>
      <c r="MKW20" s="160"/>
      <c r="MKX20" s="160"/>
      <c r="MKY20" s="160"/>
      <c r="MKZ20" s="160"/>
      <c r="MLA20" s="160"/>
      <c r="MLB20" s="160"/>
      <c r="MLC20" s="160"/>
      <c r="MLD20" s="160"/>
      <c r="MLE20" s="160"/>
      <c r="MLF20" s="160"/>
      <c r="MLG20" s="160"/>
      <c r="MLH20" s="160"/>
      <c r="MLI20" s="160"/>
      <c r="MLJ20" s="160"/>
      <c r="MLK20" s="160"/>
      <c r="MLL20" s="160"/>
      <c r="MLM20" s="160"/>
      <c r="MLN20" s="160"/>
      <c r="MLO20" s="160"/>
      <c r="MLP20" s="160"/>
      <c r="MLQ20" s="160"/>
      <c r="MLR20" s="160"/>
      <c r="MLS20" s="160"/>
      <c r="MLT20" s="160"/>
      <c r="MLU20" s="160"/>
      <c r="MLV20" s="160"/>
      <c r="MLW20" s="160"/>
      <c r="MLX20" s="160"/>
      <c r="MLY20" s="160"/>
      <c r="MLZ20" s="160"/>
      <c r="MMA20" s="160"/>
      <c r="MMB20" s="160"/>
      <c r="MMC20" s="160"/>
      <c r="MMD20" s="160"/>
      <c r="MME20" s="160"/>
      <c r="MMF20" s="160"/>
      <c r="MMG20" s="160"/>
      <c r="MMH20" s="160"/>
      <c r="MMI20" s="160"/>
      <c r="MMJ20" s="160"/>
      <c r="MMK20" s="160"/>
      <c r="MML20" s="160"/>
      <c r="MMM20" s="160"/>
      <c r="MMN20" s="160"/>
      <c r="MMO20" s="160"/>
      <c r="MMP20" s="160"/>
      <c r="MMQ20" s="160"/>
      <c r="MMR20" s="160"/>
      <c r="MMS20" s="160"/>
      <c r="MMT20" s="160"/>
      <c r="MMU20" s="160"/>
      <c r="MMV20" s="160"/>
      <c r="MMW20" s="160"/>
      <c r="MMX20" s="160"/>
      <c r="MMY20" s="160"/>
      <c r="MMZ20" s="160"/>
      <c r="MNA20" s="160"/>
      <c r="MNB20" s="160"/>
      <c r="MNC20" s="160"/>
      <c r="MND20" s="160"/>
      <c r="MNE20" s="160"/>
      <c r="MNF20" s="160"/>
      <c r="MNG20" s="160"/>
      <c r="MNH20" s="160"/>
      <c r="MNI20" s="160"/>
      <c r="MNJ20" s="160"/>
      <c r="MNK20" s="160"/>
      <c r="MNL20" s="160"/>
      <c r="MNM20" s="160"/>
      <c r="MNN20" s="160"/>
      <c r="MNO20" s="160"/>
      <c r="MNP20" s="160"/>
      <c r="MNQ20" s="160"/>
      <c r="MNR20" s="160"/>
      <c r="MNS20" s="160"/>
      <c r="MNT20" s="160"/>
      <c r="MNU20" s="160"/>
      <c r="MNV20" s="160"/>
      <c r="MNW20" s="160"/>
      <c r="MNX20" s="160"/>
      <c r="MNY20" s="160"/>
      <c r="MNZ20" s="160"/>
      <c r="MOA20" s="160"/>
      <c r="MOB20" s="160"/>
      <c r="MOC20" s="160"/>
      <c r="MOD20" s="160"/>
      <c r="MOE20" s="160"/>
      <c r="MOF20" s="160"/>
      <c r="MOG20" s="160"/>
      <c r="MOH20" s="160"/>
      <c r="MOI20" s="160"/>
      <c r="MOJ20" s="160"/>
      <c r="MOK20" s="160"/>
      <c r="MOL20" s="160"/>
      <c r="MOM20" s="160"/>
      <c r="MON20" s="160"/>
      <c r="MOO20" s="160"/>
      <c r="MOP20" s="160"/>
      <c r="MOQ20" s="160"/>
      <c r="MOR20" s="160"/>
      <c r="MOS20" s="160"/>
      <c r="MOT20" s="160"/>
      <c r="MOU20" s="160"/>
      <c r="MOV20" s="160"/>
      <c r="MOW20" s="160"/>
      <c r="MOX20" s="160"/>
      <c r="MOY20" s="160"/>
      <c r="MOZ20" s="160"/>
      <c r="MPA20" s="160"/>
      <c r="MPB20" s="160"/>
      <c r="MPC20" s="160"/>
      <c r="MPD20" s="160"/>
      <c r="MPE20" s="160"/>
      <c r="MPF20" s="160"/>
      <c r="MPG20" s="160"/>
      <c r="MPH20" s="160"/>
      <c r="MPI20" s="160"/>
      <c r="MPJ20" s="160"/>
      <c r="MPK20" s="160"/>
      <c r="MPL20" s="160"/>
      <c r="MPM20" s="160"/>
      <c r="MPN20" s="160"/>
      <c r="MPO20" s="160"/>
      <c r="MPP20" s="160"/>
      <c r="MPQ20" s="160"/>
      <c r="MPR20" s="160"/>
      <c r="MPS20" s="160"/>
      <c r="MPT20" s="160"/>
      <c r="MPU20" s="160"/>
      <c r="MPV20" s="160"/>
      <c r="MPW20" s="160"/>
      <c r="MPX20" s="160"/>
      <c r="MPY20" s="160"/>
      <c r="MPZ20" s="160"/>
      <c r="MQA20" s="160"/>
      <c r="MQB20" s="160"/>
      <c r="MQC20" s="160"/>
      <c r="MQD20" s="160"/>
      <c r="MQE20" s="160"/>
      <c r="MQF20" s="160"/>
      <c r="MQG20" s="160"/>
      <c r="MQH20" s="160"/>
      <c r="MQI20" s="160"/>
      <c r="MQJ20" s="160"/>
      <c r="MQK20" s="160"/>
      <c r="MQL20" s="160"/>
      <c r="MQM20" s="160"/>
      <c r="MQN20" s="160"/>
      <c r="MQO20" s="160"/>
      <c r="MQP20" s="160"/>
      <c r="MQQ20" s="160"/>
      <c r="MQR20" s="160"/>
      <c r="MQS20" s="160"/>
      <c r="MQT20" s="160"/>
      <c r="MQU20" s="160"/>
      <c r="MQV20" s="160"/>
      <c r="MQW20" s="160"/>
      <c r="MQX20" s="160"/>
      <c r="MQY20" s="160"/>
      <c r="MQZ20" s="160"/>
      <c r="MRA20" s="160"/>
      <c r="MRB20" s="160"/>
      <c r="MRC20" s="160"/>
      <c r="MRD20" s="160"/>
      <c r="MRE20" s="160"/>
      <c r="MRF20" s="160"/>
      <c r="MRG20" s="160"/>
      <c r="MRH20" s="160"/>
      <c r="MRI20" s="160"/>
      <c r="MRJ20" s="160"/>
      <c r="MRK20" s="160"/>
      <c r="MRL20" s="160"/>
      <c r="MRM20" s="160"/>
      <c r="MRN20" s="160"/>
      <c r="MRO20" s="160"/>
      <c r="MRP20" s="160"/>
      <c r="MRQ20" s="160"/>
      <c r="MRR20" s="160"/>
      <c r="MRS20" s="160"/>
      <c r="MRT20" s="160"/>
      <c r="MRU20" s="160"/>
      <c r="MRV20" s="160"/>
      <c r="MRW20" s="160"/>
      <c r="MRX20" s="160"/>
      <c r="MRY20" s="160"/>
      <c r="MRZ20" s="160"/>
      <c r="MSA20" s="160"/>
      <c r="MSB20" s="160"/>
      <c r="MSC20" s="160"/>
      <c r="MSD20" s="160"/>
      <c r="MSE20" s="160"/>
      <c r="MSF20" s="160"/>
      <c r="MSG20" s="160"/>
      <c r="MSH20" s="160"/>
      <c r="MSI20" s="160"/>
      <c r="MSJ20" s="160"/>
      <c r="MSK20" s="160"/>
      <c r="MSL20" s="160"/>
      <c r="MSM20" s="160"/>
      <c r="MSN20" s="160"/>
      <c r="MSO20" s="160"/>
      <c r="MSP20" s="160"/>
      <c r="MSQ20" s="160"/>
      <c r="MSR20" s="160"/>
      <c r="MSS20" s="160"/>
      <c r="MST20" s="160"/>
      <c r="MSU20" s="160"/>
      <c r="MSV20" s="160"/>
      <c r="MSW20" s="160"/>
      <c r="MSX20" s="160"/>
      <c r="MSY20" s="160"/>
      <c r="MSZ20" s="160"/>
      <c r="MTA20" s="160"/>
      <c r="MTB20" s="160"/>
      <c r="MTC20" s="160"/>
      <c r="MTD20" s="160"/>
      <c r="MTE20" s="160"/>
      <c r="MTF20" s="160"/>
      <c r="MTG20" s="160"/>
      <c r="MTH20" s="160"/>
      <c r="MTI20" s="160"/>
      <c r="MTJ20" s="160"/>
      <c r="MTK20" s="160"/>
      <c r="MTL20" s="160"/>
      <c r="MTM20" s="160"/>
      <c r="MTN20" s="160"/>
      <c r="MTO20" s="160"/>
      <c r="MTP20" s="160"/>
      <c r="MTQ20" s="160"/>
      <c r="MTR20" s="160"/>
      <c r="MTS20" s="160"/>
      <c r="MTT20" s="160"/>
      <c r="MTU20" s="160"/>
      <c r="MTV20" s="160"/>
      <c r="MTW20" s="160"/>
      <c r="MTX20" s="160"/>
      <c r="MTY20" s="160"/>
      <c r="MTZ20" s="160"/>
      <c r="MUA20" s="160"/>
      <c r="MUB20" s="160"/>
      <c r="MUC20" s="160"/>
      <c r="MUD20" s="160"/>
      <c r="MUE20" s="160"/>
      <c r="MUF20" s="160"/>
      <c r="MUG20" s="160"/>
      <c r="MUH20" s="160"/>
      <c r="MUI20" s="160"/>
      <c r="MUJ20" s="160"/>
      <c r="MUK20" s="160"/>
      <c r="MUL20" s="160"/>
      <c r="MUM20" s="160"/>
      <c r="MUN20" s="160"/>
      <c r="MUO20" s="160"/>
      <c r="MUP20" s="160"/>
      <c r="MUQ20" s="160"/>
      <c r="MUR20" s="160"/>
      <c r="MUS20" s="160"/>
      <c r="MUT20" s="160"/>
      <c r="MUU20" s="160"/>
      <c r="MUV20" s="160"/>
      <c r="MUW20" s="160"/>
      <c r="MUX20" s="160"/>
      <c r="MUY20" s="160"/>
      <c r="MUZ20" s="160"/>
      <c r="MVA20" s="160"/>
      <c r="MVB20" s="160"/>
      <c r="MVC20" s="160"/>
      <c r="MVD20" s="160"/>
      <c r="MVE20" s="160"/>
      <c r="MVF20" s="160"/>
      <c r="MVG20" s="160"/>
      <c r="MVH20" s="160"/>
      <c r="MVI20" s="160"/>
      <c r="MVJ20" s="160"/>
      <c r="MVK20" s="160"/>
      <c r="MVL20" s="160"/>
      <c r="MVM20" s="160"/>
      <c r="MVN20" s="160"/>
      <c r="MVO20" s="160"/>
      <c r="MVP20" s="160"/>
      <c r="MVQ20" s="160"/>
      <c r="MVR20" s="160"/>
      <c r="MVS20" s="160"/>
      <c r="MVT20" s="160"/>
      <c r="MVU20" s="160"/>
      <c r="MVV20" s="160"/>
      <c r="MVW20" s="160"/>
      <c r="MVX20" s="160"/>
      <c r="MVY20" s="160"/>
      <c r="MVZ20" s="160"/>
      <c r="MWA20" s="160"/>
      <c r="MWB20" s="160"/>
      <c r="MWC20" s="160"/>
      <c r="MWD20" s="160"/>
      <c r="MWE20" s="160"/>
      <c r="MWF20" s="160"/>
      <c r="MWG20" s="160"/>
      <c r="MWH20" s="160"/>
      <c r="MWI20" s="160"/>
      <c r="MWJ20" s="160"/>
      <c r="MWK20" s="160"/>
      <c r="MWL20" s="160"/>
      <c r="MWM20" s="160"/>
      <c r="MWN20" s="160"/>
      <c r="MWO20" s="160"/>
      <c r="MWP20" s="160"/>
      <c r="MWQ20" s="160"/>
      <c r="MWR20" s="160"/>
      <c r="MWS20" s="160"/>
      <c r="MWT20" s="160"/>
      <c r="MWU20" s="160"/>
      <c r="MWV20" s="160"/>
      <c r="MWW20" s="160"/>
      <c r="MWX20" s="160"/>
      <c r="MWY20" s="160"/>
      <c r="MWZ20" s="160"/>
      <c r="MXA20" s="160"/>
      <c r="MXB20" s="160"/>
      <c r="MXC20" s="160"/>
      <c r="MXD20" s="160"/>
      <c r="MXE20" s="160"/>
      <c r="MXF20" s="160"/>
      <c r="MXG20" s="160"/>
      <c r="MXH20" s="160"/>
      <c r="MXI20" s="160"/>
      <c r="MXJ20" s="160"/>
      <c r="MXK20" s="160"/>
      <c r="MXL20" s="160"/>
      <c r="MXM20" s="160"/>
      <c r="MXN20" s="160"/>
      <c r="MXO20" s="160"/>
      <c r="MXP20" s="160"/>
      <c r="MXQ20" s="160"/>
      <c r="MXR20" s="160"/>
      <c r="MXS20" s="160"/>
      <c r="MXT20" s="160"/>
      <c r="MXU20" s="160"/>
      <c r="MXV20" s="160"/>
      <c r="MXW20" s="160"/>
      <c r="MXX20" s="160"/>
      <c r="MXY20" s="160"/>
      <c r="MXZ20" s="160"/>
      <c r="MYA20" s="160"/>
      <c r="MYB20" s="160"/>
      <c r="MYC20" s="160"/>
      <c r="MYD20" s="160"/>
      <c r="MYE20" s="160"/>
      <c r="MYF20" s="160"/>
      <c r="MYG20" s="160"/>
      <c r="MYH20" s="160"/>
      <c r="MYI20" s="160"/>
      <c r="MYJ20" s="160"/>
      <c r="MYK20" s="160"/>
      <c r="MYL20" s="160"/>
      <c r="MYM20" s="160"/>
      <c r="MYN20" s="160"/>
      <c r="MYO20" s="160"/>
      <c r="MYP20" s="160"/>
      <c r="MYQ20" s="160"/>
      <c r="MYR20" s="160"/>
      <c r="MYS20" s="160"/>
      <c r="MYT20" s="160"/>
      <c r="MYU20" s="160"/>
      <c r="MYV20" s="160"/>
      <c r="MYW20" s="160"/>
      <c r="MYX20" s="160"/>
      <c r="MYY20" s="160"/>
      <c r="MYZ20" s="160"/>
      <c r="MZA20" s="160"/>
      <c r="MZB20" s="160"/>
      <c r="MZC20" s="160"/>
      <c r="MZD20" s="160"/>
      <c r="MZE20" s="160"/>
      <c r="MZF20" s="160"/>
      <c r="MZG20" s="160"/>
      <c r="MZH20" s="160"/>
      <c r="MZI20" s="160"/>
      <c r="MZJ20" s="160"/>
      <c r="MZK20" s="160"/>
      <c r="MZL20" s="160"/>
      <c r="MZM20" s="160"/>
      <c r="MZN20" s="160"/>
      <c r="MZO20" s="160"/>
      <c r="MZP20" s="160"/>
      <c r="MZQ20" s="160"/>
      <c r="MZR20" s="160"/>
      <c r="MZS20" s="160"/>
      <c r="MZT20" s="160"/>
      <c r="MZU20" s="160"/>
      <c r="MZV20" s="160"/>
      <c r="MZW20" s="160"/>
      <c r="MZX20" s="160"/>
      <c r="MZY20" s="160"/>
      <c r="MZZ20" s="160"/>
      <c r="NAA20" s="160"/>
      <c r="NAB20" s="160"/>
      <c r="NAC20" s="160"/>
      <c r="NAD20" s="160"/>
      <c r="NAE20" s="160"/>
      <c r="NAF20" s="160"/>
      <c r="NAG20" s="160"/>
      <c r="NAH20" s="160"/>
      <c r="NAI20" s="160"/>
      <c r="NAJ20" s="160"/>
      <c r="NAK20" s="160"/>
      <c r="NAL20" s="160"/>
      <c r="NAM20" s="160"/>
      <c r="NAN20" s="160"/>
      <c r="NAO20" s="160"/>
      <c r="NAP20" s="160"/>
      <c r="NAQ20" s="160"/>
      <c r="NAR20" s="160"/>
      <c r="NAS20" s="160"/>
      <c r="NAT20" s="160"/>
      <c r="NAU20" s="160"/>
      <c r="NAV20" s="160"/>
      <c r="NAW20" s="160"/>
      <c r="NAX20" s="160"/>
      <c r="NAY20" s="160"/>
      <c r="NAZ20" s="160"/>
      <c r="NBA20" s="160"/>
      <c r="NBB20" s="160"/>
      <c r="NBC20" s="160"/>
      <c r="NBD20" s="160"/>
      <c r="NBE20" s="160"/>
      <c r="NBF20" s="160"/>
      <c r="NBG20" s="160"/>
      <c r="NBH20" s="160"/>
      <c r="NBI20" s="160"/>
      <c r="NBJ20" s="160"/>
      <c r="NBK20" s="160"/>
      <c r="NBL20" s="160"/>
      <c r="NBM20" s="160"/>
      <c r="NBN20" s="160"/>
      <c r="NBO20" s="160"/>
      <c r="NBP20" s="160"/>
      <c r="NBQ20" s="160"/>
      <c r="NBR20" s="160"/>
      <c r="NBS20" s="160"/>
      <c r="NBT20" s="160"/>
      <c r="NBU20" s="160"/>
      <c r="NBV20" s="160"/>
      <c r="NBW20" s="160"/>
      <c r="NBX20" s="160"/>
      <c r="NBY20" s="160"/>
      <c r="NBZ20" s="160"/>
      <c r="NCA20" s="160"/>
      <c r="NCB20" s="160"/>
      <c r="NCC20" s="160"/>
      <c r="NCD20" s="160"/>
      <c r="NCE20" s="160"/>
      <c r="NCF20" s="160"/>
      <c r="NCG20" s="160"/>
      <c r="NCH20" s="160"/>
      <c r="NCI20" s="160"/>
      <c r="NCJ20" s="160"/>
      <c r="NCK20" s="160"/>
      <c r="NCL20" s="160"/>
      <c r="NCM20" s="160"/>
      <c r="NCN20" s="160"/>
      <c r="NCO20" s="160"/>
      <c r="NCP20" s="160"/>
      <c r="NCQ20" s="160"/>
      <c r="NCR20" s="160"/>
      <c r="NCS20" s="160"/>
      <c r="NCT20" s="160"/>
      <c r="NCU20" s="160"/>
      <c r="NCV20" s="160"/>
      <c r="NCW20" s="160"/>
      <c r="NCX20" s="160"/>
      <c r="NCY20" s="160"/>
      <c r="NCZ20" s="160"/>
      <c r="NDA20" s="160"/>
      <c r="NDB20" s="160"/>
      <c r="NDC20" s="160"/>
      <c r="NDD20" s="160"/>
      <c r="NDE20" s="160"/>
      <c r="NDF20" s="160"/>
      <c r="NDG20" s="160"/>
      <c r="NDH20" s="160"/>
      <c r="NDI20" s="160"/>
      <c r="NDJ20" s="160"/>
      <c r="NDK20" s="160"/>
      <c r="NDL20" s="160"/>
      <c r="NDM20" s="160"/>
      <c r="NDN20" s="160"/>
      <c r="NDO20" s="160"/>
      <c r="NDP20" s="160"/>
      <c r="NDQ20" s="160"/>
      <c r="NDR20" s="160"/>
      <c r="NDS20" s="160"/>
      <c r="NDT20" s="160"/>
      <c r="NDU20" s="160"/>
      <c r="NDV20" s="160"/>
      <c r="NDW20" s="160"/>
      <c r="NDX20" s="160"/>
      <c r="NDY20" s="160"/>
      <c r="NDZ20" s="160"/>
      <c r="NEA20" s="160"/>
      <c r="NEB20" s="160"/>
      <c r="NEC20" s="160"/>
      <c r="NED20" s="160"/>
      <c r="NEE20" s="160"/>
      <c r="NEF20" s="160"/>
      <c r="NEG20" s="160"/>
      <c r="NEH20" s="160"/>
      <c r="NEI20" s="160"/>
      <c r="NEJ20" s="160"/>
      <c r="NEK20" s="160"/>
      <c r="NEL20" s="160"/>
      <c r="NEM20" s="160"/>
      <c r="NEN20" s="160"/>
      <c r="NEO20" s="160"/>
      <c r="NEP20" s="160"/>
      <c r="NEQ20" s="160"/>
      <c r="NER20" s="160"/>
      <c r="NES20" s="160"/>
      <c r="NET20" s="160"/>
      <c r="NEU20" s="160"/>
      <c r="NEV20" s="160"/>
      <c r="NEW20" s="160"/>
      <c r="NEX20" s="160"/>
      <c r="NEY20" s="160"/>
      <c r="NEZ20" s="160"/>
      <c r="NFA20" s="160"/>
      <c r="NFB20" s="160"/>
      <c r="NFC20" s="160"/>
      <c r="NFD20" s="160"/>
      <c r="NFE20" s="160"/>
      <c r="NFF20" s="160"/>
      <c r="NFG20" s="160"/>
      <c r="NFH20" s="160"/>
      <c r="NFI20" s="160"/>
      <c r="NFJ20" s="160"/>
      <c r="NFK20" s="160"/>
      <c r="NFL20" s="160"/>
      <c r="NFM20" s="160"/>
      <c r="NFN20" s="160"/>
      <c r="NFO20" s="160"/>
      <c r="NFP20" s="160"/>
      <c r="NFQ20" s="160"/>
      <c r="NFR20" s="160"/>
      <c r="NFS20" s="160"/>
      <c r="NFT20" s="160"/>
      <c r="NFU20" s="160"/>
      <c r="NFV20" s="160"/>
      <c r="NFW20" s="160"/>
      <c r="NFX20" s="160"/>
      <c r="NFY20" s="160"/>
      <c r="NFZ20" s="160"/>
      <c r="NGA20" s="160"/>
      <c r="NGB20" s="160"/>
      <c r="NGC20" s="160"/>
      <c r="NGD20" s="160"/>
      <c r="NGE20" s="160"/>
      <c r="NGF20" s="160"/>
      <c r="NGG20" s="160"/>
      <c r="NGH20" s="160"/>
      <c r="NGI20" s="160"/>
      <c r="NGJ20" s="160"/>
      <c r="NGK20" s="160"/>
      <c r="NGL20" s="160"/>
      <c r="NGM20" s="160"/>
      <c r="NGN20" s="160"/>
      <c r="NGO20" s="160"/>
      <c r="NGP20" s="160"/>
      <c r="NGQ20" s="160"/>
      <c r="NGR20" s="160"/>
      <c r="NGS20" s="160"/>
      <c r="NGT20" s="160"/>
      <c r="NGU20" s="160"/>
      <c r="NGV20" s="160"/>
      <c r="NGW20" s="160"/>
      <c r="NGX20" s="160"/>
      <c r="NGY20" s="160"/>
      <c r="NGZ20" s="160"/>
      <c r="NHA20" s="160"/>
      <c r="NHB20" s="160"/>
      <c r="NHC20" s="160"/>
      <c r="NHD20" s="160"/>
      <c r="NHE20" s="160"/>
      <c r="NHF20" s="160"/>
      <c r="NHG20" s="160"/>
      <c r="NHH20" s="160"/>
      <c r="NHI20" s="160"/>
      <c r="NHJ20" s="160"/>
      <c r="NHK20" s="160"/>
      <c r="NHL20" s="160"/>
      <c r="NHM20" s="160"/>
      <c r="NHN20" s="160"/>
      <c r="NHO20" s="160"/>
      <c r="NHP20" s="160"/>
      <c r="NHQ20" s="160"/>
      <c r="NHR20" s="160"/>
      <c r="NHS20" s="160"/>
      <c r="NHT20" s="160"/>
      <c r="NHU20" s="160"/>
      <c r="NHV20" s="160"/>
      <c r="NHW20" s="160"/>
      <c r="NHX20" s="160"/>
      <c r="NHY20" s="160"/>
      <c r="NHZ20" s="160"/>
      <c r="NIA20" s="160"/>
      <c r="NIB20" s="160"/>
      <c r="NIC20" s="160"/>
      <c r="NID20" s="160"/>
      <c r="NIE20" s="160"/>
      <c r="NIF20" s="160"/>
      <c r="NIG20" s="160"/>
      <c r="NIH20" s="160"/>
      <c r="NII20" s="160"/>
      <c r="NIJ20" s="160"/>
      <c r="NIK20" s="160"/>
      <c r="NIL20" s="160"/>
      <c r="NIM20" s="160"/>
      <c r="NIN20" s="160"/>
      <c r="NIO20" s="160"/>
      <c r="NIP20" s="160"/>
      <c r="NIQ20" s="160"/>
      <c r="NIR20" s="160"/>
      <c r="NIS20" s="160"/>
      <c r="NIT20" s="160"/>
      <c r="NIU20" s="160"/>
      <c r="NIV20" s="160"/>
      <c r="NIW20" s="160"/>
      <c r="NIX20" s="160"/>
      <c r="NIY20" s="160"/>
      <c r="NIZ20" s="160"/>
      <c r="NJA20" s="160"/>
      <c r="NJB20" s="160"/>
      <c r="NJC20" s="160"/>
      <c r="NJD20" s="160"/>
      <c r="NJE20" s="160"/>
      <c r="NJF20" s="160"/>
      <c r="NJG20" s="160"/>
      <c r="NJH20" s="160"/>
      <c r="NJI20" s="160"/>
      <c r="NJJ20" s="160"/>
      <c r="NJK20" s="160"/>
      <c r="NJL20" s="160"/>
      <c r="NJM20" s="160"/>
      <c r="NJN20" s="160"/>
      <c r="NJO20" s="160"/>
      <c r="NJP20" s="160"/>
      <c r="NJQ20" s="160"/>
      <c r="NJR20" s="160"/>
      <c r="NJS20" s="160"/>
      <c r="NJT20" s="160"/>
      <c r="NJU20" s="160"/>
      <c r="NJV20" s="160"/>
      <c r="NJW20" s="160"/>
      <c r="NJX20" s="160"/>
      <c r="NJY20" s="160"/>
      <c r="NJZ20" s="160"/>
      <c r="NKA20" s="160"/>
      <c r="NKB20" s="160"/>
      <c r="NKC20" s="160"/>
      <c r="NKD20" s="160"/>
      <c r="NKE20" s="160"/>
      <c r="NKF20" s="160"/>
      <c r="NKG20" s="160"/>
      <c r="NKH20" s="160"/>
      <c r="NKI20" s="160"/>
      <c r="NKJ20" s="160"/>
      <c r="NKK20" s="160"/>
      <c r="NKL20" s="160"/>
      <c r="NKM20" s="160"/>
      <c r="NKN20" s="160"/>
      <c r="NKO20" s="160"/>
      <c r="NKP20" s="160"/>
      <c r="NKQ20" s="160"/>
      <c r="NKR20" s="160"/>
      <c r="NKS20" s="160"/>
      <c r="NKT20" s="160"/>
      <c r="NKU20" s="160"/>
      <c r="NKV20" s="160"/>
      <c r="NKW20" s="160"/>
      <c r="NKX20" s="160"/>
      <c r="NKY20" s="160"/>
      <c r="NKZ20" s="160"/>
      <c r="NLA20" s="160"/>
      <c r="NLB20" s="160"/>
      <c r="NLC20" s="160"/>
      <c r="NLD20" s="160"/>
      <c r="NLE20" s="160"/>
      <c r="NLF20" s="160"/>
      <c r="NLG20" s="160"/>
      <c r="NLH20" s="160"/>
      <c r="NLI20" s="160"/>
      <c r="NLJ20" s="160"/>
      <c r="NLK20" s="160"/>
      <c r="NLL20" s="160"/>
      <c r="NLM20" s="160"/>
      <c r="NLN20" s="160"/>
      <c r="NLO20" s="160"/>
      <c r="NLP20" s="160"/>
      <c r="NLQ20" s="160"/>
      <c r="NLR20" s="160"/>
      <c r="NLS20" s="160"/>
      <c r="NLT20" s="160"/>
      <c r="NLU20" s="160"/>
      <c r="NLV20" s="160"/>
      <c r="NLW20" s="160"/>
      <c r="NLX20" s="160"/>
      <c r="NLY20" s="160"/>
      <c r="NLZ20" s="160"/>
      <c r="NMA20" s="160"/>
      <c r="NMB20" s="160"/>
      <c r="NMC20" s="160"/>
      <c r="NMD20" s="160"/>
      <c r="NME20" s="160"/>
      <c r="NMF20" s="160"/>
      <c r="NMG20" s="160"/>
      <c r="NMH20" s="160"/>
      <c r="NMI20" s="160"/>
      <c r="NMJ20" s="160"/>
      <c r="NMK20" s="160"/>
      <c r="NML20" s="160"/>
      <c r="NMM20" s="160"/>
      <c r="NMN20" s="160"/>
      <c r="NMO20" s="160"/>
      <c r="NMP20" s="160"/>
      <c r="NMQ20" s="160"/>
      <c r="NMR20" s="160"/>
      <c r="NMS20" s="160"/>
      <c r="NMT20" s="160"/>
      <c r="NMU20" s="160"/>
      <c r="NMV20" s="160"/>
      <c r="NMW20" s="160"/>
      <c r="NMX20" s="160"/>
      <c r="NMY20" s="160"/>
      <c r="NMZ20" s="160"/>
      <c r="NNA20" s="160"/>
      <c r="NNB20" s="160"/>
      <c r="NNC20" s="160"/>
      <c r="NND20" s="160"/>
      <c r="NNE20" s="160"/>
      <c r="NNF20" s="160"/>
      <c r="NNG20" s="160"/>
      <c r="NNH20" s="160"/>
      <c r="NNI20" s="160"/>
      <c r="NNJ20" s="160"/>
      <c r="NNK20" s="160"/>
      <c r="NNL20" s="160"/>
      <c r="NNM20" s="160"/>
      <c r="NNN20" s="160"/>
      <c r="NNO20" s="160"/>
      <c r="NNP20" s="160"/>
      <c r="NNQ20" s="160"/>
      <c r="NNR20" s="160"/>
      <c r="NNS20" s="160"/>
      <c r="NNT20" s="160"/>
      <c r="NNU20" s="160"/>
      <c r="NNV20" s="160"/>
      <c r="NNW20" s="160"/>
      <c r="NNX20" s="160"/>
      <c r="NNY20" s="160"/>
      <c r="NNZ20" s="160"/>
      <c r="NOA20" s="160"/>
      <c r="NOB20" s="160"/>
      <c r="NOC20" s="160"/>
      <c r="NOD20" s="160"/>
      <c r="NOE20" s="160"/>
      <c r="NOF20" s="160"/>
      <c r="NOG20" s="160"/>
      <c r="NOH20" s="160"/>
      <c r="NOI20" s="160"/>
      <c r="NOJ20" s="160"/>
      <c r="NOK20" s="160"/>
      <c r="NOL20" s="160"/>
      <c r="NOM20" s="160"/>
      <c r="NON20" s="160"/>
      <c r="NOO20" s="160"/>
      <c r="NOP20" s="160"/>
      <c r="NOQ20" s="160"/>
      <c r="NOR20" s="160"/>
      <c r="NOS20" s="160"/>
      <c r="NOT20" s="160"/>
      <c r="NOU20" s="160"/>
      <c r="NOV20" s="160"/>
      <c r="NOW20" s="160"/>
      <c r="NOX20" s="160"/>
      <c r="NOY20" s="160"/>
      <c r="NOZ20" s="160"/>
      <c r="NPA20" s="160"/>
      <c r="NPB20" s="160"/>
      <c r="NPC20" s="160"/>
      <c r="NPD20" s="160"/>
      <c r="NPE20" s="160"/>
      <c r="NPF20" s="160"/>
      <c r="NPG20" s="160"/>
      <c r="NPH20" s="160"/>
      <c r="NPI20" s="160"/>
      <c r="NPJ20" s="160"/>
      <c r="NPK20" s="160"/>
      <c r="NPL20" s="160"/>
      <c r="NPM20" s="160"/>
      <c r="NPN20" s="160"/>
      <c r="NPO20" s="160"/>
      <c r="NPP20" s="160"/>
      <c r="NPQ20" s="160"/>
      <c r="NPR20" s="160"/>
      <c r="NPS20" s="160"/>
      <c r="NPT20" s="160"/>
      <c r="NPU20" s="160"/>
      <c r="NPV20" s="160"/>
      <c r="NPW20" s="160"/>
      <c r="NPX20" s="160"/>
      <c r="NPY20" s="160"/>
      <c r="NPZ20" s="160"/>
      <c r="NQA20" s="160"/>
      <c r="NQB20" s="160"/>
      <c r="NQC20" s="160"/>
      <c r="NQD20" s="160"/>
      <c r="NQE20" s="160"/>
      <c r="NQF20" s="160"/>
      <c r="NQG20" s="160"/>
      <c r="NQH20" s="160"/>
      <c r="NQI20" s="160"/>
      <c r="NQJ20" s="160"/>
      <c r="NQK20" s="160"/>
      <c r="NQL20" s="160"/>
      <c r="NQM20" s="160"/>
      <c r="NQN20" s="160"/>
      <c r="NQO20" s="160"/>
      <c r="NQP20" s="160"/>
      <c r="NQQ20" s="160"/>
      <c r="NQR20" s="160"/>
      <c r="NQS20" s="160"/>
      <c r="NQT20" s="160"/>
      <c r="NQU20" s="160"/>
      <c r="NQV20" s="160"/>
      <c r="NQW20" s="160"/>
      <c r="NQX20" s="160"/>
      <c r="NQY20" s="160"/>
      <c r="NQZ20" s="160"/>
      <c r="NRA20" s="160"/>
      <c r="NRB20" s="160"/>
      <c r="NRC20" s="160"/>
      <c r="NRD20" s="160"/>
      <c r="NRE20" s="160"/>
      <c r="NRF20" s="160"/>
      <c r="NRG20" s="160"/>
      <c r="NRH20" s="160"/>
      <c r="NRI20" s="160"/>
      <c r="NRJ20" s="160"/>
      <c r="NRK20" s="160"/>
      <c r="NRL20" s="160"/>
      <c r="NRM20" s="160"/>
      <c r="NRN20" s="160"/>
      <c r="NRO20" s="160"/>
      <c r="NRP20" s="160"/>
      <c r="NRQ20" s="160"/>
      <c r="NRR20" s="160"/>
      <c r="NRS20" s="160"/>
      <c r="NRT20" s="160"/>
      <c r="NRU20" s="160"/>
      <c r="NRV20" s="160"/>
      <c r="NRW20" s="160"/>
      <c r="NRX20" s="160"/>
      <c r="NRY20" s="160"/>
      <c r="NRZ20" s="160"/>
      <c r="NSA20" s="160"/>
      <c r="NSB20" s="160"/>
      <c r="NSC20" s="160"/>
      <c r="NSD20" s="160"/>
      <c r="NSE20" s="160"/>
      <c r="NSF20" s="160"/>
      <c r="NSG20" s="160"/>
      <c r="NSH20" s="160"/>
      <c r="NSI20" s="160"/>
      <c r="NSJ20" s="160"/>
      <c r="NSK20" s="160"/>
      <c r="NSL20" s="160"/>
      <c r="NSM20" s="160"/>
      <c r="NSN20" s="160"/>
      <c r="NSO20" s="160"/>
      <c r="NSP20" s="160"/>
      <c r="NSQ20" s="160"/>
      <c r="NSR20" s="160"/>
      <c r="NSS20" s="160"/>
      <c r="NST20" s="160"/>
      <c r="NSU20" s="160"/>
      <c r="NSV20" s="160"/>
      <c r="NSW20" s="160"/>
      <c r="NSX20" s="160"/>
      <c r="NSY20" s="160"/>
      <c r="NSZ20" s="160"/>
      <c r="NTA20" s="160"/>
      <c r="NTB20" s="160"/>
      <c r="NTC20" s="160"/>
      <c r="NTD20" s="160"/>
      <c r="NTE20" s="160"/>
      <c r="NTF20" s="160"/>
      <c r="NTG20" s="160"/>
      <c r="NTH20" s="160"/>
      <c r="NTI20" s="160"/>
      <c r="NTJ20" s="160"/>
      <c r="NTK20" s="160"/>
      <c r="NTL20" s="160"/>
      <c r="NTM20" s="160"/>
      <c r="NTN20" s="160"/>
      <c r="NTO20" s="160"/>
      <c r="NTP20" s="160"/>
      <c r="NTQ20" s="160"/>
      <c r="NTR20" s="160"/>
      <c r="NTS20" s="160"/>
      <c r="NTT20" s="160"/>
      <c r="NTU20" s="160"/>
      <c r="NTV20" s="160"/>
      <c r="NTW20" s="160"/>
      <c r="NTX20" s="160"/>
      <c r="NTY20" s="160"/>
      <c r="NTZ20" s="160"/>
      <c r="NUA20" s="160"/>
      <c r="NUB20" s="160"/>
      <c r="NUC20" s="160"/>
      <c r="NUD20" s="160"/>
      <c r="NUE20" s="160"/>
      <c r="NUF20" s="160"/>
      <c r="NUG20" s="160"/>
      <c r="NUH20" s="160"/>
      <c r="NUI20" s="160"/>
      <c r="NUJ20" s="160"/>
      <c r="NUK20" s="160"/>
      <c r="NUL20" s="160"/>
      <c r="NUM20" s="160"/>
      <c r="NUN20" s="160"/>
      <c r="NUO20" s="160"/>
      <c r="NUP20" s="160"/>
      <c r="NUQ20" s="160"/>
      <c r="NUR20" s="160"/>
      <c r="NUS20" s="160"/>
      <c r="NUT20" s="160"/>
      <c r="NUU20" s="160"/>
      <c r="NUV20" s="160"/>
      <c r="NUW20" s="160"/>
      <c r="NUX20" s="160"/>
      <c r="NUY20" s="160"/>
      <c r="NUZ20" s="160"/>
      <c r="NVA20" s="160"/>
      <c r="NVB20" s="160"/>
      <c r="NVC20" s="160"/>
      <c r="NVD20" s="160"/>
      <c r="NVE20" s="160"/>
      <c r="NVF20" s="160"/>
      <c r="NVG20" s="160"/>
      <c r="NVH20" s="160"/>
      <c r="NVI20" s="160"/>
      <c r="NVJ20" s="160"/>
      <c r="NVK20" s="160"/>
      <c r="NVL20" s="160"/>
      <c r="NVM20" s="160"/>
      <c r="NVN20" s="160"/>
      <c r="NVO20" s="160"/>
      <c r="NVP20" s="160"/>
      <c r="NVQ20" s="160"/>
      <c r="NVR20" s="160"/>
      <c r="NVS20" s="160"/>
      <c r="NVT20" s="160"/>
      <c r="NVU20" s="160"/>
      <c r="NVV20" s="160"/>
      <c r="NVW20" s="160"/>
      <c r="NVX20" s="160"/>
      <c r="NVY20" s="160"/>
      <c r="NVZ20" s="160"/>
      <c r="NWA20" s="160"/>
      <c r="NWB20" s="160"/>
      <c r="NWC20" s="160"/>
      <c r="NWD20" s="160"/>
      <c r="NWE20" s="160"/>
      <c r="NWF20" s="160"/>
      <c r="NWG20" s="160"/>
      <c r="NWH20" s="160"/>
      <c r="NWI20" s="160"/>
      <c r="NWJ20" s="160"/>
      <c r="NWK20" s="160"/>
      <c r="NWL20" s="160"/>
      <c r="NWM20" s="160"/>
      <c r="NWN20" s="160"/>
      <c r="NWO20" s="160"/>
      <c r="NWP20" s="160"/>
      <c r="NWQ20" s="160"/>
      <c r="NWR20" s="160"/>
      <c r="NWS20" s="160"/>
      <c r="NWT20" s="160"/>
      <c r="NWU20" s="160"/>
      <c r="NWV20" s="160"/>
      <c r="NWW20" s="160"/>
      <c r="NWX20" s="160"/>
      <c r="NWY20" s="160"/>
      <c r="NWZ20" s="160"/>
      <c r="NXA20" s="160"/>
      <c r="NXB20" s="160"/>
      <c r="NXC20" s="160"/>
      <c r="NXD20" s="160"/>
      <c r="NXE20" s="160"/>
      <c r="NXF20" s="160"/>
      <c r="NXG20" s="160"/>
      <c r="NXH20" s="160"/>
      <c r="NXI20" s="160"/>
      <c r="NXJ20" s="160"/>
      <c r="NXK20" s="160"/>
      <c r="NXL20" s="160"/>
      <c r="NXM20" s="160"/>
      <c r="NXN20" s="160"/>
      <c r="NXO20" s="160"/>
      <c r="NXP20" s="160"/>
      <c r="NXQ20" s="160"/>
      <c r="NXR20" s="160"/>
      <c r="NXS20" s="160"/>
      <c r="NXT20" s="160"/>
      <c r="NXU20" s="160"/>
      <c r="NXV20" s="160"/>
      <c r="NXW20" s="160"/>
      <c r="NXX20" s="160"/>
      <c r="NXY20" s="160"/>
      <c r="NXZ20" s="160"/>
      <c r="NYA20" s="160"/>
      <c r="NYB20" s="160"/>
      <c r="NYC20" s="160"/>
      <c r="NYD20" s="160"/>
      <c r="NYE20" s="160"/>
      <c r="NYF20" s="160"/>
      <c r="NYG20" s="160"/>
      <c r="NYH20" s="160"/>
      <c r="NYI20" s="160"/>
      <c r="NYJ20" s="160"/>
      <c r="NYK20" s="160"/>
      <c r="NYL20" s="160"/>
      <c r="NYM20" s="160"/>
      <c r="NYN20" s="160"/>
      <c r="NYO20" s="160"/>
      <c r="NYP20" s="160"/>
      <c r="NYQ20" s="160"/>
      <c r="NYR20" s="160"/>
      <c r="NYS20" s="160"/>
      <c r="NYT20" s="160"/>
      <c r="NYU20" s="160"/>
      <c r="NYV20" s="160"/>
      <c r="NYW20" s="160"/>
      <c r="NYX20" s="160"/>
      <c r="NYY20" s="160"/>
      <c r="NYZ20" s="160"/>
      <c r="NZA20" s="160"/>
      <c r="NZB20" s="160"/>
      <c r="NZC20" s="160"/>
      <c r="NZD20" s="160"/>
      <c r="NZE20" s="160"/>
      <c r="NZF20" s="160"/>
      <c r="NZG20" s="160"/>
      <c r="NZH20" s="160"/>
      <c r="NZI20" s="160"/>
      <c r="NZJ20" s="160"/>
      <c r="NZK20" s="160"/>
      <c r="NZL20" s="160"/>
      <c r="NZM20" s="160"/>
      <c r="NZN20" s="160"/>
      <c r="NZO20" s="160"/>
      <c r="NZP20" s="160"/>
      <c r="NZQ20" s="160"/>
      <c r="NZR20" s="160"/>
      <c r="NZS20" s="160"/>
      <c r="NZT20" s="160"/>
      <c r="NZU20" s="160"/>
      <c r="NZV20" s="160"/>
      <c r="NZW20" s="160"/>
      <c r="NZX20" s="160"/>
      <c r="NZY20" s="160"/>
      <c r="NZZ20" s="160"/>
      <c r="OAA20" s="160"/>
      <c r="OAB20" s="160"/>
      <c r="OAC20" s="160"/>
      <c r="OAD20" s="160"/>
      <c r="OAE20" s="160"/>
      <c r="OAF20" s="160"/>
      <c r="OAG20" s="160"/>
      <c r="OAH20" s="160"/>
      <c r="OAI20" s="160"/>
      <c r="OAJ20" s="160"/>
      <c r="OAK20" s="160"/>
      <c r="OAL20" s="160"/>
      <c r="OAM20" s="160"/>
      <c r="OAN20" s="160"/>
      <c r="OAO20" s="160"/>
      <c r="OAP20" s="160"/>
      <c r="OAQ20" s="160"/>
      <c r="OAR20" s="160"/>
      <c r="OAS20" s="160"/>
      <c r="OAT20" s="160"/>
      <c r="OAU20" s="160"/>
      <c r="OAV20" s="160"/>
      <c r="OAW20" s="160"/>
      <c r="OAX20" s="160"/>
      <c r="OAY20" s="160"/>
      <c r="OAZ20" s="160"/>
      <c r="OBA20" s="160"/>
      <c r="OBB20" s="160"/>
      <c r="OBC20" s="160"/>
      <c r="OBD20" s="160"/>
      <c r="OBE20" s="160"/>
      <c r="OBF20" s="160"/>
      <c r="OBG20" s="160"/>
      <c r="OBH20" s="160"/>
      <c r="OBI20" s="160"/>
      <c r="OBJ20" s="160"/>
      <c r="OBK20" s="160"/>
      <c r="OBL20" s="160"/>
      <c r="OBM20" s="160"/>
      <c r="OBN20" s="160"/>
      <c r="OBO20" s="160"/>
      <c r="OBP20" s="160"/>
      <c r="OBQ20" s="160"/>
      <c r="OBR20" s="160"/>
      <c r="OBS20" s="160"/>
      <c r="OBT20" s="160"/>
      <c r="OBU20" s="160"/>
      <c r="OBV20" s="160"/>
      <c r="OBW20" s="160"/>
      <c r="OBX20" s="160"/>
      <c r="OBY20" s="160"/>
      <c r="OBZ20" s="160"/>
      <c r="OCA20" s="160"/>
      <c r="OCB20" s="160"/>
      <c r="OCC20" s="160"/>
      <c r="OCD20" s="160"/>
      <c r="OCE20" s="160"/>
      <c r="OCF20" s="160"/>
      <c r="OCG20" s="160"/>
      <c r="OCH20" s="160"/>
      <c r="OCI20" s="160"/>
      <c r="OCJ20" s="160"/>
      <c r="OCK20" s="160"/>
      <c r="OCL20" s="160"/>
      <c r="OCM20" s="160"/>
      <c r="OCN20" s="160"/>
      <c r="OCO20" s="160"/>
      <c r="OCP20" s="160"/>
      <c r="OCQ20" s="160"/>
      <c r="OCR20" s="160"/>
      <c r="OCS20" s="160"/>
      <c r="OCT20" s="160"/>
      <c r="OCU20" s="160"/>
      <c r="OCV20" s="160"/>
      <c r="OCW20" s="160"/>
      <c r="OCX20" s="160"/>
      <c r="OCY20" s="160"/>
      <c r="OCZ20" s="160"/>
      <c r="ODA20" s="160"/>
      <c r="ODB20" s="160"/>
      <c r="ODC20" s="160"/>
      <c r="ODD20" s="160"/>
      <c r="ODE20" s="160"/>
      <c r="ODF20" s="160"/>
      <c r="ODG20" s="160"/>
      <c r="ODH20" s="160"/>
      <c r="ODI20" s="160"/>
      <c r="ODJ20" s="160"/>
      <c r="ODK20" s="160"/>
      <c r="ODL20" s="160"/>
      <c r="ODM20" s="160"/>
      <c r="ODN20" s="160"/>
      <c r="ODO20" s="160"/>
      <c r="ODP20" s="160"/>
      <c r="ODQ20" s="160"/>
      <c r="ODR20" s="160"/>
      <c r="ODS20" s="160"/>
      <c r="ODT20" s="160"/>
      <c r="ODU20" s="160"/>
      <c r="ODV20" s="160"/>
      <c r="ODW20" s="160"/>
      <c r="ODX20" s="160"/>
      <c r="ODY20" s="160"/>
      <c r="ODZ20" s="160"/>
      <c r="OEA20" s="160"/>
      <c r="OEB20" s="160"/>
      <c r="OEC20" s="160"/>
      <c r="OED20" s="160"/>
      <c r="OEE20" s="160"/>
      <c r="OEF20" s="160"/>
      <c r="OEG20" s="160"/>
      <c r="OEH20" s="160"/>
      <c r="OEI20" s="160"/>
      <c r="OEJ20" s="160"/>
      <c r="OEK20" s="160"/>
      <c r="OEL20" s="160"/>
      <c r="OEM20" s="160"/>
      <c r="OEN20" s="160"/>
      <c r="OEO20" s="160"/>
      <c r="OEP20" s="160"/>
      <c r="OEQ20" s="160"/>
      <c r="OER20" s="160"/>
      <c r="OES20" s="160"/>
      <c r="OET20" s="160"/>
      <c r="OEU20" s="160"/>
      <c r="OEV20" s="160"/>
      <c r="OEW20" s="160"/>
      <c r="OEX20" s="160"/>
      <c r="OEY20" s="160"/>
      <c r="OEZ20" s="160"/>
      <c r="OFA20" s="160"/>
      <c r="OFB20" s="160"/>
      <c r="OFC20" s="160"/>
      <c r="OFD20" s="160"/>
      <c r="OFE20" s="160"/>
      <c r="OFF20" s="160"/>
      <c r="OFG20" s="160"/>
      <c r="OFH20" s="160"/>
      <c r="OFI20" s="160"/>
      <c r="OFJ20" s="160"/>
      <c r="OFK20" s="160"/>
      <c r="OFL20" s="160"/>
      <c r="OFM20" s="160"/>
      <c r="OFN20" s="160"/>
      <c r="OFO20" s="160"/>
      <c r="OFP20" s="160"/>
      <c r="OFQ20" s="160"/>
      <c r="OFR20" s="160"/>
      <c r="OFS20" s="160"/>
      <c r="OFT20" s="160"/>
      <c r="OFU20" s="160"/>
      <c r="OFV20" s="160"/>
      <c r="OFW20" s="160"/>
      <c r="OFX20" s="160"/>
      <c r="OFY20" s="160"/>
      <c r="OFZ20" s="160"/>
      <c r="OGA20" s="160"/>
      <c r="OGB20" s="160"/>
      <c r="OGC20" s="160"/>
      <c r="OGD20" s="160"/>
      <c r="OGE20" s="160"/>
      <c r="OGF20" s="160"/>
      <c r="OGG20" s="160"/>
      <c r="OGH20" s="160"/>
      <c r="OGI20" s="160"/>
      <c r="OGJ20" s="160"/>
      <c r="OGK20" s="160"/>
      <c r="OGL20" s="160"/>
      <c r="OGM20" s="160"/>
      <c r="OGN20" s="160"/>
      <c r="OGO20" s="160"/>
      <c r="OGP20" s="160"/>
      <c r="OGQ20" s="160"/>
      <c r="OGR20" s="160"/>
      <c r="OGS20" s="160"/>
      <c r="OGT20" s="160"/>
      <c r="OGU20" s="160"/>
      <c r="OGV20" s="160"/>
      <c r="OGW20" s="160"/>
      <c r="OGX20" s="160"/>
      <c r="OGY20" s="160"/>
      <c r="OGZ20" s="160"/>
      <c r="OHA20" s="160"/>
      <c r="OHB20" s="160"/>
      <c r="OHC20" s="160"/>
      <c r="OHD20" s="160"/>
      <c r="OHE20" s="160"/>
      <c r="OHF20" s="160"/>
      <c r="OHG20" s="160"/>
      <c r="OHH20" s="160"/>
      <c r="OHI20" s="160"/>
      <c r="OHJ20" s="160"/>
      <c r="OHK20" s="160"/>
      <c r="OHL20" s="160"/>
      <c r="OHM20" s="160"/>
      <c r="OHN20" s="160"/>
      <c r="OHO20" s="160"/>
      <c r="OHP20" s="160"/>
      <c r="OHQ20" s="160"/>
      <c r="OHR20" s="160"/>
      <c r="OHS20" s="160"/>
      <c r="OHT20" s="160"/>
      <c r="OHU20" s="160"/>
      <c r="OHV20" s="160"/>
      <c r="OHW20" s="160"/>
      <c r="OHX20" s="160"/>
      <c r="OHY20" s="160"/>
      <c r="OHZ20" s="160"/>
      <c r="OIA20" s="160"/>
      <c r="OIB20" s="160"/>
      <c r="OIC20" s="160"/>
      <c r="OID20" s="160"/>
      <c r="OIE20" s="160"/>
      <c r="OIF20" s="160"/>
      <c r="OIG20" s="160"/>
      <c r="OIH20" s="160"/>
      <c r="OII20" s="160"/>
      <c r="OIJ20" s="160"/>
      <c r="OIK20" s="160"/>
      <c r="OIL20" s="160"/>
      <c r="OIM20" s="160"/>
      <c r="OIN20" s="160"/>
      <c r="OIO20" s="160"/>
      <c r="OIP20" s="160"/>
      <c r="OIQ20" s="160"/>
      <c r="OIR20" s="160"/>
      <c r="OIS20" s="160"/>
      <c r="OIT20" s="160"/>
      <c r="OIU20" s="160"/>
      <c r="OIV20" s="160"/>
      <c r="OIW20" s="160"/>
      <c r="OIX20" s="160"/>
      <c r="OIY20" s="160"/>
      <c r="OIZ20" s="160"/>
      <c r="OJA20" s="160"/>
      <c r="OJB20" s="160"/>
      <c r="OJC20" s="160"/>
      <c r="OJD20" s="160"/>
      <c r="OJE20" s="160"/>
      <c r="OJF20" s="160"/>
      <c r="OJG20" s="160"/>
      <c r="OJH20" s="160"/>
      <c r="OJI20" s="160"/>
      <c r="OJJ20" s="160"/>
      <c r="OJK20" s="160"/>
      <c r="OJL20" s="160"/>
      <c r="OJM20" s="160"/>
      <c r="OJN20" s="160"/>
      <c r="OJO20" s="160"/>
      <c r="OJP20" s="160"/>
      <c r="OJQ20" s="160"/>
      <c r="OJR20" s="160"/>
      <c r="OJS20" s="160"/>
      <c r="OJT20" s="160"/>
      <c r="OJU20" s="160"/>
      <c r="OJV20" s="160"/>
      <c r="OJW20" s="160"/>
      <c r="OJX20" s="160"/>
      <c r="OJY20" s="160"/>
      <c r="OJZ20" s="160"/>
      <c r="OKA20" s="160"/>
      <c r="OKB20" s="160"/>
      <c r="OKC20" s="160"/>
      <c r="OKD20" s="160"/>
      <c r="OKE20" s="160"/>
      <c r="OKF20" s="160"/>
      <c r="OKG20" s="160"/>
      <c r="OKH20" s="160"/>
      <c r="OKI20" s="160"/>
      <c r="OKJ20" s="160"/>
      <c r="OKK20" s="160"/>
      <c r="OKL20" s="160"/>
      <c r="OKM20" s="160"/>
      <c r="OKN20" s="160"/>
      <c r="OKO20" s="160"/>
      <c r="OKP20" s="160"/>
      <c r="OKQ20" s="160"/>
      <c r="OKR20" s="160"/>
      <c r="OKS20" s="160"/>
      <c r="OKT20" s="160"/>
      <c r="OKU20" s="160"/>
      <c r="OKV20" s="160"/>
      <c r="OKW20" s="160"/>
      <c r="OKX20" s="160"/>
      <c r="OKY20" s="160"/>
      <c r="OKZ20" s="160"/>
      <c r="OLA20" s="160"/>
      <c r="OLB20" s="160"/>
      <c r="OLC20" s="160"/>
      <c r="OLD20" s="160"/>
      <c r="OLE20" s="160"/>
      <c r="OLF20" s="160"/>
      <c r="OLG20" s="160"/>
      <c r="OLH20" s="160"/>
      <c r="OLI20" s="160"/>
      <c r="OLJ20" s="160"/>
      <c r="OLK20" s="160"/>
      <c r="OLL20" s="160"/>
      <c r="OLM20" s="160"/>
      <c r="OLN20" s="160"/>
      <c r="OLO20" s="160"/>
      <c r="OLP20" s="160"/>
      <c r="OLQ20" s="160"/>
      <c r="OLR20" s="160"/>
      <c r="OLS20" s="160"/>
      <c r="OLT20" s="160"/>
      <c r="OLU20" s="160"/>
      <c r="OLV20" s="160"/>
      <c r="OLW20" s="160"/>
      <c r="OLX20" s="160"/>
      <c r="OLY20" s="160"/>
      <c r="OLZ20" s="160"/>
      <c r="OMA20" s="160"/>
      <c r="OMB20" s="160"/>
      <c r="OMC20" s="160"/>
      <c r="OMD20" s="160"/>
      <c r="OME20" s="160"/>
      <c r="OMF20" s="160"/>
      <c r="OMG20" s="160"/>
      <c r="OMH20" s="160"/>
      <c r="OMI20" s="160"/>
      <c r="OMJ20" s="160"/>
      <c r="OMK20" s="160"/>
      <c r="OML20" s="160"/>
      <c r="OMM20" s="160"/>
      <c r="OMN20" s="160"/>
      <c r="OMO20" s="160"/>
      <c r="OMP20" s="160"/>
      <c r="OMQ20" s="160"/>
      <c r="OMR20" s="160"/>
      <c r="OMS20" s="160"/>
      <c r="OMT20" s="160"/>
      <c r="OMU20" s="160"/>
      <c r="OMV20" s="160"/>
      <c r="OMW20" s="160"/>
      <c r="OMX20" s="160"/>
      <c r="OMY20" s="160"/>
      <c r="OMZ20" s="160"/>
      <c r="ONA20" s="160"/>
      <c r="ONB20" s="160"/>
      <c r="ONC20" s="160"/>
      <c r="OND20" s="160"/>
      <c r="ONE20" s="160"/>
      <c r="ONF20" s="160"/>
      <c r="ONG20" s="160"/>
      <c r="ONH20" s="160"/>
      <c r="ONI20" s="160"/>
      <c r="ONJ20" s="160"/>
      <c r="ONK20" s="160"/>
      <c r="ONL20" s="160"/>
      <c r="ONM20" s="160"/>
      <c r="ONN20" s="160"/>
      <c r="ONO20" s="160"/>
      <c r="ONP20" s="160"/>
      <c r="ONQ20" s="160"/>
      <c r="ONR20" s="160"/>
      <c r="ONS20" s="160"/>
      <c r="ONT20" s="160"/>
      <c r="ONU20" s="160"/>
      <c r="ONV20" s="160"/>
      <c r="ONW20" s="160"/>
      <c r="ONX20" s="160"/>
      <c r="ONY20" s="160"/>
      <c r="ONZ20" s="160"/>
      <c r="OOA20" s="160"/>
      <c r="OOB20" s="160"/>
      <c r="OOC20" s="160"/>
      <c r="OOD20" s="160"/>
      <c r="OOE20" s="160"/>
      <c r="OOF20" s="160"/>
      <c r="OOG20" s="160"/>
      <c r="OOH20" s="160"/>
      <c r="OOI20" s="160"/>
      <c r="OOJ20" s="160"/>
      <c r="OOK20" s="160"/>
      <c r="OOL20" s="160"/>
      <c r="OOM20" s="160"/>
      <c r="OON20" s="160"/>
      <c r="OOO20" s="160"/>
      <c r="OOP20" s="160"/>
      <c r="OOQ20" s="160"/>
      <c r="OOR20" s="160"/>
      <c r="OOS20" s="160"/>
      <c r="OOT20" s="160"/>
      <c r="OOU20" s="160"/>
      <c r="OOV20" s="160"/>
      <c r="OOW20" s="160"/>
      <c r="OOX20" s="160"/>
      <c r="OOY20" s="160"/>
      <c r="OOZ20" s="160"/>
      <c r="OPA20" s="160"/>
      <c r="OPB20" s="160"/>
      <c r="OPC20" s="160"/>
      <c r="OPD20" s="160"/>
      <c r="OPE20" s="160"/>
      <c r="OPF20" s="160"/>
      <c r="OPG20" s="160"/>
      <c r="OPH20" s="160"/>
      <c r="OPI20" s="160"/>
      <c r="OPJ20" s="160"/>
      <c r="OPK20" s="160"/>
      <c r="OPL20" s="160"/>
      <c r="OPM20" s="160"/>
      <c r="OPN20" s="160"/>
      <c r="OPO20" s="160"/>
      <c r="OPP20" s="160"/>
      <c r="OPQ20" s="160"/>
      <c r="OPR20" s="160"/>
      <c r="OPS20" s="160"/>
      <c r="OPT20" s="160"/>
      <c r="OPU20" s="160"/>
      <c r="OPV20" s="160"/>
      <c r="OPW20" s="160"/>
      <c r="OPX20" s="160"/>
      <c r="OPY20" s="160"/>
      <c r="OPZ20" s="160"/>
      <c r="OQA20" s="160"/>
      <c r="OQB20" s="160"/>
      <c r="OQC20" s="160"/>
      <c r="OQD20" s="160"/>
      <c r="OQE20" s="160"/>
      <c r="OQF20" s="160"/>
      <c r="OQG20" s="160"/>
      <c r="OQH20" s="160"/>
      <c r="OQI20" s="160"/>
      <c r="OQJ20" s="160"/>
      <c r="OQK20" s="160"/>
      <c r="OQL20" s="160"/>
      <c r="OQM20" s="160"/>
      <c r="OQN20" s="160"/>
      <c r="OQO20" s="160"/>
      <c r="OQP20" s="160"/>
      <c r="OQQ20" s="160"/>
      <c r="OQR20" s="160"/>
      <c r="OQS20" s="160"/>
      <c r="OQT20" s="160"/>
      <c r="OQU20" s="160"/>
      <c r="OQV20" s="160"/>
      <c r="OQW20" s="160"/>
      <c r="OQX20" s="160"/>
      <c r="OQY20" s="160"/>
      <c r="OQZ20" s="160"/>
      <c r="ORA20" s="160"/>
      <c r="ORB20" s="160"/>
      <c r="ORC20" s="160"/>
      <c r="ORD20" s="160"/>
      <c r="ORE20" s="160"/>
      <c r="ORF20" s="160"/>
      <c r="ORG20" s="160"/>
      <c r="ORH20" s="160"/>
      <c r="ORI20" s="160"/>
      <c r="ORJ20" s="160"/>
      <c r="ORK20" s="160"/>
      <c r="ORL20" s="160"/>
      <c r="ORM20" s="160"/>
      <c r="ORN20" s="160"/>
      <c r="ORO20" s="160"/>
      <c r="ORP20" s="160"/>
      <c r="ORQ20" s="160"/>
      <c r="ORR20" s="160"/>
      <c r="ORS20" s="160"/>
      <c r="ORT20" s="160"/>
      <c r="ORU20" s="160"/>
      <c r="ORV20" s="160"/>
      <c r="ORW20" s="160"/>
      <c r="ORX20" s="160"/>
      <c r="ORY20" s="160"/>
      <c r="ORZ20" s="160"/>
      <c r="OSA20" s="160"/>
      <c r="OSB20" s="160"/>
      <c r="OSC20" s="160"/>
      <c r="OSD20" s="160"/>
      <c r="OSE20" s="160"/>
      <c r="OSF20" s="160"/>
      <c r="OSG20" s="160"/>
      <c r="OSH20" s="160"/>
      <c r="OSI20" s="160"/>
      <c r="OSJ20" s="160"/>
      <c r="OSK20" s="160"/>
      <c r="OSL20" s="160"/>
      <c r="OSM20" s="160"/>
      <c r="OSN20" s="160"/>
      <c r="OSO20" s="160"/>
      <c r="OSP20" s="160"/>
      <c r="OSQ20" s="160"/>
      <c r="OSR20" s="160"/>
      <c r="OSS20" s="160"/>
      <c r="OST20" s="160"/>
      <c r="OSU20" s="160"/>
      <c r="OSV20" s="160"/>
      <c r="OSW20" s="160"/>
      <c r="OSX20" s="160"/>
      <c r="OSY20" s="160"/>
      <c r="OSZ20" s="160"/>
      <c r="OTA20" s="160"/>
      <c r="OTB20" s="160"/>
      <c r="OTC20" s="160"/>
      <c r="OTD20" s="160"/>
      <c r="OTE20" s="160"/>
      <c r="OTF20" s="160"/>
      <c r="OTG20" s="160"/>
      <c r="OTH20" s="160"/>
      <c r="OTI20" s="160"/>
      <c r="OTJ20" s="160"/>
      <c r="OTK20" s="160"/>
      <c r="OTL20" s="160"/>
      <c r="OTM20" s="160"/>
      <c r="OTN20" s="160"/>
      <c r="OTO20" s="160"/>
      <c r="OTP20" s="160"/>
      <c r="OTQ20" s="160"/>
      <c r="OTR20" s="160"/>
      <c r="OTS20" s="160"/>
      <c r="OTT20" s="160"/>
      <c r="OTU20" s="160"/>
      <c r="OTV20" s="160"/>
      <c r="OTW20" s="160"/>
      <c r="OTX20" s="160"/>
      <c r="OTY20" s="160"/>
      <c r="OTZ20" s="160"/>
      <c r="OUA20" s="160"/>
      <c r="OUB20" s="160"/>
      <c r="OUC20" s="160"/>
      <c r="OUD20" s="160"/>
      <c r="OUE20" s="160"/>
      <c r="OUF20" s="160"/>
      <c r="OUG20" s="160"/>
      <c r="OUH20" s="160"/>
      <c r="OUI20" s="160"/>
      <c r="OUJ20" s="160"/>
      <c r="OUK20" s="160"/>
      <c r="OUL20" s="160"/>
      <c r="OUM20" s="160"/>
      <c r="OUN20" s="160"/>
      <c r="OUO20" s="160"/>
      <c r="OUP20" s="160"/>
      <c r="OUQ20" s="160"/>
      <c r="OUR20" s="160"/>
      <c r="OUS20" s="160"/>
      <c r="OUT20" s="160"/>
      <c r="OUU20" s="160"/>
      <c r="OUV20" s="160"/>
      <c r="OUW20" s="160"/>
      <c r="OUX20" s="160"/>
      <c r="OUY20" s="160"/>
      <c r="OUZ20" s="160"/>
      <c r="OVA20" s="160"/>
      <c r="OVB20" s="160"/>
      <c r="OVC20" s="160"/>
      <c r="OVD20" s="160"/>
      <c r="OVE20" s="160"/>
      <c r="OVF20" s="160"/>
      <c r="OVG20" s="160"/>
      <c r="OVH20" s="160"/>
      <c r="OVI20" s="160"/>
      <c r="OVJ20" s="160"/>
      <c r="OVK20" s="160"/>
      <c r="OVL20" s="160"/>
      <c r="OVM20" s="160"/>
      <c r="OVN20" s="160"/>
      <c r="OVO20" s="160"/>
      <c r="OVP20" s="160"/>
      <c r="OVQ20" s="160"/>
      <c r="OVR20" s="160"/>
      <c r="OVS20" s="160"/>
      <c r="OVT20" s="160"/>
      <c r="OVU20" s="160"/>
      <c r="OVV20" s="160"/>
      <c r="OVW20" s="160"/>
      <c r="OVX20" s="160"/>
      <c r="OVY20" s="160"/>
      <c r="OVZ20" s="160"/>
      <c r="OWA20" s="160"/>
      <c r="OWB20" s="160"/>
      <c r="OWC20" s="160"/>
      <c r="OWD20" s="160"/>
      <c r="OWE20" s="160"/>
      <c r="OWF20" s="160"/>
      <c r="OWG20" s="160"/>
      <c r="OWH20" s="160"/>
      <c r="OWI20" s="160"/>
      <c r="OWJ20" s="160"/>
      <c r="OWK20" s="160"/>
      <c r="OWL20" s="160"/>
      <c r="OWM20" s="160"/>
      <c r="OWN20" s="160"/>
      <c r="OWO20" s="160"/>
      <c r="OWP20" s="160"/>
      <c r="OWQ20" s="160"/>
      <c r="OWR20" s="160"/>
      <c r="OWS20" s="160"/>
      <c r="OWT20" s="160"/>
      <c r="OWU20" s="160"/>
      <c r="OWV20" s="160"/>
      <c r="OWW20" s="160"/>
      <c r="OWX20" s="160"/>
      <c r="OWY20" s="160"/>
      <c r="OWZ20" s="160"/>
      <c r="OXA20" s="160"/>
      <c r="OXB20" s="160"/>
      <c r="OXC20" s="160"/>
      <c r="OXD20" s="160"/>
      <c r="OXE20" s="160"/>
      <c r="OXF20" s="160"/>
      <c r="OXG20" s="160"/>
      <c r="OXH20" s="160"/>
      <c r="OXI20" s="160"/>
      <c r="OXJ20" s="160"/>
      <c r="OXK20" s="160"/>
      <c r="OXL20" s="160"/>
      <c r="OXM20" s="160"/>
      <c r="OXN20" s="160"/>
      <c r="OXO20" s="160"/>
      <c r="OXP20" s="160"/>
      <c r="OXQ20" s="160"/>
      <c r="OXR20" s="160"/>
      <c r="OXS20" s="160"/>
      <c r="OXT20" s="160"/>
      <c r="OXU20" s="160"/>
      <c r="OXV20" s="160"/>
      <c r="OXW20" s="160"/>
      <c r="OXX20" s="160"/>
      <c r="OXY20" s="160"/>
      <c r="OXZ20" s="160"/>
      <c r="OYA20" s="160"/>
      <c r="OYB20" s="160"/>
      <c r="OYC20" s="160"/>
      <c r="OYD20" s="160"/>
      <c r="OYE20" s="160"/>
      <c r="OYF20" s="160"/>
      <c r="OYG20" s="160"/>
      <c r="OYH20" s="160"/>
      <c r="OYI20" s="160"/>
      <c r="OYJ20" s="160"/>
      <c r="OYK20" s="160"/>
      <c r="OYL20" s="160"/>
      <c r="OYM20" s="160"/>
      <c r="OYN20" s="160"/>
      <c r="OYO20" s="160"/>
      <c r="OYP20" s="160"/>
      <c r="OYQ20" s="160"/>
      <c r="OYR20" s="160"/>
      <c r="OYS20" s="160"/>
      <c r="OYT20" s="160"/>
      <c r="OYU20" s="160"/>
      <c r="OYV20" s="160"/>
      <c r="OYW20" s="160"/>
      <c r="OYX20" s="160"/>
      <c r="OYY20" s="160"/>
      <c r="OYZ20" s="160"/>
      <c r="OZA20" s="160"/>
      <c r="OZB20" s="160"/>
      <c r="OZC20" s="160"/>
      <c r="OZD20" s="160"/>
      <c r="OZE20" s="160"/>
      <c r="OZF20" s="160"/>
      <c r="OZG20" s="160"/>
      <c r="OZH20" s="160"/>
      <c r="OZI20" s="160"/>
      <c r="OZJ20" s="160"/>
      <c r="OZK20" s="160"/>
      <c r="OZL20" s="160"/>
      <c r="OZM20" s="160"/>
      <c r="OZN20" s="160"/>
      <c r="OZO20" s="160"/>
      <c r="OZP20" s="160"/>
      <c r="OZQ20" s="160"/>
      <c r="OZR20" s="160"/>
      <c r="OZS20" s="160"/>
      <c r="OZT20" s="160"/>
      <c r="OZU20" s="160"/>
      <c r="OZV20" s="160"/>
      <c r="OZW20" s="160"/>
      <c r="OZX20" s="160"/>
      <c r="OZY20" s="160"/>
      <c r="OZZ20" s="160"/>
      <c r="PAA20" s="160"/>
      <c r="PAB20" s="160"/>
      <c r="PAC20" s="160"/>
      <c r="PAD20" s="160"/>
      <c r="PAE20" s="160"/>
      <c r="PAF20" s="160"/>
      <c r="PAG20" s="160"/>
      <c r="PAH20" s="160"/>
      <c r="PAI20" s="160"/>
      <c r="PAJ20" s="160"/>
      <c r="PAK20" s="160"/>
      <c r="PAL20" s="160"/>
      <c r="PAM20" s="160"/>
      <c r="PAN20" s="160"/>
      <c r="PAO20" s="160"/>
      <c r="PAP20" s="160"/>
      <c r="PAQ20" s="160"/>
      <c r="PAR20" s="160"/>
      <c r="PAS20" s="160"/>
      <c r="PAT20" s="160"/>
      <c r="PAU20" s="160"/>
      <c r="PAV20" s="160"/>
      <c r="PAW20" s="160"/>
      <c r="PAX20" s="160"/>
      <c r="PAY20" s="160"/>
      <c r="PAZ20" s="160"/>
      <c r="PBA20" s="160"/>
      <c r="PBB20" s="160"/>
      <c r="PBC20" s="160"/>
      <c r="PBD20" s="160"/>
      <c r="PBE20" s="160"/>
      <c r="PBF20" s="160"/>
      <c r="PBG20" s="160"/>
      <c r="PBH20" s="160"/>
      <c r="PBI20" s="160"/>
      <c r="PBJ20" s="160"/>
      <c r="PBK20" s="160"/>
      <c r="PBL20" s="160"/>
      <c r="PBM20" s="160"/>
      <c r="PBN20" s="160"/>
      <c r="PBO20" s="160"/>
      <c r="PBP20" s="160"/>
      <c r="PBQ20" s="160"/>
      <c r="PBR20" s="160"/>
      <c r="PBS20" s="160"/>
      <c r="PBT20" s="160"/>
      <c r="PBU20" s="160"/>
      <c r="PBV20" s="160"/>
      <c r="PBW20" s="160"/>
      <c r="PBX20" s="160"/>
      <c r="PBY20" s="160"/>
      <c r="PBZ20" s="160"/>
      <c r="PCA20" s="160"/>
      <c r="PCB20" s="160"/>
      <c r="PCC20" s="160"/>
      <c r="PCD20" s="160"/>
      <c r="PCE20" s="160"/>
      <c r="PCF20" s="160"/>
      <c r="PCG20" s="160"/>
      <c r="PCH20" s="160"/>
      <c r="PCI20" s="160"/>
      <c r="PCJ20" s="160"/>
      <c r="PCK20" s="160"/>
      <c r="PCL20" s="160"/>
      <c r="PCM20" s="160"/>
      <c r="PCN20" s="160"/>
      <c r="PCO20" s="160"/>
      <c r="PCP20" s="160"/>
      <c r="PCQ20" s="160"/>
      <c r="PCR20" s="160"/>
      <c r="PCS20" s="160"/>
      <c r="PCT20" s="160"/>
      <c r="PCU20" s="160"/>
      <c r="PCV20" s="160"/>
      <c r="PCW20" s="160"/>
      <c r="PCX20" s="160"/>
      <c r="PCY20" s="160"/>
      <c r="PCZ20" s="160"/>
      <c r="PDA20" s="160"/>
      <c r="PDB20" s="160"/>
      <c r="PDC20" s="160"/>
      <c r="PDD20" s="160"/>
      <c r="PDE20" s="160"/>
      <c r="PDF20" s="160"/>
      <c r="PDG20" s="160"/>
      <c r="PDH20" s="160"/>
      <c r="PDI20" s="160"/>
      <c r="PDJ20" s="160"/>
      <c r="PDK20" s="160"/>
      <c r="PDL20" s="160"/>
      <c r="PDM20" s="160"/>
      <c r="PDN20" s="160"/>
      <c r="PDO20" s="160"/>
      <c r="PDP20" s="160"/>
      <c r="PDQ20" s="160"/>
      <c r="PDR20" s="160"/>
      <c r="PDS20" s="160"/>
      <c r="PDT20" s="160"/>
      <c r="PDU20" s="160"/>
      <c r="PDV20" s="160"/>
      <c r="PDW20" s="160"/>
      <c r="PDX20" s="160"/>
      <c r="PDY20" s="160"/>
      <c r="PDZ20" s="160"/>
      <c r="PEA20" s="160"/>
      <c r="PEB20" s="160"/>
      <c r="PEC20" s="160"/>
      <c r="PED20" s="160"/>
      <c r="PEE20" s="160"/>
      <c r="PEF20" s="160"/>
      <c r="PEG20" s="160"/>
      <c r="PEH20" s="160"/>
      <c r="PEI20" s="160"/>
      <c r="PEJ20" s="160"/>
      <c r="PEK20" s="160"/>
      <c r="PEL20" s="160"/>
      <c r="PEM20" s="160"/>
      <c r="PEN20" s="160"/>
      <c r="PEO20" s="160"/>
      <c r="PEP20" s="160"/>
      <c r="PEQ20" s="160"/>
      <c r="PER20" s="160"/>
      <c r="PES20" s="160"/>
      <c r="PET20" s="160"/>
      <c r="PEU20" s="160"/>
      <c r="PEV20" s="160"/>
      <c r="PEW20" s="160"/>
      <c r="PEX20" s="160"/>
      <c r="PEY20" s="160"/>
      <c r="PEZ20" s="160"/>
      <c r="PFA20" s="160"/>
      <c r="PFB20" s="160"/>
      <c r="PFC20" s="160"/>
      <c r="PFD20" s="160"/>
      <c r="PFE20" s="160"/>
      <c r="PFF20" s="160"/>
      <c r="PFG20" s="160"/>
      <c r="PFH20" s="160"/>
      <c r="PFI20" s="160"/>
      <c r="PFJ20" s="160"/>
      <c r="PFK20" s="160"/>
      <c r="PFL20" s="160"/>
      <c r="PFM20" s="160"/>
      <c r="PFN20" s="160"/>
      <c r="PFO20" s="160"/>
      <c r="PFP20" s="160"/>
      <c r="PFQ20" s="160"/>
      <c r="PFR20" s="160"/>
      <c r="PFS20" s="160"/>
      <c r="PFT20" s="160"/>
      <c r="PFU20" s="160"/>
      <c r="PFV20" s="160"/>
      <c r="PFW20" s="160"/>
      <c r="PFX20" s="160"/>
      <c r="PFY20" s="160"/>
      <c r="PFZ20" s="160"/>
      <c r="PGA20" s="160"/>
      <c r="PGB20" s="160"/>
      <c r="PGC20" s="160"/>
      <c r="PGD20" s="160"/>
      <c r="PGE20" s="160"/>
      <c r="PGF20" s="160"/>
      <c r="PGG20" s="160"/>
      <c r="PGH20" s="160"/>
      <c r="PGI20" s="160"/>
      <c r="PGJ20" s="160"/>
      <c r="PGK20" s="160"/>
      <c r="PGL20" s="160"/>
      <c r="PGM20" s="160"/>
      <c r="PGN20" s="160"/>
      <c r="PGO20" s="160"/>
      <c r="PGP20" s="160"/>
      <c r="PGQ20" s="160"/>
      <c r="PGR20" s="160"/>
      <c r="PGS20" s="160"/>
      <c r="PGT20" s="160"/>
      <c r="PGU20" s="160"/>
      <c r="PGV20" s="160"/>
      <c r="PGW20" s="160"/>
      <c r="PGX20" s="160"/>
      <c r="PGY20" s="160"/>
      <c r="PGZ20" s="160"/>
      <c r="PHA20" s="160"/>
      <c r="PHB20" s="160"/>
      <c r="PHC20" s="160"/>
      <c r="PHD20" s="160"/>
      <c r="PHE20" s="160"/>
      <c r="PHF20" s="160"/>
      <c r="PHG20" s="160"/>
      <c r="PHH20" s="160"/>
      <c r="PHI20" s="160"/>
      <c r="PHJ20" s="160"/>
      <c r="PHK20" s="160"/>
      <c r="PHL20" s="160"/>
      <c r="PHM20" s="160"/>
      <c r="PHN20" s="160"/>
      <c r="PHO20" s="160"/>
      <c r="PHP20" s="160"/>
      <c r="PHQ20" s="160"/>
      <c r="PHR20" s="160"/>
      <c r="PHS20" s="160"/>
      <c r="PHT20" s="160"/>
      <c r="PHU20" s="160"/>
      <c r="PHV20" s="160"/>
      <c r="PHW20" s="160"/>
      <c r="PHX20" s="160"/>
      <c r="PHY20" s="160"/>
      <c r="PHZ20" s="160"/>
      <c r="PIA20" s="160"/>
      <c r="PIB20" s="160"/>
      <c r="PIC20" s="160"/>
      <c r="PID20" s="160"/>
      <c r="PIE20" s="160"/>
      <c r="PIF20" s="160"/>
      <c r="PIG20" s="160"/>
      <c r="PIH20" s="160"/>
      <c r="PII20" s="160"/>
      <c r="PIJ20" s="160"/>
      <c r="PIK20" s="160"/>
      <c r="PIL20" s="160"/>
      <c r="PIM20" s="160"/>
      <c r="PIN20" s="160"/>
      <c r="PIO20" s="160"/>
      <c r="PIP20" s="160"/>
      <c r="PIQ20" s="160"/>
      <c r="PIR20" s="160"/>
      <c r="PIS20" s="160"/>
      <c r="PIT20" s="160"/>
      <c r="PIU20" s="160"/>
      <c r="PIV20" s="160"/>
      <c r="PIW20" s="160"/>
      <c r="PIX20" s="160"/>
      <c r="PIY20" s="160"/>
      <c r="PIZ20" s="160"/>
      <c r="PJA20" s="160"/>
      <c r="PJB20" s="160"/>
      <c r="PJC20" s="160"/>
      <c r="PJD20" s="160"/>
      <c r="PJE20" s="160"/>
      <c r="PJF20" s="160"/>
      <c r="PJG20" s="160"/>
      <c r="PJH20" s="160"/>
      <c r="PJI20" s="160"/>
      <c r="PJJ20" s="160"/>
      <c r="PJK20" s="160"/>
      <c r="PJL20" s="160"/>
      <c r="PJM20" s="160"/>
      <c r="PJN20" s="160"/>
      <c r="PJO20" s="160"/>
      <c r="PJP20" s="160"/>
      <c r="PJQ20" s="160"/>
      <c r="PJR20" s="160"/>
      <c r="PJS20" s="160"/>
      <c r="PJT20" s="160"/>
      <c r="PJU20" s="160"/>
      <c r="PJV20" s="160"/>
      <c r="PJW20" s="160"/>
      <c r="PJX20" s="160"/>
      <c r="PJY20" s="160"/>
      <c r="PJZ20" s="160"/>
      <c r="PKA20" s="160"/>
      <c r="PKB20" s="160"/>
      <c r="PKC20" s="160"/>
      <c r="PKD20" s="160"/>
      <c r="PKE20" s="160"/>
      <c r="PKF20" s="160"/>
      <c r="PKG20" s="160"/>
      <c r="PKH20" s="160"/>
      <c r="PKI20" s="160"/>
      <c r="PKJ20" s="160"/>
      <c r="PKK20" s="160"/>
      <c r="PKL20" s="160"/>
      <c r="PKM20" s="160"/>
      <c r="PKN20" s="160"/>
      <c r="PKO20" s="160"/>
      <c r="PKP20" s="160"/>
      <c r="PKQ20" s="160"/>
      <c r="PKR20" s="160"/>
      <c r="PKS20" s="160"/>
      <c r="PKT20" s="160"/>
      <c r="PKU20" s="160"/>
      <c r="PKV20" s="160"/>
      <c r="PKW20" s="160"/>
      <c r="PKX20" s="160"/>
      <c r="PKY20" s="160"/>
      <c r="PKZ20" s="160"/>
      <c r="PLA20" s="160"/>
      <c r="PLB20" s="160"/>
      <c r="PLC20" s="160"/>
      <c r="PLD20" s="160"/>
      <c r="PLE20" s="160"/>
      <c r="PLF20" s="160"/>
      <c r="PLG20" s="160"/>
      <c r="PLH20" s="160"/>
      <c r="PLI20" s="160"/>
      <c r="PLJ20" s="160"/>
      <c r="PLK20" s="160"/>
      <c r="PLL20" s="160"/>
      <c r="PLM20" s="160"/>
      <c r="PLN20" s="160"/>
      <c r="PLO20" s="160"/>
      <c r="PLP20" s="160"/>
      <c r="PLQ20" s="160"/>
      <c r="PLR20" s="160"/>
      <c r="PLS20" s="160"/>
      <c r="PLT20" s="160"/>
      <c r="PLU20" s="160"/>
      <c r="PLV20" s="160"/>
      <c r="PLW20" s="160"/>
      <c r="PLX20" s="160"/>
      <c r="PLY20" s="160"/>
      <c r="PLZ20" s="160"/>
      <c r="PMA20" s="160"/>
      <c r="PMB20" s="160"/>
      <c r="PMC20" s="160"/>
      <c r="PMD20" s="160"/>
      <c r="PME20" s="160"/>
      <c r="PMF20" s="160"/>
      <c r="PMG20" s="160"/>
      <c r="PMH20" s="160"/>
      <c r="PMI20" s="160"/>
      <c r="PMJ20" s="160"/>
      <c r="PMK20" s="160"/>
      <c r="PML20" s="160"/>
      <c r="PMM20" s="160"/>
      <c r="PMN20" s="160"/>
      <c r="PMO20" s="160"/>
      <c r="PMP20" s="160"/>
      <c r="PMQ20" s="160"/>
      <c r="PMR20" s="160"/>
      <c r="PMS20" s="160"/>
      <c r="PMT20" s="160"/>
      <c r="PMU20" s="160"/>
      <c r="PMV20" s="160"/>
      <c r="PMW20" s="160"/>
      <c r="PMX20" s="160"/>
      <c r="PMY20" s="160"/>
      <c r="PMZ20" s="160"/>
      <c r="PNA20" s="160"/>
      <c r="PNB20" s="160"/>
      <c r="PNC20" s="160"/>
      <c r="PND20" s="160"/>
      <c r="PNE20" s="160"/>
      <c r="PNF20" s="160"/>
      <c r="PNG20" s="160"/>
      <c r="PNH20" s="160"/>
      <c r="PNI20" s="160"/>
      <c r="PNJ20" s="160"/>
      <c r="PNK20" s="160"/>
      <c r="PNL20" s="160"/>
      <c r="PNM20" s="160"/>
      <c r="PNN20" s="160"/>
      <c r="PNO20" s="160"/>
      <c r="PNP20" s="160"/>
      <c r="PNQ20" s="160"/>
      <c r="PNR20" s="160"/>
      <c r="PNS20" s="160"/>
      <c r="PNT20" s="160"/>
      <c r="PNU20" s="160"/>
      <c r="PNV20" s="160"/>
      <c r="PNW20" s="160"/>
      <c r="PNX20" s="160"/>
      <c r="PNY20" s="160"/>
      <c r="PNZ20" s="160"/>
      <c r="POA20" s="160"/>
      <c r="POB20" s="160"/>
      <c r="POC20" s="160"/>
      <c r="POD20" s="160"/>
      <c r="POE20" s="160"/>
      <c r="POF20" s="160"/>
      <c r="POG20" s="160"/>
      <c r="POH20" s="160"/>
      <c r="POI20" s="160"/>
      <c r="POJ20" s="160"/>
      <c r="POK20" s="160"/>
      <c r="POL20" s="160"/>
      <c r="POM20" s="160"/>
      <c r="PON20" s="160"/>
      <c r="POO20" s="160"/>
      <c r="POP20" s="160"/>
      <c r="POQ20" s="160"/>
      <c r="POR20" s="160"/>
      <c r="POS20" s="160"/>
      <c r="POT20" s="160"/>
      <c r="POU20" s="160"/>
      <c r="POV20" s="160"/>
      <c r="POW20" s="160"/>
      <c r="POX20" s="160"/>
      <c r="POY20" s="160"/>
      <c r="POZ20" s="160"/>
      <c r="PPA20" s="160"/>
      <c r="PPB20" s="160"/>
      <c r="PPC20" s="160"/>
      <c r="PPD20" s="160"/>
      <c r="PPE20" s="160"/>
      <c r="PPF20" s="160"/>
      <c r="PPG20" s="160"/>
      <c r="PPH20" s="160"/>
      <c r="PPI20" s="160"/>
      <c r="PPJ20" s="160"/>
      <c r="PPK20" s="160"/>
      <c r="PPL20" s="160"/>
      <c r="PPM20" s="160"/>
      <c r="PPN20" s="160"/>
      <c r="PPO20" s="160"/>
      <c r="PPP20" s="160"/>
      <c r="PPQ20" s="160"/>
      <c r="PPR20" s="160"/>
      <c r="PPS20" s="160"/>
      <c r="PPT20" s="160"/>
      <c r="PPU20" s="160"/>
      <c r="PPV20" s="160"/>
      <c r="PPW20" s="160"/>
      <c r="PPX20" s="160"/>
      <c r="PPY20" s="160"/>
      <c r="PPZ20" s="160"/>
      <c r="PQA20" s="160"/>
      <c r="PQB20" s="160"/>
      <c r="PQC20" s="160"/>
      <c r="PQD20" s="160"/>
      <c r="PQE20" s="160"/>
      <c r="PQF20" s="160"/>
      <c r="PQG20" s="160"/>
      <c r="PQH20" s="160"/>
      <c r="PQI20" s="160"/>
      <c r="PQJ20" s="160"/>
      <c r="PQK20" s="160"/>
      <c r="PQL20" s="160"/>
      <c r="PQM20" s="160"/>
      <c r="PQN20" s="160"/>
      <c r="PQO20" s="160"/>
      <c r="PQP20" s="160"/>
      <c r="PQQ20" s="160"/>
      <c r="PQR20" s="160"/>
      <c r="PQS20" s="160"/>
      <c r="PQT20" s="160"/>
      <c r="PQU20" s="160"/>
      <c r="PQV20" s="160"/>
      <c r="PQW20" s="160"/>
      <c r="PQX20" s="160"/>
      <c r="PQY20" s="160"/>
      <c r="PQZ20" s="160"/>
      <c r="PRA20" s="160"/>
      <c r="PRB20" s="160"/>
      <c r="PRC20" s="160"/>
      <c r="PRD20" s="160"/>
      <c r="PRE20" s="160"/>
      <c r="PRF20" s="160"/>
      <c r="PRG20" s="160"/>
      <c r="PRH20" s="160"/>
      <c r="PRI20" s="160"/>
      <c r="PRJ20" s="160"/>
      <c r="PRK20" s="160"/>
      <c r="PRL20" s="160"/>
      <c r="PRM20" s="160"/>
      <c r="PRN20" s="160"/>
      <c r="PRO20" s="160"/>
      <c r="PRP20" s="160"/>
      <c r="PRQ20" s="160"/>
      <c r="PRR20" s="160"/>
      <c r="PRS20" s="160"/>
      <c r="PRT20" s="160"/>
      <c r="PRU20" s="160"/>
      <c r="PRV20" s="160"/>
      <c r="PRW20" s="160"/>
      <c r="PRX20" s="160"/>
      <c r="PRY20" s="160"/>
      <c r="PRZ20" s="160"/>
      <c r="PSA20" s="160"/>
      <c r="PSB20" s="160"/>
      <c r="PSC20" s="160"/>
      <c r="PSD20" s="160"/>
      <c r="PSE20" s="160"/>
      <c r="PSF20" s="160"/>
      <c r="PSG20" s="160"/>
      <c r="PSH20" s="160"/>
      <c r="PSI20" s="160"/>
      <c r="PSJ20" s="160"/>
      <c r="PSK20" s="160"/>
      <c r="PSL20" s="160"/>
      <c r="PSM20" s="160"/>
      <c r="PSN20" s="160"/>
      <c r="PSO20" s="160"/>
      <c r="PSP20" s="160"/>
      <c r="PSQ20" s="160"/>
      <c r="PSR20" s="160"/>
      <c r="PSS20" s="160"/>
      <c r="PST20" s="160"/>
      <c r="PSU20" s="160"/>
      <c r="PSV20" s="160"/>
      <c r="PSW20" s="160"/>
      <c r="PSX20" s="160"/>
      <c r="PSY20" s="160"/>
      <c r="PSZ20" s="160"/>
      <c r="PTA20" s="160"/>
      <c r="PTB20" s="160"/>
      <c r="PTC20" s="160"/>
      <c r="PTD20" s="160"/>
      <c r="PTE20" s="160"/>
      <c r="PTF20" s="160"/>
      <c r="PTG20" s="160"/>
      <c r="PTH20" s="160"/>
      <c r="PTI20" s="160"/>
      <c r="PTJ20" s="160"/>
      <c r="PTK20" s="160"/>
      <c r="PTL20" s="160"/>
      <c r="PTM20" s="160"/>
      <c r="PTN20" s="160"/>
      <c r="PTO20" s="160"/>
      <c r="PTP20" s="160"/>
      <c r="PTQ20" s="160"/>
      <c r="PTR20" s="160"/>
      <c r="PTS20" s="160"/>
      <c r="PTT20" s="160"/>
      <c r="PTU20" s="160"/>
      <c r="PTV20" s="160"/>
      <c r="PTW20" s="160"/>
      <c r="PTX20" s="160"/>
      <c r="PTY20" s="160"/>
      <c r="PTZ20" s="160"/>
      <c r="PUA20" s="160"/>
      <c r="PUB20" s="160"/>
      <c r="PUC20" s="160"/>
      <c r="PUD20" s="160"/>
      <c r="PUE20" s="160"/>
      <c r="PUF20" s="160"/>
      <c r="PUG20" s="160"/>
      <c r="PUH20" s="160"/>
      <c r="PUI20" s="160"/>
      <c r="PUJ20" s="160"/>
      <c r="PUK20" s="160"/>
      <c r="PUL20" s="160"/>
      <c r="PUM20" s="160"/>
      <c r="PUN20" s="160"/>
      <c r="PUO20" s="160"/>
      <c r="PUP20" s="160"/>
      <c r="PUQ20" s="160"/>
      <c r="PUR20" s="160"/>
      <c r="PUS20" s="160"/>
      <c r="PUT20" s="160"/>
      <c r="PUU20" s="160"/>
      <c r="PUV20" s="160"/>
      <c r="PUW20" s="160"/>
      <c r="PUX20" s="160"/>
      <c r="PUY20" s="160"/>
      <c r="PUZ20" s="160"/>
      <c r="PVA20" s="160"/>
      <c r="PVB20" s="160"/>
      <c r="PVC20" s="160"/>
      <c r="PVD20" s="160"/>
      <c r="PVE20" s="160"/>
      <c r="PVF20" s="160"/>
      <c r="PVG20" s="160"/>
      <c r="PVH20" s="160"/>
      <c r="PVI20" s="160"/>
      <c r="PVJ20" s="160"/>
      <c r="PVK20" s="160"/>
      <c r="PVL20" s="160"/>
      <c r="PVM20" s="160"/>
      <c r="PVN20" s="160"/>
      <c r="PVO20" s="160"/>
      <c r="PVP20" s="160"/>
      <c r="PVQ20" s="160"/>
      <c r="PVR20" s="160"/>
      <c r="PVS20" s="160"/>
      <c r="PVT20" s="160"/>
      <c r="PVU20" s="160"/>
      <c r="PVV20" s="160"/>
      <c r="PVW20" s="160"/>
      <c r="PVX20" s="160"/>
      <c r="PVY20" s="160"/>
      <c r="PVZ20" s="160"/>
      <c r="PWA20" s="160"/>
      <c r="PWB20" s="160"/>
      <c r="PWC20" s="160"/>
      <c r="PWD20" s="160"/>
      <c r="PWE20" s="160"/>
      <c r="PWF20" s="160"/>
      <c r="PWG20" s="160"/>
      <c r="PWH20" s="160"/>
      <c r="PWI20" s="160"/>
      <c r="PWJ20" s="160"/>
      <c r="PWK20" s="160"/>
      <c r="PWL20" s="160"/>
      <c r="PWM20" s="160"/>
      <c r="PWN20" s="160"/>
      <c r="PWO20" s="160"/>
      <c r="PWP20" s="160"/>
      <c r="PWQ20" s="160"/>
      <c r="PWR20" s="160"/>
      <c r="PWS20" s="160"/>
      <c r="PWT20" s="160"/>
      <c r="PWU20" s="160"/>
      <c r="PWV20" s="160"/>
      <c r="PWW20" s="160"/>
      <c r="PWX20" s="160"/>
      <c r="PWY20" s="160"/>
      <c r="PWZ20" s="160"/>
      <c r="PXA20" s="160"/>
      <c r="PXB20" s="160"/>
      <c r="PXC20" s="160"/>
      <c r="PXD20" s="160"/>
      <c r="PXE20" s="160"/>
      <c r="PXF20" s="160"/>
      <c r="PXG20" s="160"/>
      <c r="PXH20" s="160"/>
      <c r="PXI20" s="160"/>
      <c r="PXJ20" s="160"/>
      <c r="PXK20" s="160"/>
      <c r="PXL20" s="160"/>
      <c r="PXM20" s="160"/>
      <c r="PXN20" s="160"/>
      <c r="PXO20" s="160"/>
      <c r="PXP20" s="160"/>
      <c r="PXQ20" s="160"/>
      <c r="PXR20" s="160"/>
      <c r="PXS20" s="160"/>
      <c r="PXT20" s="160"/>
      <c r="PXU20" s="160"/>
      <c r="PXV20" s="160"/>
      <c r="PXW20" s="160"/>
      <c r="PXX20" s="160"/>
      <c r="PXY20" s="160"/>
      <c r="PXZ20" s="160"/>
      <c r="PYA20" s="160"/>
      <c r="PYB20" s="160"/>
      <c r="PYC20" s="160"/>
      <c r="PYD20" s="160"/>
      <c r="PYE20" s="160"/>
      <c r="PYF20" s="160"/>
      <c r="PYG20" s="160"/>
      <c r="PYH20" s="160"/>
      <c r="PYI20" s="160"/>
      <c r="PYJ20" s="160"/>
      <c r="PYK20" s="160"/>
      <c r="PYL20" s="160"/>
      <c r="PYM20" s="160"/>
      <c r="PYN20" s="160"/>
      <c r="PYO20" s="160"/>
      <c r="PYP20" s="160"/>
      <c r="PYQ20" s="160"/>
      <c r="PYR20" s="160"/>
      <c r="PYS20" s="160"/>
      <c r="PYT20" s="160"/>
      <c r="PYU20" s="160"/>
      <c r="PYV20" s="160"/>
      <c r="PYW20" s="160"/>
      <c r="PYX20" s="160"/>
      <c r="PYY20" s="160"/>
      <c r="PYZ20" s="160"/>
      <c r="PZA20" s="160"/>
      <c r="PZB20" s="160"/>
      <c r="PZC20" s="160"/>
      <c r="PZD20" s="160"/>
      <c r="PZE20" s="160"/>
      <c r="PZF20" s="160"/>
      <c r="PZG20" s="160"/>
      <c r="PZH20" s="160"/>
      <c r="PZI20" s="160"/>
      <c r="PZJ20" s="160"/>
      <c r="PZK20" s="160"/>
      <c r="PZL20" s="160"/>
      <c r="PZM20" s="160"/>
      <c r="PZN20" s="160"/>
      <c r="PZO20" s="160"/>
      <c r="PZP20" s="160"/>
      <c r="PZQ20" s="160"/>
      <c r="PZR20" s="160"/>
      <c r="PZS20" s="160"/>
      <c r="PZT20" s="160"/>
      <c r="PZU20" s="160"/>
      <c r="PZV20" s="160"/>
      <c r="PZW20" s="160"/>
      <c r="PZX20" s="160"/>
      <c r="PZY20" s="160"/>
      <c r="PZZ20" s="160"/>
      <c r="QAA20" s="160"/>
      <c r="QAB20" s="160"/>
      <c r="QAC20" s="160"/>
      <c r="QAD20" s="160"/>
      <c r="QAE20" s="160"/>
      <c r="QAF20" s="160"/>
      <c r="QAG20" s="160"/>
      <c r="QAH20" s="160"/>
      <c r="QAI20" s="160"/>
      <c r="QAJ20" s="160"/>
      <c r="QAK20" s="160"/>
      <c r="QAL20" s="160"/>
      <c r="QAM20" s="160"/>
      <c r="QAN20" s="160"/>
      <c r="QAO20" s="160"/>
      <c r="QAP20" s="160"/>
      <c r="QAQ20" s="160"/>
      <c r="QAR20" s="160"/>
      <c r="QAS20" s="160"/>
      <c r="QAT20" s="160"/>
      <c r="QAU20" s="160"/>
      <c r="QAV20" s="160"/>
      <c r="QAW20" s="160"/>
      <c r="QAX20" s="160"/>
      <c r="QAY20" s="160"/>
      <c r="QAZ20" s="160"/>
      <c r="QBA20" s="160"/>
      <c r="QBB20" s="160"/>
      <c r="QBC20" s="160"/>
      <c r="QBD20" s="160"/>
      <c r="QBE20" s="160"/>
      <c r="QBF20" s="160"/>
      <c r="QBG20" s="160"/>
      <c r="QBH20" s="160"/>
      <c r="QBI20" s="160"/>
      <c r="QBJ20" s="160"/>
      <c r="QBK20" s="160"/>
      <c r="QBL20" s="160"/>
      <c r="QBM20" s="160"/>
      <c r="QBN20" s="160"/>
      <c r="QBO20" s="160"/>
      <c r="QBP20" s="160"/>
      <c r="QBQ20" s="160"/>
      <c r="QBR20" s="160"/>
      <c r="QBS20" s="160"/>
      <c r="QBT20" s="160"/>
      <c r="QBU20" s="160"/>
      <c r="QBV20" s="160"/>
      <c r="QBW20" s="160"/>
      <c r="QBX20" s="160"/>
      <c r="QBY20" s="160"/>
      <c r="QBZ20" s="160"/>
      <c r="QCA20" s="160"/>
      <c r="QCB20" s="160"/>
      <c r="QCC20" s="160"/>
      <c r="QCD20" s="160"/>
      <c r="QCE20" s="160"/>
      <c r="QCF20" s="160"/>
      <c r="QCG20" s="160"/>
      <c r="QCH20" s="160"/>
      <c r="QCI20" s="160"/>
      <c r="QCJ20" s="160"/>
      <c r="QCK20" s="160"/>
      <c r="QCL20" s="160"/>
      <c r="QCM20" s="160"/>
      <c r="QCN20" s="160"/>
      <c r="QCO20" s="160"/>
      <c r="QCP20" s="160"/>
      <c r="QCQ20" s="160"/>
      <c r="QCR20" s="160"/>
      <c r="QCS20" s="160"/>
      <c r="QCT20" s="160"/>
      <c r="QCU20" s="160"/>
      <c r="QCV20" s="160"/>
      <c r="QCW20" s="160"/>
      <c r="QCX20" s="160"/>
      <c r="QCY20" s="160"/>
      <c r="QCZ20" s="160"/>
      <c r="QDA20" s="160"/>
      <c r="QDB20" s="160"/>
      <c r="QDC20" s="160"/>
      <c r="QDD20" s="160"/>
      <c r="QDE20" s="160"/>
      <c r="QDF20" s="160"/>
      <c r="QDG20" s="160"/>
      <c r="QDH20" s="160"/>
      <c r="QDI20" s="160"/>
      <c r="QDJ20" s="160"/>
      <c r="QDK20" s="160"/>
      <c r="QDL20" s="160"/>
      <c r="QDM20" s="160"/>
      <c r="QDN20" s="160"/>
      <c r="QDO20" s="160"/>
      <c r="QDP20" s="160"/>
      <c r="QDQ20" s="160"/>
      <c r="QDR20" s="160"/>
      <c r="QDS20" s="160"/>
      <c r="QDT20" s="160"/>
      <c r="QDU20" s="160"/>
      <c r="QDV20" s="160"/>
      <c r="QDW20" s="160"/>
      <c r="QDX20" s="160"/>
      <c r="QDY20" s="160"/>
      <c r="QDZ20" s="160"/>
      <c r="QEA20" s="160"/>
      <c r="QEB20" s="160"/>
      <c r="QEC20" s="160"/>
      <c r="QED20" s="160"/>
      <c r="QEE20" s="160"/>
      <c r="QEF20" s="160"/>
      <c r="QEG20" s="160"/>
      <c r="QEH20" s="160"/>
      <c r="QEI20" s="160"/>
      <c r="QEJ20" s="160"/>
      <c r="QEK20" s="160"/>
      <c r="QEL20" s="160"/>
      <c r="QEM20" s="160"/>
      <c r="QEN20" s="160"/>
      <c r="QEO20" s="160"/>
      <c r="QEP20" s="160"/>
      <c r="QEQ20" s="160"/>
      <c r="QER20" s="160"/>
      <c r="QES20" s="160"/>
      <c r="QET20" s="160"/>
      <c r="QEU20" s="160"/>
      <c r="QEV20" s="160"/>
      <c r="QEW20" s="160"/>
      <c r="QEX20" s="160"/>
      <c r="QEY20" s="160"/>
      <c r="QEZ20" s="160"/>
      <c r="QFA20" s="160"/>
      <c r="QFB20" s="160"/>
      <c r="QFC20" s="160"/>
      <c r="QFD20" s="160"/>
      <c r="QFE20" s="160"/>
      <c r="QFF20" s="160"/>
      <c r="QFG20" s="160"/>
      <c r="QFH20" s="160"/>
      <c r="QFI20" s="160"/>
      <c r="QFJ20" s="160"/>
      <c r="QFK20" s="160"/>
      <c r="QFL20" s="160"/>
      <c r="QFM20" s="160"/>
      <c r="QFN20" s="160"/>
      <c r="QFO20" s="160"/>
      <c r="QFP20" s="160"/>
      <c r="QFQ20" s="160"/>
      <c r="QFR20" s="160"/>
      <c r="QFS20" s="160"/>
      <c r="QFT20" s="160"/>
      <c r="QFU20" s="160"/>
      <c r="QFV20" s="160"/>
      <c r="QFW20" s="160"/>
      <c r="QFX20" s="160"/>
      <c r="QFY20" s="160"/>
      <c r="QFZ20" s="160"/>
      <c r="QGA20" s="160"/>
      <c r="QGB20" s="160"/>
      <c r="QGC20" s="160"/>
      <c r="QGD20" s="160"/>
      <c r="QGE20" s="160"/>
      <c r="QGF20" s="160"/>
      <c r="QGG20" s="160"/>
      <c r="QGH20" s="160"/>
      <c r="QGI20" s="160"/>
      <c r="QGJ20" s="160"/>
      <c r="QGK20" s="160"/>
      <c r="QGL20" s="160"/>
      <c r="QGM20" s="160"/>
      <c r="QGN20" s="160"/>
      <c r="QGO20" s="160"/>
      <c r="QGP20" s="160"/>
      <c r="QGQ20" s="160"/>
      <c r="QGR20" s="160"/>
      <c r="QGS20" s="160"/>
      <c r="QGT20" s="160"/>
      <c r="QGU20" s="160"/>
      <c r="QGV20" s="160"/>
      <c r="QGW20" s="160"/>
      <c r="QGX20" s="160"/>
      <c r="QGY20" s="160"/>
      <c r="QGZ20" s="160"/>
      <c r="QHA20" s="160"/>
      <c r="QHB20" s="160"/>
      <c r="QHC20" s="160"/>
      <c r="QHD20" s="160"/>
      <c r="QHE20" s="160"/>
      <c r="QHF20" s="160"/>
      <c r="QHG20" s="160"/>
      <c r="QHH20" s="160"/>
      <c r="QHI20" s="160"/>
      <c r="QHJ20" s="160"/>
      <c r="QHK20" s="160"/>
      <c r="QHL20" s="160"/>
      <c r="QHM20" s="160"/>
      <c r="QHN20" s="160"/>
      <c r="QHO20" s="160"/>
      <c r="QHP20" s="160"/>
      <c r="QHQ20" s="160"/>
      <c r="QHR20" s="160"/>
      <c r="QHS20" s="160"/>
      <c r="QHT20" s="160"/>
      <c r="QHU20" s="160"/>
      <c r="QHV20" s="160"/>
      <c r="QHW20" s="160"/>
      <c r="QHX20" s="160"/>
      <c r="QHY20" s="160"/>
      <c r="QHZ20" s="160"/>
      <c r="QIA20" s="160"/>
      <c r="QIB20" s="160"/>
      <c r="QIC20" s="160"/>
      <c r="QID20" s="160"/>
      <c r="QIE20" s="160"/>
      <c r="QIF20" s="160"/>
      <c r="QIG20" s="160"/>
      <c r="QIH20" s="160"/>
      <c r="QII20" s="160"/>
      <c r="QIJ20" s="160"/>
      <c r="QIK20" s="160"/>
      <c r="QIL20" s="160"/>
      <c r="QIM20" s="160"/>
      <c r="QIN20" s="160"/>
      <c r="QIO20" s="160"/>
      <c r="QIP20" s="160"/>
      <c r="QIQ20" s="160"/>
      <c r="QIR20" s="160"/>
      <c r="QIS20" s="160"/>
      <c r="QIT20" s="160"/>
      <c r="QIU20" s="160"/>
      <c r="QIV20" s="160"/>
      <c r="QIW20" s="160"/>
      <c r="QIX20" s="160"/>
      <c r="QIY20" s="160"/>
      <c r="QIZ20" s="160"/>
      <c r="QJA20" s="160"/>
      <c r="QJB20" s="160"/>
      <c r="QJC20" s="160"/>
      <c r="QJD20" s="160"/>
      <c r="QJE20" s="160"/>
      <c r="QJF20" s="160"/>
      <c r="QJG20" s="160"/>
      <c r="QJH20" s="160"/>
      <c r="QJI20" s="160"/>
      <c r="QJJ20" s="160"/>
      <c r="QJK20" s="160"/>
      <c r="QJL20" s="160"/>
      <c r="QJM20" s="160"/>
      <c r="QJN20" s="160"/>
      <c r="QJO20" s="160"/>
      <c r="QJP20" s="160"/>
      <c r="QJQ20" s="160"/>
      <c r="QJR20" s="160"/>
      <c r="QJS20" s="160"/>
      <c r="QJT20" s="160"/>
      <c r="QJU20" s="160"/>
      <c r="QJV20" s="160"/>
      <c r="QJW20" s="160"/>
      <c r="QJX20" s="160"/>
      <c r="QJY20" s="160"/>
      <c r="QJZ20" s="160"/>
      <c r="QKA20" s="160"/>
      <c r="QKB20" s="160"/>
      <c r="QKC20" s="160"/>
      <c r="QKD20" s="160"/>
      <c r="QKE20" s="160"/>
      <c r="QKF20" s="160"/>
      <c r="QKG20" s="160"/>
      <c r="QKH20" s="160"/>
      <c r="QKI20" s="160"/>
      <c r="QKJ20" s="160"/>
      <c r="QKK20" s="160"/>
      <c r="QKL20" s="160"/>
      <c r="QKM20" s="160"/>
      <c r="QKN20" s="160"/>
      <c r="QKO20" s="160"/>
      <c r="QKP20" s="160"/>
      <c r="QKQ20" s="160"/>
      <c r="QKR20" s="160"/>
      <c r="QKS20" s="160"/>
      <c r="QKT20" s="160"/>
      <c r="QKU20" s="160"/>
      <c r="QKV20" s="160"/>
      <c r="QKW20" s="160"/>
      <c r="QKX20" s="160"/>
      <c r="QKY20" s="160"/>
      <c r="QKZ20" s="160"/>
      <c r="QLA20" s="160"/>
      <c r="QLB20" s="160"/>
      <c r="QLC20" s="160"/>
      <c r="QLD20" s="160"/>
      <c r="QLE20" s="160"/>
      <c r="QLF20" s="160"/>
      <c r="QLG20" s="160"/>
      <c r="QLH20" s="160"/>
      <c r="QLI20" s="160"/>
      <c r="QLJ20" s="160"/>
      <c r="QLK20" s="160"/>
      <c r="QLL20" s="160"/>
      <c r="QLM20" s="160"/>
      <c r="QLN20" s="160"/>
      <c r="QLO20" s="160"/>
      <c r="QLP20" s="160"/>
      <c r="QLQ20" s="160"/>
      <c r="QLR20" s="160"/>
      <c r="QLS20" s="160"/>
      <c r="QLT20" s="160"/>
      <c r="QLU20" s="160"/>
      <c r="QLV20" s="160"/>
      <c r="QLW20" s="160"/>
      <c r="QLX20" s="160"/>
      <c r="QLY20" s="160"/>
      <c r="QLZ20" s="160"/>
      <c r="QMA20" s="160"/>
      <c r="QMB20" s="160"/>
      <c r="QMC20" s="160"/>
      <c r="QMD20" s="160"/>
      <c r="QME20" s="160"/>
      <c r="QMF20" s="160"/>
      <c r="QMG20" s="160"/>
      <c r="QMH20" s="160"/>
      <c r="QMI20" s="160"/>
      <c r="QMJ20" s="160"/>
      <c r="QMK20" s="160"/>
      <c r="QML20" s="160"/>
      <c r="QMM20" s="160"/>
      <c r="QMN20" s="160"/>
      <c r="QMO20" s="160"/>
      <c r="QMP20" s="160"/>
      <c r="QMQ20" s="160"/>
      <c r="QMR20" s="160"/>
      <c r="QMS20" s="160"/>
      <c r="QMT20" s="160"/>
      <c r="QMU20" s="160"/>
      <c r="QMV20" s="160"/>
      <c r="QMW20" s="160"/>
      <c r="QMX20" s="160"/>
      <c r="QMY20" s="160"/>
      <c r="QMZ20" s="160"/>
      <c r="QNA20" s="160"/>
      <c r="QNB20" s="160"/>
      <c r="QNC20" s="160"/>
      <c r="QND20" s="160"/>
      <c r="QNE20" s="160"/>
      <c r="QNF20" s="160"/>
      <c r="QNG20" s="160"/>
      <c r="QNH20" s="160"/>
      <c r="QNI20" s="160"/>
      <c r="QNJ20" s="160"/>
      <c r="QNK20" s="160"/>
      <c r="QNL20" s="160"/>
      <c r="QNM20" s="160"/>
      <c r="QNN20" s="160"/>
      <c r="QNO20" s="160"/>
      <c r="QNP20" s="160"/>
      <c r="QNQ20" s="160"/>
      <c r="QNR20" s="160"/>
      <c r="QNS20" s="160"/>
      <c r="QNT20" s="160"/>
      <c r="QNU20" s="160"/>
      <c r="QNV20" s="160"/>
      <c r="QNW20" s="160"/>
      <c r="QNX20" s="160"/>
      <c r="QNY20" s="160"/>
      <c r="QNZ20" s="160"/>
      <c r="QOA20" s="160"/>
      <c r="QOB20" s="160"/>
      <c r="QOC20" s="160"/>
      <c r="QOD20" s="160"/>
      <c r="QOE20" s="160"/>
      <c r="QOF20" s="160"/>
      <c r="QOG20" s="160"/>
      <c r="QOH20" s="160"/>
      <c r="QOI20" s="160"/>
      <c r="QOJ20" s="160"/>
      <c r="QOK20" s="160"/>
      <c r="QOL20" s="160"/>
      <c r="QOM20" s="160"/>
      <c r="QON20" s="160"/>
      <c r="QOO20" s="160"/>
      <c r="QOP20" s="160"/>
      <c r="QOQ20" s="160"/>
      <c r="QOR20" s="160"/>
      <c r="QOS20" s="160"/>
      <c r="QOT20" s="160"/>
      <c r="QOU20" s="160"/>
      <c r="QOV20" s="160"/>
      <c r="QOW20" s="160"/>
      <c r="QOX20" s="160"/>
      <c r="QOY20" s="160"/>
      <c r="QOZ20" s="160"/>
      <c r="QPA20" s="160"/>
      <c r="QPB20" s="160"/>
      <c r="QPC20" s="160"/>
      <c r="QPD20" s="160"/>
      <c r="QPE20" s="160"/>
      <c r="QPF20" s="160"/>
      <c r="QPG20" s="160"/>
      <c r="QPH20" s="160"/>
      <c r="QPI20" s="160"/>
      <c r="QPJ20" s="160"/>
      <c r="QPK20" s="160"/>
      <c r="QPL20" s="160"/>
      <c r="QPM20" s="160"/>
      <c r="QPN20" s="160"/>
      <c r="QPO20" s="160"/>
      <c r="QPP20" s="160"/>
      <c r="QPQ20" s="160"/>
      <c r="QPR20" s="160"/>
      <c r="QPS20" s="160"/>
      <c r="QPT20" s="160"/>
      <c r="QPU20" s="160"/>
      <c r="QPV20" s="160"/>
      <c r="QPW20" s="160"/>
      <c r="QPX20" s="160"/>
      <c r="QPY20" s="160"/>
      <c r="QPZ20" s="160"/>
      <c r="QQA20" s="160"/>
      <c r="QQB20" s="160"/>
      <c r="QQC20" s="160"/>
      <c r="QQD20" s="160"/>
      <c r="QQE20" s="160"/>
      <c r="QQF20" s="160"/>
      <c r="QQG20" s="160"/>
      <c r="QQH20" s="160"/>
      <c r="QQI20" s="160"/>
      <c r="QQJ20" s="160"/>
      <c r="QQK20" s="160"/>
      <c r="QQL20" s="160"/>
      <c r="QQM20" s="160"/>
      <c r="QQN20" s="160"/>
      <c r="QQO20" s="160"/>
      <c r="QQP20" s="160"/>
      <c r="QQQ20" s="160"/>
      <c r="QQR20" s="160"/>
      <c r="QQS20" s="160"/>
      <c r="QQT20" s="160"/>
      <c r="QQU20" s="160"/>
      <c r="QQV20" s="160"/>
      <c r="QQW20" s="160"/>
      <c r="QQX20" s="160"/>
      <c r="QQY20" s="160"/>
      <c r="QQZ20" s="160"/>
      <c r="QRA20" s="160"/>
      <c r="QRB20" s="160"/>
      <c r="QRC20" s="160"/>
      <c r="QRD20" s="160"/>
      <c r="QRE20" s="160"/>
      <c r="QRF20" s="160"/>
      <c r="QRG20" s="160"/>
      <c r="QRH20" s="160"/>
      <c r="QRI20" s="160"/>
      <c r="QRJ20" s="160"/>
      <c r="QRK20" s="160"/>
      <c r="QRL20" s="160"/>
      <c r="QRM20" s="160"/>
      <c r="QRN20" s="160"/>
      <c r="QRO20" s="160"/>
      <c r="QRP20" s="160"/>
      <c r="QRQ20" s="160"/>
      <c r="QRR20" s="160"/>
      <c r="QRS20" s="160"/>
      <c r="QRT20" s="160"/>
      <c r="QRU20" s="160"/>
      <c r="QRV20" s="160"/>
      <c r="QRW20" s="160"/>
      <c r="QRX20" s="160"/>
      <c r="QRY20" s="160"/>
      <c r="QRZ20" s="160"/>
      <c r="QSA20" s="160"/>
      <c r="QSB20" s="160"/>
      <c r="QSC20" s="160"/>
      <c r="QSD20" s="160"/>
      <c r="QSE20" s="160"/>
      <c r="QSF20" s="160"/>
      <c r="QSG20" s="160"/>
      <c r="QSH20" s="160"/>
      <c r="QSI20" s="160"/>
      <c r="QSJ20" s="160"/>
      <c r="QSK20" s="160"/>
      <c r="QSL20" s="160"/>
      <c r="QSM20" s="160"/>
      <c r="QSN20" s="160"/>
      <c r="QSO20" s="160"/>
      <c r="QSP20" s="160"/>
      <c r="QSQ20" s="160"/>
      <c r="QSR20" s="160"/>
      <c r="QSS20" s="160"/>
      <c r="QST20" s="160"/>
      <c r="QSU20" s="160"/>
      <c r="QSV20" s="160"/>
      <c r="QSW20" s="160"/>
      <c r="QSX20" s="160"/>
      <c r="QSY20" s="160"/>
      <c r="QSZ20" s="160"/>
      <c r="QTA20" s="160"/>
      <c r="QTB20" s="160"/>
      <c r="QTC20" s="160"/>
      <c r="QTD20" s="160"/>
      <c r="QTE20" s="160"/>
      <c r="QTF20" s="160"/>
      <c r="QTG20" s="160"/>
      <c r="QTH20" s="160"/>
      <c r="QTI20" s="160"/>
      <c r="QTJ20" s="160"/>
      <c r="QTK20" s="160"/>
      <c r="QTL20" s="160"/>
      <c r="QTM20" s="160"/>
      <c r="QTN20" s="160"/>
      <c r="QTO20" s="160"/>
      <c r="QTP20" s="160"/>
      <c r="QTQ20" s="160"/>
      <c r="QTR20" s="160"/>
      <c r="QTS20" s="160"/>
      <c r="QTT20" s="160"/>
      <c r="QTU20" s="160"/>
      <c r="QTV20" s="160"/>
      <c r="QTW20" s="160"/>
      <c r="QTX20" s="160"/>
      <c r="QTY20" s="160"/>
      <c r="QTZ20" s="160"/>
      <c r="QUA20" s="160"/>
      <c r="QUB20" s="160"/>
      <c r="QUC20" s="160"/>
      <c r="QUD20" s="160"/>
      <c r="QUE20" s="160"/>
      <c r="QUF20" s="160"/>
      <c r="QUG20" s="160"/>
      <c r="QUH20" s="160"/>
      <c r="QUI20" s="160"/>
      <c r="QUJ20" s="160"/>
      <c r="QUK20" s="160"/>
      <c r="QUL20" s="160"/>
      <c r="QUM20" s="160"/>
      <c r="QUN20" s="160"/>
      <c r="QUO20" s="160"/>
      <c r="QUP20" s="160"/>
      <c r="QUQ20" s="160"/>
      <c r="QUR20" s="160"/>
      <c r="QUS20" s="160"/>
      <c r="QUT20" s="160"/>
      <c r="QUU20" s="160"/>
      <c r="QUV20" s="160"/>
      <c r="QUW20" s="160"/>
      <c r="QUX20" s="160"/>
      <c r="QUY20" s="160"/>
      <c r="QUZ20" s="160"/>
      <c r="QVA20" s="160"/>
      <c r="QVB20" s="160"/>
      <c r="QVC20" s="160"/>
      <c r="QVD20" s="160"/>
      <c r="QVE20" s="160"/>
      <c r="QVF20" s="160"/>
      <c r="QVG20" s="160"/>
      <c r="QVH20" s="160"/>
      <c r="QVI20" s="160"/>
      <c r="QVJ20" s="160"/>
      <c r="QVK20" s="160"/>
      <c r="QVL20" s="160"/>
      <c r="QVM20" s="160"/>
      <c r="QVN20" s="160"/>
      <c r="QVO20" s="160"/>
      <c r="QVP20" s="160"/>
      <c r="QVQ20" s="160"/>
      <c r="QVR20" s="160"/>
      <c r="QVS20" s="160"/>
      <c r="QVT20" s="160"/>
      <c r="QVU20" s="160"/>
      <c r="QVV20" s="160"/>
      <c r="QVW20" s="160"/>
      <c r="QVX20" s="160"/>
      <c r="QVY20" s="160"/>
      <c r="QVZ20" s="160"/>
      <c r="QWA20" s="160"/>
      <c r="QWB20" s="160"/>
      <c r="QWC20" s="160"/>
      <c r="QWD20" s="160"/>
      <c r="QWE20" s="160"/>
      <c r="QWF20" s="160"/>
      <c r="QWG20" s="160"/>
      <c r="QWH20" s="160"/>
      <c r="QWI20" s="160"/>
      <c r="QWJ20" s="160"/>
      <c r="QWK20" s="160"/>
      <c r="QWL20" s="160"/>
      <c r="QWM20" s="160"/>
      <c r="QWN20" s="160"/>
      <c r="QWO20" s="160"/>
      <c r="QWP20" s="160"/>
      <c r="QWQ20" s="160"/>
      <c r="QWR20" s="160"/>
      <c r="QWS20" s="160"/>
      <c r="QWT20" s="160"/>
      <c r="QWU20" s="160"/>
      <c r="QWV20" s="160"/>
      <c r="QWW20" s="160"/>
      <c r="QWX20" s="160"/>
      <c r="QWY20" s="160"/>
      <c r="QWZ20" s="160"/>
      <c r="QXA20" s="160"/>
      <c r="QXB20" s="160"/>
      <c r="QXC20" s="160"/>
      <c r="QXD20" s="160"/>
      <c r="QXE20" s="160"/>
      <c r="QXF20" s="160"/>
      <c r="QXG20" s="160"/>
      <c r="QXH20" s="160"/>
      <c r="QXI20" s="160"/>
      <c r="QXJ20" s="160"/>
      <c r="QXK20" s="160"/>
      <c r="QXL20" s="160"/>
      <c r="QXM20" s="160"/>
      <c r="QXN20" s="160"/>
      <c r="QXO20" s="160"/>
      <c r="QXP20" s="160"/>
      <c r="QXQ20" s="160"/>
      <c r="QXR20" s="160"/>
      <c r="QXS20" s="160"/>
      <c r="QXT20" s="160"/>
      <c r="QXU20" s="160"/>
      <c r="QXV20" s="160"/>
      <c r="QXW20" s="160"/>
      <c r="QXX20" s="160"/>
      <c r="QXY20" s="160"/>
      <c r="QXZ20" s="160"/>
      <c r="QYA20" s="160"/>
      <c r="QYB20" s="160"/>
      <c r="QYC20" s="160"/>
      <c r="QYD20" s="160"/>
      <c r="QYE20" s="160"/>
      <c r="QYF20" s="160"/>
      <c r="QYG20" s="160"/>
      <c r="QYH20" s="160"/>
      <c r="QYI20" s="160"/>
      <c r="QYJ20" s="160"/>
      <c r="QYK20" s="160"/>
      <c r="QYL20" s="160"/>
      <c r="QYM20" s="160"/>
      <c r="QYN20" s="160"/>
      <c r="QYO20" s="160"/>
      <c r="QYP20" s="160"/>
      <c r="QYQ20" s="160"/>
      <c r="QYR20" s="160"/>
      <c r="QYS20" s="160"/>
      <c r="QYT20" s="160"/>
      <c r="QYU20" s="160"/>
      <c r="QYV20" s="160"/>
      <c r="QYW20" s="160"/>
      <c r="QYX20" s="160"/>
      <c r="QYY20" s="160"/>
      <c r="QYZ20" s="160"/>
      <c r="QZA20" s="160"/>
      <c r="QZB20" s="160"/>
      <c r="QZC20" s="160"/>
      <c r="QZD20" s="160"/>
      <c r="QZE20" s="160"/>
      <c r="QZF20" s="160"/>
      <c r="QZG20" s="160"/>
      <c r="QZH20" s="160"/>
      <c r="QZI20" s="160"/>
      <c r="QZJ20" s="160"/>
      <c r="QZK20" s="160"/>
      <c r="QZL20" s="160"/>
      <c r="QZM20" s="160"/>
      <c r="QZN20" s="160"/>
      <c r="QZO20" s="160"/>
      <c r="QZP20" s="160"/>
      <c r="QZQ20" s="160"/>
      <c r="QZR20" s="160"/>
      <c r="QZS20" s="160"/>
      <c r="QZT20" s="160"/>
      <c r="QZU20" s="160"/>
      <c r="QZV20" s="160"/>
      <c r="QZW20" s="160"/>
      <c r="QZX20" s="160"/>
      <c r="QZY20" s="160"/>
      <c r="QZZ20" s="160"/>
      <c r="RAA20" s="160"/>
      <c r="RAB20" s="160"/>
      <c r="RAC20" s="160"/>
      <c r="RAD20" s="160"/>
      <c r="RAE20" s="160"/>
      <c r="RAF20" s="160"/>
      <c r="RAG20" s="160"/>
      <c r="RAH20" s="160"/>
      <c r="RAI20" s="160"/>
      <c r="RAJ20" s="160"/>
      <c r="RAK20" s="160"/>
      <c r="RAL20" s="160"/>
      <c r="RAM20" s="160"/>
      <c r="RAN20" s="160"/>
      <c r="RAO20" s="160"/>
      <c r="RAP20" s="160"/>
      <c r="RAQ20" s="160"/>
      <c r="RAR20" s="160"/>
      <c r="RAS20" s="160"/>
      <c r="RAT20" s="160"/>
      <c r="RAU20" s="160"/>
      <c r="RAV20" s="160"/>
      <c r="RAW20" s="160"/>
      <c r="RAX20" s="160"/>
      <c r="RAY20" s="160"/>
      <c r="RAZ20" s="160"/>
      <c r="RBA20" s="160"/>
      <c r="RBB20" s="160"/>
      <c r="RBC20" s="160"/>
      <c r="RBD20" s="160"/>
      <c r="RBE20" s="160"/>
      <c r="RBF20" s="160"/>
      <c r="RBG20" s="160"/>
      <c r="RBH20" s="160"/>
      <c r="RBI20" s="160"/>
      <c r="RBJ20" s="160"/>
      <c r="RBK20" s="160"/>
      <c r="RBL20" s="160"/>
      <c r="RBM20" s="160"/>
      <c r="RBN20" s="160"/>
      <c r="RBO20" s="160"/>
      <c r="RBP20" s="160"/>
      <c r="RBQ20" s="160"/>
      <c r="RBR20" s="160"/>
      <c r="RBS20" s="160"/>
      <c r="RBT20" s="160"/>
      <c r="RBU20" s="160"/>
      <c r="RBV20" s="160"/>
      <c r="RBW20" s="160"/>
      <c r="RBX20" s="160"/>
      <c r="RBY20" s="160"/>
      <c r="RBZ20" s="160"/>
      <c r="RCA20" s="160"/>
      <c r="RCB20" s="160"/>
      <c r="RCC20" s="160"/>
      <c r="RCD20" s="160"/>
      <c r="RCE20" s="160"/>
      <c r="RCF20" s="160"/>
      <c r="RCG20" s="160"/>
      <c r="RCH20" s="160"/>
      <c r="RCI20" s="160"/>
      <c r="RCJ20" s="160"/>
      <c r="RCK20" s="160"/>
      <c r="RCL20" s="160"/>
      <c r="RCM20" s="160"/>
      <c r="RCN20" s="160"/>
      <c r="RCO20" s="160"/>
      <c r="RCP20" s="160"/>
      <c r="RCQ20" s="160"/>
      <c r="RCR20" s="160"/>
      <c r="RCS20" s="160"/>
      <c r="RCT20" s="160"/>
      <c r="RCU20" s="160"/>
      <c r="RCV20" s="160"/>
      <c r="RCW20" s="160"/>
      <c r="RCX20" s="160"/>
      <c r="RCY20" s="160"/>
      <c r="RCZ20" s="160"/>
      <c r="RDA20" s="160"/>
      <c r="RDB20" s="160"/>
      <c r="RDC20" s="160"/>
      <c r="RDD20" s="160"/>
      <c r="RDE20" s="160"/>
      <c r="RDF20" s="160"/>
      <c r="RDG20" s="160"/>
      <c r="RDH20" s="160"/>
      <c r="RDI20" s="160"/>
      <c r="RDJ20" s="160"/>
      <c r="RDK20" s="160"/>
      <c r="RDL20" s="160"/>
      <c r="RDM20" s="160"/>
      <c r="RDN20" s="160"/>
      <c r="RDO20" s="160"/>
      <c r="RDP20" s="160"/>
      <c r="RDQ20" s="160"/>
      <c r="RDR20" s="160"/>
      <c r="RDS20" s="160"/>
      <c r="RDT20" s="160"/>
      <c r="RDU20" s="160"/>
      <c r="RDV20" s="160"/>
      <c r="RDW20" s="160"/>
      <c r="RDX20" s="160"/>
      <c r="RDY20" s="160"/>
      <c r="RDZ20" s="160"/>
      <c r="REA20" s="160"/>
      <c r="REB20" s="160"/>
      <c r="REC20" s="160"/>
      <c r="RED20" s="160"/>
      <c r="REE20" s="160"/>
      <c r="REF20" s="160"/>
      <c r="REG20" s="160"/>
      <c r="REH20" s="160"/>
      <c r="REI20" s="160"/>
      <c r="REJ20" s="160"/>
      <c r="REK20" s="160"/>
      <c r="REL20" s="160"/>
      <c r="REM20" s="160"/>
      <c r="REN20" s="160"/>
      <c r="REO20" s="160"/>
      <c r="REP20" s="160"/>
      <c r="REQ20" s="160"/>
      <c r="RER20" s="160"/>
      <c r="RES20" s="160"/>
      <c r="RET20" s="160"/>
      <c r="REU20" s="160"/>
      <c r="REV20" s="160"/>
      <c r="REW20" s="160"/>
      <c r="REX20" s="160"/>
      <c r="REY20" s="160"/>
      <c r="REZ20" s="160"/>
      <c r="RFA20" s="160"/>
      <c r="RFB20" s="160"/>
      <c r="RFC20" s="160"/>
      <c r="RFD20" s="160"/>
      <c r="RFE20" s="160"/>
      <c r="RFF20" s="160"/>
      <c r="RFG20" s="160"/>
      <c r="RFH20" s="160"/>
      <c r="RFI20" s="160"/>
      <c r="RFJ20" s="160"/>
      <c r="RFK20" s="160"/>
      <c r="RFL20" s="160"/>
      <c r="RFM20" s="160"/>
      <c r="RFN20" s="160"/>
      <c r="RFO20" s="160"/>
      <c r="RFP20" s="160"/>
      <c r="RFQ20" s="160"/>
      <c r="RFR20" s="160"/>
      <c r="RFS20" s="160"/>
      <c r="RFT20" s="160"/>
      <c r="RFU20" s="160"/>
      <c r="RFV20" s="160"/>
      <c r="RFW20" s="160"/>
      <c r="RFX20" s="160"/>
      <c r="RFY20" s="160"/>
      <c r="RFZ20" s="160"/>
      <c r="RGA20" s="160"/>
      <c r="RGB20" s="160"/>
      <c r="RGC20" s="160"/>
      <c r="RGD20" s="160"/>
      <c r="RGE20" s="160"/>
      <c r="RGF20" s="160"/>
      <c r="RGG20" s="160"/>
      <c r="RGH20" s="160"/>
      <c r="RGI20" s="160"/>
      <c r="RGJ20" s="160"/>
      <c r="RGK20" s="160"/>
      <c r="RGL20" s="160"/>
      <c r="RGM20" s="160"/>
      <c r="RGN20" s="160"/>
      <c r="RGO20" s="160"/>
      <c r="RGP20" s="160"/>
      <c r="RGQ20" s="160"/>
      <c r="RGR20" s="160"/>
      <c r="RGS20" s="160"/>
      <c r="RGT20" s="160"/>
      <c r="RGU20" s="160"/>
      <c r="RGV20" s="160"/>
      <c r="RGW20" s="160"/>
      <c r="RGX20" s="160"/>
      <c r="RGY20" s="160"/>
      <c r="RGZ20" s="160"/>
      <c r="RHA20" s="160"/>
      <c r="RHB20" s="160"/>
      <c r="RHC20" s="160"/>
      <c r="RHD20" s="160"/>
      <c r="RHE20" s="160"/>
      <c r="RHF20" s="160"/>
      <c r="RHG20" s="160"/>
      <c r="RHH20" s="160"/>
      <c r="RHI20" s="160"/>
      <c r="RHJ20" s="160"/>
      <c r="RHK20" s="160"/>
      <c r="RHL20" s="160"/>
      <c r="RHM20" s="160"/>
      <c r="RHN20" s="160"/>
      <c r="RHO20" s="160"/>
      <c r="RHP20" s="160"/>
      <c r="RHQ20" s="160"/>
      <c r="RHR20" s="160"/>
      <c r="RHS20" s="160"/>
      <c r="RHT20" s="160"/>
      <c r="RHU20" s="160"/>
      <c r="RHV20" s="160"/>
      <c r="RHW20" s="160"/>
      <c r="RHX20" s="160"/>
      <c r="RHY20" s="160"/>
      <c r="RHZ20" s="160"/>
      <c r="RIA20" s="160"/>
      <c r="RIB20" s="160"/>
      <c r="RIC20" s="160"/>
      <c r="RID20" s="160"/>
      <c r="RIE20" s="160"/>
      <c r="RIF20" s="160"/>
      <c r="RIG20" s="160"/>
      <c r="RIH20" s="160"/>
      <c r="RII20" s="160"/>
      <c r="RIJ20" s="160"/>
      <c r="RIK20" s="160"/>
      <c r="RIL20" s="160"/>
      <c r="RIM20" s="160"/>
      <c r="RIN20" s="160"/>
      <c r="RIO20" s="160"/>
      <c r="RIP20" s="160"/>
      <c r="RIQ20" s="160"/>
      <c r="RIR20" s="160"/>
      <c r="RIS20" s="160"/>
      <c r="RIT20" s="160"/>
      <c r="RIU20" s="160"/>
      <c r="RIV20" s="160"/>
      <c r="RIW20" s="160"/>
      <c r="RIX20" s="160"/>
      <c r="RIY20" s="160"/>
      <c r="RIZ20" s="160"/>
      <c r="RJA20" s="160"/>
      <c r="RJB20" s="160"/>
      <c r="RJC20" s="160"/>
      <c r="RJD20" s="160"/>
      <c r="RJE20" s="160"/>
      <c r="RJF20" s="160"/>
      <c r="RJG20" s="160"/>
      <c r="RJH20" s="160"/>
      <c r="RJI20" s="160"/>
      <c r="RJJ20" s="160"/>
      <c r="RJK20" s="160"/>
      <c r="RJL20" s="160"/>
      <c r="RJM20" s="160"/>
      <c r="RJN20" s="160"/>
      <c r="RJO20" s="160"/>
      <c r="RJP20" s="160"/>
      <c r="RJQ20" s="160"/>
      <c r="RJR20" s="160"/>
      <c r="RJS20" s="160"/>
      <c r="RJT20" s="160"/>
      <c r="RJU20" s="160"/>
      <c r="RJV20" s="160"/>
      <c r="RJW20" s="160"/>
      <c r="RJX20" s="160"/>
      <c r="RJY20" s="160"/>
      <c r="RJZ20" s="160"/>
      <c r="RKA20" s="160"/>
      <c r="RKB20" s="160"/>
      <c r="RKC20" s="160"/>
      <c r="RKD20" s="160"/>
      <c r="RKE20" s="160"/>
      <c r="RKF20" s="160"/>
      <c r="RKG20" s="160"/>
      <c r="RKH20" s="160"/>
      <c r="RKI20" s="160"/>
      <c r="RKJ20" s="160"/>
      <c r="RKK20" s="160"/>
      <c r="RKL20" s="160"/>
      <c r="RKM20" s="160"/>
      <c r="RKN20" s="160"/>
      <c r="RKO20" s="160"/>
      <c r="RKP20" s="160"/>
      <c r="RKQ20" s="160"/>
      <c r="RKR20" s="160"/>
      <c r="RKS20" s="160"/>
      <c r="RKT20" s="160"/>
      <c r="RKU20" s="160"/>
      <c r="RKV20" s="160"/>
      <c r="RKW20" s="160"/>
      <c r="RKX20" s="160"/>
      <c r="RKY20" s="160"/>
      <c r="RKZ20" s="160"/>
      <c r="RLA20" s="160"/>
      <c r="RLB20" s="160"/>
      <c r="RLC20" s="160"/>
      <c r="RLD20" s="160"/>
      <c r="RLE20" s="160"/>
      <c r="RLF20" s="160"/>
      <c r="RLG20" s="160"/>
      <c r="RLH20" s="160"/>
      <c r="RLI20" s="160"/>
      <c r="RLJ20" s="160"/>
      <c r="RLK20" s="160"/>
      <c r="RLL20" s="160"/>
      <c r="RLM20" s="160"/>
      <c r="RLN20" s="160"/>
      <c r="RLO20" s="160"/>
      <c r="RLP20" s="160"/>
      <c r="RLQ20" s="160"/>
      <c r="RLR20" s="160"/>
      <c r="RLS20" s="160"/>
      <c r="RLT20" s="160"/>
      <c r="RLU20" s="160"/>
      <c r="RLV20" s="160"/>
      <c r="RLW20" s="160"/>
      <c r="RLX20" s="160"/>
      <c r="RLY20" s="160"/>
      <c r="RLZ20" s="160"/>
      <c r="RMA20" s="160"/>
      <c r="RMB20" s="160"/>
      <c r="RMC20" s="160"/>
      <c r="RMD20" s="160"/>
      <c r="RME20" s="160"/>
      <c r="RMF20" s="160"/>
      <c r="RMG20" s="160"/>
      <c r="RMH20" s="160"/>
      <c r="RMI20" s="160"/>
      <c r="RMJ20" s="160"/>
      <c r="RMK20" s="160"/>
      <c r="RML20" s="160"/>
      <c r="RMM20" s="160"/>
      <c r="RMN20" s="160"/>
      <c r="RMO20" s="160"/>
      <c r="RMP20" s="160"/>
      <c r="RMQ20" s="160"/>
      <c r="RMR20" s="160"/>
      <c r="RMS20" s="160"/>
      <c r="RMT20" s="160"/>
      <c r="RMU20" s="160"/>
      <c r="RMV20" s="160"/>
      <c r="RMW20" s="160"/>
      <c r="RMX20" s="160"/>
      <c r="RMY20" s="160"/>
      <c r="RMZ20" s="160"/>
      <c r="RNA20" s="160"/>
      <c r="RNB20" s="160"/>
      <c r="RNC20" s="160"/>
      <c r="RND20" s="160"/>
      <c r="RNE20" s="160"/>
      <c r="RNF20" s="160"/>
      <c r="RNG20" s="160"/>
      <c r="RNH20" s="160"/>
      <c r="RNI20" s="160"/>
      <c r="RNJ20" s="160"/>
      <c r="RNK20" s="160"/>
      <c r="RNL20" s="160"/>
      <c r="RNM20" s="160"/>
      <c r="RNN20" s="160"/>
      <c r="RNO20" s="160"/>
      <c r="RNP20" s="160"/>
      <c r="RNQ20" s="160"/>
      <c r="RNR20" s="160"/>
      <c r="RNS20" s="160"/>
      <c r="RNT20" s="160"/>
      <c r="RNU20" s="160"/>
      <c r="RNV20" s="160"/>
      <c r="RNW20" s="160"/>
      <c r="RNX20" s="160"/>
      <c r="RNY20" s="160"/>
      <c r="RNZ20" s="160"/>
      <c r="ROA20" s="160"/>
      <c r="ROB20" s="160"/>
      <c r="ROC20" s="160"/>
      <c r="ROD20" s="160"/>
      <c r="ROE20" s="160"/>
      <c r="ROF20" s="160"/>
      <c r="ROG20" s="160"/>
      <c r="ROH20" s="160"/>
      <c r="ROI20" s="160"/>
      <c r="ROJ20" s="160"/>
      <c r="ROK20" s="160"/>
      <c r="ROL20" s="160"/>
      <c r="ROM20" s="160"/>
      <c r="RON20" s="160"/>
      <c r="ROO20" s="160"/>
      <c r="ROP20" s="160"/>
      <c r="ROQ20" s="160"/>
      <c r="ROR20" s="160"/>
      <c r="ROS20" s="160"/>
      <c r="ROT20" s="160"/>
      <c r="ROU20" s="160"/>
      <c r="ROV20" s="160"/>
      <c r="ROW20" s="160"/>
      <c r="ROX20" s="160"/>
      <c r="ROY20" s="160"/>
      <c r="ROZ20" s="160"/>
      <c r="RPA20" s="160"/>
      <c r="RPB20" s="160"/>
      <c r="RPC20" s="160"/>
      <c r="RPD20" s="160"/>
      <c r="RPE20" s="160"/>
      <c r="RPF20" s="160"/>
      <c r="RPG20" s="160"/>
      <c r="RPH20" s="160"/>
      <c r="RPI20" s="160"/>
      <c r="RPJ20" s="160"/>
      <c r="RPK20" s="160"/>
      <c r="RPL20" s="160"/>
      <c r="RPM20" s="160"/>
      <c r="RPN20" s="160"/>
      <c r="RPO20" s="160"/>
      <c r="RPP20" s="160"/>
      <c r="RPQ20" s="160"/>
      <c r="RPR20" s="160"/>
      <c r="RPS20" s="160"/>
      <c r="RPT20" s="160"/>
      <c r="RPU20" s="160"/>
      <c r="RPV20" s="160"/>
      <c r="RPW20" s="160"/>
      <c r="RPX20" s="160"/>
      <c r="RPY20" s="160"/>
      <c r="RPZ20" s="160"/>
      <c r="RQA20" s="160"/>
      <c r="RQB20" s="160"/>
      <c r="RQC20" s="160"/>
      <c r="RQD20" s="160"/>
      <c r="RQE20" s="160"/>
      <c r="RQF20" s="160"/>
      <c r="RQG20" s="160"/>
      <c r="RQH20" s="160"/>
      <c r="RQI20" s="160"/>
      <c r="RQJ20" s="160"/>
      <c r="RQK20" s="160"/>
      <c r="RQL20" s="160"/>
      <c r="RQM20" s="160"/>
      <c r="RQN20" s="160"/>
      <c r="RQO20" s="160"/>
      <c r="RQP20" s="160"/>
      <c r="RQQ20" s="160"/>
      <c r="RQR20" s="160"/>
      <c r="RQS20" s="160"/>
      <c r="RQT20" s="160"/>
      <c r="RQU20" s="160"/>
      <c r="RQV20" s="160"/>
      <c r="RQW20" s="160"/>
      <c r="RQX20" s="160"/>
      <c r="RQY20" s="160"/>
      <c r="RQZ20" s="160"/>
      <c r="RRA20" s="160"/>
      <c r="RRB20" s="160"/>
      <c r="RRC20" s="160"/>
      <c r="RRD20" s="160"/>
      <c r="RRE20" s="160"/>
      <c r="RRF20" s="160"/>
      <c r="RRG20" s="160"/>
      <c r="RRH20" s="160"/>
      <c r="RRI20" s="160"/>
      <c r="RRJ20" s="160"/>
      <c r="RRK20" s="160"/>
      <c r="RRL20" s="160"/>
      <c r="RRM20" s="160"/>
      <c r="RRN20" s="160"/>
      <c r="RRO20" s="160"/>
      <c r="RRP20" s="160"/>
      <c r="RRQ20" s="160"/>
      <c r="RRR20" s="160"/>
      <c r="RRS20" s="160"/>
      <c r="RRT20" s="160"/>
      <c r="RRU20" s="160"/>
      <c r="RRV20" s="160"/>
      <c r="RRW20" s="160"/>
      <c r="RRX20" s="160"/>
      <c r="RRY20" s="160"/>
      <c r="RRZ20" s="160"/>
      <c r="RSA20" s="160"/>
      <c r="RSB20" s="160"/>
      <c r="RSC20" s="160"/>
      <c r="RSD20" s="160"/>
      <c r="RSE20" s="160"/>
      <c r="RSF20" s="160"/>
      <c r="RSG20" s="160"/>
      <c r="RSH20" s="160"/>
      <c r="RSI20" s="160"/>
      <c r="RSJ20" s="160"/>
      <c r="RSK20" s="160"/>
      <c r="RSL20" s="160"/>
      <c r="RSM20" s="160"/>
      <c r="RSN20" s="160"/>
      <c r="RSO20" s="160"/>
      <c r="RSP20" s="160"/>
      <c r="RSQ20" s="160"/>
      <c r="RSR20" s="160"/>
      <c r="RSS20" s="160"/>
      <c r="RST20" s="160"/>
      <c r="RSU20" s="160"/>
      <c r="RSV20" s="160"/>
      <c r="RSW20" s="160"/>
      <c r="RSX20" s="160"/>
      <c r="RSY20" s="160"/>
      <c r="RSZ20" s="160"/>
      <c r="RTA20" s="160"/>
      <c r="RTB20" s="160"/>
      <c r="RTC20" s="160"/>
      <c r="RTD20" s="160"/>
      <c r="RTE20" s="160"/>
      <c r="RTF20" s="160"/>
      <c r="RTG20" s="160"/>
      <c r="RTH20" s="160"/>
      <c r="RTI20" s="160"/>
      <c r="RTJ20" s="160"/>
      <c r="RTK20" s="160"/>
      <c r="RTL20" s="160"/>
      <c r="RTM20" s="160"/>
      <c r="RTN20" s="160"/>
      <c r="RTO20" s="160"/>
      <c r="RTP20" s="160"/>
      <c r="RTQ20" s="160"/>
      <c r="RTR20" s="160"/>
      <c r="RTS20" s="160"/>
      <c r="RTT20" s="160"/>
      <c r="RTU20" s="160"/>
      <c r="RTV20" s="160"/>
      <c r="RTW20" s="160"/>
      <c r="RTX20" s="160"/>
      <c r="RTY20" s="160"/>
      <c r="RTZ20" s="160"/>
      <c r="RUA20" s="160"/>
      <c r="RUB20" s="160"/>
      <c r="RUC20" s="160"/>
      <c r="RUD20" s="160"/>
      <c r="RUE20" s="160"/>
      <c r="RUF20" s="160"/>
      <c r="RUG20" s="160"/>
      <c r="RUH20" s="160"/>
      <c r="RUI20" s="160"/>
      <c r="RUJ20" s="160"/>
      <c r="RUK20" s="160"/>
      <c r="RUL20" s="160"/>
      <c r="RUM20" s="160"/>
      <c r="RUN20" s="160"/>
      <c r="RUO20" s="160"/>
      <c r="RUP20" s="160"/>
      <c r="RUQ20" s="160"/>
      <c r="RUR20" s="160"/>
      <c r="RUS20" s="160"/>
      <c r="RUT20" s="160"/>
      <c r="RUU20" s="160"/>
      <c r="RUV20" s="160"/>
      <c r="RUW20" s="160"/>
      <c r="RUX20" s="160"/>
      <c r="RUY20" s="160"/>
      <c r="RUZ20" s="160"/>
      <c r="RVA20" s="160"/>
      <c r="RVB20" s="160"/>
      <c r="RVC20" s="160"/>
      <c r="RVD20" s="160"/>
      <c r="RVE20" s="160"/>
      <c r="RVF20" s="160"/>
      <c r="RVG20" s="160"/>
      <c r="RVH20" s="160"/>
      <c r="RVI20" s="160"/>
      <c r="RVJ20" s="160"/>
      <c r="RVK20" s="160"/>
      <c r="RVL20" s="160"/>
      <c r="RVM20" s="160"/>
      <c r="RVN20" s="160"/>
      <c r="RVO20" s="160"/>
      <c r="RVP20" s="160"/>
      <c r="RVQ20" s="160"/>
      <c r="RVR20" s="160"/>
      <c r="RVS20" s="160"/>
      <c r="RVT20" s="160"/>
      <c r="RVU20" s="160"/>
      <c r="RVV20" s="160"/>
      <c r="RVW20" s="160"/>
      <c r="RVX20" s="160"/>
      <c r="RVY20" s="160"/>
      <c r="RVZ20" s="160"/>
      <c r="RWA20" s="160"/>
      <c r="RWB20" s="160"/>
      <c r="RWC20" s="160"/>
      <c r="RWD20" s="160"/>
      <c r="RWE20" s="160"/>
      <c r="RWF20" s="160"/>
      <c r="RWG20" s="160"/>
      <c r="RWH20" s="160"/>
      <c r="RWI20" s="160"/>
      <c r="RWJ20" s="160"/>
      <c r="RWK20" s="160"/>
      <c r="RWL20" s="160"/>
      <c r="RWM20" s="160"/>
      <c r="RWN20" s="160"/>
      <c r="RWO20" s="160"/>
      <c r="RWP20" s="160"/>
      <c r="RWQ20" s="160"/>
      <c r="RWR20" s="160"/>
      <c r="RWS20" s="160"/>
      <c r="RWT20" s="160"/>
      <c r="RWU20" s="160"/>
      <c r="RWV20" s="160"/>
      <c r="RWW20" s="160"/>
      <c r="RWX20" s="160"/>
      <c r="RWY20" s="160"/>
      <c r="RWZ20" s="160"/>
      <c r="RXA20" s="160"/>
      <c r="RXB20" s="160"/>
      <c r="RXC20" s="160"/>
      <c r="RXD20" s="160"/>
      <c r="RXE20" s="160"/>
      <c r="RXF20" s="160"/>
      <c r="RXG20" s="160"/>
      <c r="RXH20" s="160"/>
      <c r="RXI20" s="160"/>
      <c r="RXJ20" s="160"/>
      <c r="RXK20" s="160"/>
      <c r="RXL20" s="160"/>
      <c r="RXM20" s="160"/>
      <c r="RXN20" s="160"/>
      <c r="RXO20" s="160"/>
      <c r="RXP20" s="160"/>
      <c r="RXQ20" s="160"/>
      <c r="RXR20" s="160"/>
      <c r="RXS20" s="160"/>
      <c r="RXT20" s="160"/>
      <c r="RXU20" s="160"/>
      <c r="RXV20" s="160"/>
      <c r="RXW20" s="160"/>
      <c r="RXX20" s="160"/>
      <c r="RXY20" s="160"/>
      <c r="RXZ20" s="160"/>
      <c r="RYA20" s="160"/>
      <c r="RYB20" s="160"/>
      <c r="RYC20" s="160"/>
      <c r="RYD20" s="160"/>
      <c r="RYE20" s="160"/>
      <c r="RYF20" s="160"/>
      <c r="RYG20" s="160"/>
      <c r="RYH20" s="160"/>
      <c r="RYI20" s="160"/>
      <c r="RYJ20" s="160"/>
      <c r="RYK20" s="160"/>
      <c r="RYL20" s="160"/>
      <c r="RYM20" s="160"/>
      <c r="RYN20" s="160"/>
      <c r="RYO20" s="160"/>
      <c r="RYP20" s="160"/>
      <c r="RYQ20" s="160"/>
      <c r="RYR20" s="160"/>
      <c r="RYS20" s="160"/>
      <c r="RYT20" s="160"/>
      <c r="RYU20" s="160"/>
      <c r="RYV20" s="160"/>
      <c r="RYW20" s="160"/>
      <c r="RYX20" s="160"/>
      <c r="RYY20" s="160"/>
      <c r="RYZ20" s="160"/>
      <c r="RZA20" s="160"/>
      <c r="RZB20" s="160"/>
      <c r="RZC20" s="160"/>
      <c r="RZD20" s="160"/>
      <c r="RZE20" s="160"/>
      <c r="RZF20" s="160"/>
      <c r="RZG20" s="160"/>
      <c r="RZH20" s="160"/>
      <c r="RZI20" s="160"/>
      <c r="RZJ20" s="160"/>
      <c r="RZK20" s="160"/>
      <c r="RZL20" s="160"/>
      <c r="RZM20" s="160"/>
      <c r="RZN20" s="160"/>
      <c r="RZO20" s="160"/>
      <c r="RZP20" s="160"/>
      <c r="RZQ20" s="160"/>
      <c r="RZR20" s="160"/>
      <c r="RZS20" s="160"/>
      <c r="RZT20" s="160"/>
      <c r="RZU20" s="160"/>
      <c r="RZV20" s="160"/>
      <c r="RZW20" s="160"/>
      <c r="RZX20" s="160"/>
      <c r="RZY20" s="160"/>
      <c r="RZZ20" s="160"/>
      <c r="SAA20" s="160"/>
      <c r="SAB20" s="160"/>
      <c r="SAC20" s="160"/>
      <c r="SAD20" s="160"/>
      <c r="SAE20" s="160"/>
      <c r="SAF20" s="160"/>
      <c r="SAG20" s="160"/>
      <c r="SAH20" s="160"/>
      <c r="SAI20" s="160"/>
      <c r="SAJ20" s="160"/>
      <c r="SAK20" s="160"/>
      <c r="SAL20" s="160"/>
      <c r="SAM20" s="160"/>
      <c r="SAN20" s="160"/>
      <c r="SAO20" s="160"/>
      <c r="SAP20" s="160"/>
      <c r="SAQ20" s="160"/>
      <c r="SAR20" s="160"/>
      <c r="SAS20" s="160"/>
      <c r="SAT20" s="160"/>
      <c r="SAU20" s="160"/>
      <c r="SAV20" s="160"/>
      <c r="SAW20" s="160"/>
      <c r="SAX20" s="160"/>
      <c r="SAY20" s="160"/>
      <c r="SAZ20" s="160"/>
      <c r="SBA20" s="160"/>
      <c r="SBB20" s="160"/>
      <c r="SBC20" s="160"/>
      <c r="SBD20" s="160"/>
      <c r="SBE20" s="160"/>
      <c r="SBF20" s="160"/>
      <c r="SBG20" s="160"/>
      <c r="SBH20" s="160"/>
      <c r="SBI20" s="160"/>
      <c r="SBJ20" s="160"/>
      <c r="SBK20" s="160"/>
      <c r="SBL20" s="160"/>
      <c r="SBM20" s="160"/>
      <c r="SBN20" s="160"/>
      <c r="SBO20" s="160"/>
      <c r="SBP20" s="160"/>
      <c r="SBQ20" s="160"/>
      <c r="SBR20" s="160"/>
      <c r="SBS20" s="160"/>
      <c r="SBT20" s="160"/>
      <c r="SBU20" s="160"/>
      <c r="SBV20" s="160"/>
      <c r="SBW20" s="160"/>
      <c r="SBX20" s="160"/>
      <c r="SBY20" s="160"/>
      <c r="SBZ20" s="160"/>
      <c r="SCA20" s="160"/>
      <c r="SCB20" s="160"/>
      <c r="SCC20" s="160"/>
      <c r="SCD20" s="160"/>
      <c r="SCE20" s="160"/>
      <c r="SCF20" s="160"/>
      <c r="SCG20" s="160"/>
      <c r="SCH20" s="160"/>
      <c r="SCI20" s="160"/>
      <c r="SCJ20" s="160"/>
      <c r="SCK20" s="160"/>
      <c r="SCL20" s="160"/>
      <c r="SCM20" s="160"/>
      <c r="SCN20" s="160"/>
      <c r="SCO20" s="160"/>
      <c r="SCP20" s="160"/>
      <c r="SCQ20" s="160"/>
      <c r="SCR20" s="160"/>
      <c r="SCS20" s="160"/>
      <c r="SCT20" s="160"/>
      <c r="SCU20" s="160"/>
      <c r="SCV20" s="160"/>
      <c r="SCW20" s="160"/>
      <c r="SCX20" s="160"/>
      <c r="SCY20" s="160"/>
      <c r="SCZ20" s="160"/>
      <c r="SDA20" s="160"/>
      <c r="SDB20" s="160"/>
      <c r="SDC20" s="160"/>
      <c r="SDD20" s="160"/>
      <c r="SDE20" s="160"/>
      <c r="SDF20" s="160"/>
      <c r="SDG20" s="160"/>
      <c r="SDH20" s="160"/>
      <c r="SDI20" s="160"/>
      <c r="SDJ20" s="160"/>
      <c r="SDK20" s="160"/>
      <c r="SDL20" s="160"/>
      <c r="SDM20" s="160"/>
      <c r="SDN20" s="160"/>
      <c r="SDO20" s="160"/>
      <c r="SDP20" s="160"/>
      <c r="SDQ20" s="160"/>
      <c r="SDR20" s="160"/>
      <c r="SDS20" s="160"/>
      <c r="SDT20" s="160"/>
      <c r="SDU20" s="160"/>
      <c r="SDV20" s="160"/>
      <c r="SDW20" s="160"/>
      <c r="SDX20" s="160"/>
      <c r="SDY20" s="160"/>
      <c r="SDZ20" s="160"/>
      <c r="SEA20" s="160"/>
      <c r="SEB20" s="160"/>
      <c r="SEC20" s="160"/>
      <c r="SED20" s="160"/>
      <c r="SEE20" s="160"/>
      <c r="SEF20" s="160"/>
      <c r="SEG20" s="160"/>
      <c r="SEH20" s="160"/>
      <c r="SEI20" s="160"/>
      <c r="SEJ20" s="160"/>
      <c r="SEK20" s="160"/>
      <c r="SEL20" s="160"/>
      <c r="SEM20" s="160"/>
      <c r="SEN20" s="160"/>
      <c r="SEO20" s="160"/>
      <c r="SEP20" s="160"/>
      <c r="SEQ20" s="160"/>
      <c r="SER20" s="160"/>
      <c r="SES20" s="160"/>
      <c r="SET20" s="160"/>
      <c r="SEU20" s="160"/>
      <c r="SEV20" s="160"/>
      <c r="SEW20" s="160"/>
      <c r="SEX20" s="160"/>
      <c r="SEY20" s="160"/>
      <c r="SEZ20" s="160"/>
      <c r="SFA20" s="160"/>
      <c r="SFB20" s="160"/>
      <c r="SFC20" s="160"/>
      <c r="SFD20" s="160"/>
      <c r="SFE20" s="160"/>
      <c r="SFF20" s="160"/>
      <c r="SFG20" s="160"/>
      <c r="SFH20" s="160"/>
      <c r="SFI20" s="160"/>
      <c r="SFJ20" s="160"/>
      <c r="SFK20" s="160"/>
      <c r="SFL20" s="160"/>
      <c r="SFM20" s="160"/>
      <c r="SFN20" s="160"/>
      <c r="SFO20" s="160"/>
      <c r="SFP20" s="160"/>
      <c r="SFQ20" s="160"/>
      <c r="SFR20" s="160"/>
      <c r="SFS20" s="160"/>
      <c r="SFT20" s="160"/>
      <c r="SFU20" s="160"/>
      <c r="SFV20" s="160"/>
      <c r="SFW20" s="160"/>
      <c r="SFX20" s="160"/>
      <c r="SFY20" s="160"/>
      <c r="SFZ20" s="160"/>
      <c r="SGA20" s="160"/>
      <c r="SGB20" s="160"/>
      <c r="SGC20" s="160"/>
      <c r="SGD20" s="160"/>
      <c r="SGE20" s="160"/>
      <c r="SGF20" s="160"/>
      <c r="SGG20" s="160"/>
      <c r="SGH20" s="160"/>
      <c r="SGI20" s="160"/>
      <c r="SGJ20" s="160"/>
      <c r="SGK20" s="160"/>
      <c r="SGL20" s="160"/>
      <c r="SGM20" s="160"/>
      <c r="SGN20" s="160"/>
      <c r="SGO20" s="160"/>
      <c r="SGP20" s="160"/>
      <c r="SGQ20" s="160"/>
      <c r="SGR20" s="160"/>
      <c r="SGS20" s="160"/>
      <c r="SGT20" s="160"/>
      <c r="SGU20" s="160"/>
      <c r="SGV20" s="160"/>
      <c r="SGW20" s="160"/>
      <c r="SGX20" s="160"/>
      <c r="SGY20" s="160"/>
      <c r="SGZ20" s="160"/>
      <c r="SHA20" s="160"/>
      <c r="SHB20" s="160"/>
      <c r="SHC20" s="160"/>
      <c r="SHD20" s="160"/>
      <c r="SHE20" s="160"/>
      <c r="SHF20" s="160"/>
      <c r="SHG20" s="160"/>
      <c r="SHH20" s="160"/>
      <c r="SHI20" s="160"/>
      <c r="SHJ20" s="160"/>
      <c r="SHK20" s="160"/>
      <c r="SHL20" s="160"/>
      <c r="SHM20" s="160"/>
      <c r="SHN20" s="160"/>
      <c r="SHO20" s="160"/>
      <c r="SHP20" s="160"/>
      <c r="SHQ20" s="160"/>
      <c r="SHR20" s="160"/>
      <c r="SHS20" s="160"/>
      <c r="SHT20" s="160"/>
      <c r="SHU20" s="160"/>
      <c r="SHV20" s="160"/>
      <c r="SHW20" s="160"/>
      <c r="SHX20" s="160"/>
      <c r="SHY20" s="160"/>
      <c r="SHZ20" s="160"/>
      <c r="SIA20" s="160"/>
      <c r="SIB20" s="160"/>
      <c r="SIC20" s="160"/>
      <c r="SID20" s="160"/>
      <c r="SIE20" s="160"/>
      <c r="SIF20" s="160"/>
      <c r="SIG20" s="160"/>
      <c r="SIH20" s="160"/>
      <c r="SII20" s="160"/>
      <c r="SIJ20" s="160"/>
      <c r="SIK20" s="160"/>
      <c r="SIL20" s="160"/>
      <c r="SIM20" s="160"/>
      <c r="SIN20" s="160"/>
      <c r="SIO20" s="160"/>
      <c r="SIP20" s="160"/>
      <c r="SIQ20" s="160"/>
      <c r="SIR20" s="160"/>
      <c r="SIS20" s="160"/>
      <c r="SIT20" s="160"/>
      <c r="SIU20" s="160"/>
      <c r="SIV20" s="160"/>
      <c r="SIW20" s="160"/>
      <c r="SIX20" s="160"/>
      <c r="SIY20" s="160"/>
      <c r="SIZ20" s="160"/>
      <c r="SJA20" s="160"/>
      <c r="SJB20" s="160"/>
      <c r="SJC20" s="160"/>
      <c r="SJD20" s="160"/>
      <c r="SJE20" s="160"/>
      <c r="SJF20" s="160"/>
      <c r="SJG20" s="160"/>
      <c r="SJH20" s="160"/>
      <c r="SJI20" s="160"/>
      <c r="SJJ20" s="160"/>
      <c r="SJK20" s="160"/>
      <c r="SJL20" s="160"/>
      <c r="SJM20" s="160"/>
      <c r="SJN20" s="160"/>
      <c r="SJO20" s="160"/>
      <c r="SJP20" s="160"/>
      <c r="SJQ20" s="160"/>
      <c r="SJR20" s="160"/>
      <c r="SJS20" s="160"/>
      <c r="SJT20" s="160"/>
      <c r="SJU20" s="160"/>
      <c r="SJV20" s="160"/>
      <c r="SJW20" s="160"/>
      <c r="SJX20" s="160"/>
      <c r="SJY20" s="160"/>
      <c r="SJZ20" s="160"/>
      <c r="SKA20" s="160"/>
      <c r="SKB20" s="160"/>
      <c r="SKC20" s="160"/>
      <c r="SKD20" s="160"/>
      <c r="SKE20" s="160"/>
      <c r="SKF20" s="160"/>
      <c r="SKG20" s="160"/>
      <c r="SKH20" s="160"/>
      <c r="SKI20" s="160"/>
      <c r="SKJ20" s="160"/>
      <c r="SKK20" s="160"/>
      <c r="SKL20" s="160"/>
      <c r="SKM20" s="160"/>
      <c r="SKN20" s="160"/>
      <c r="SKO20" s="160"/>
      <c r="SKP20" s="160"/>
      <c r="SKQ20" s="160"/>
      <c r="SKR20" s="160"/>
      <c r="SKS20" s="160"/>
      <c r="SKT20" s="160"/>
      <c r="SKU20" s="160"/>
      <c r="SKV20" s="160"/>
      <c r="SKW20" s="160"/>
      <c r="SKX20" s="160"/>
      <c r="SKY20" s="160"/>
      <c r="SKZ20" s="160"/>
      <c r="SLA20" s="160"/>
      <c r="SLB20" s="160"/>
      <c r="SLC20" s="160"/>
      <c r="SLD20" s="160"/>
      <c r="SLE20" s="160"/>
      <c r="SLF20" s="160"/>
      <c r="SLG20" s="160"/>
      <c r="SLH20" s="160"/>
      <c r="SLI20" s="160"/>
      <c r="SLJ20" s="160"/>
      <c r="SLK20" s="160"/>
      <c r="SLL20" s="160"/>
      <c r="SLM20" s="160"/>
      <c r="SLN20" s="160"/>
      <c r="SLO20" s="160"/>
      <c r="SLP20" s="160"/>
      <c r="SLQ20" s="160"/>
      <c r="SLR20" s="160"/>
      <c r="SLS20" s="160"/>
      <c r="SLT20" s="160"/>
      <c r="SLU20" s="160"/>
      <c r="SLV20" s="160"/>
      <c r="SLW20" s="160"/>
      <c r="SLX20" s="160"/>
      <c r="SLY20" s="160"/>
      <c r="SLZ20" s="160"/>
      <c r="SMA20" s="160"/>
      <c r="SMB20" s="160"/>
      <c r="SMC20" s="160"/>
      <c r="SMD20" s="160"/>
      <c r="SME20" s="160"/>
      <c r="SMF20" s="160"/>
      <c r="SMG20" s="160"/>
      <c r="SMH20" s="160"/>
      <c r="SMI20" s="160"/>
      <c r="SMJ20" s="160"/>
      <c r="SMK20" s="160"/>
      <c r="SML20" s="160"/>
      <c r="SMM20" s="160"/>
      <c r="SMN20" s="160"/>
      <c r="SMO20" s="160"/>
      <c r="SMP20" s="160"/>
      <c r="SMQ20" s="160"/>
      <c r="SMR20" s="160"/>
      <c r="SMS20" s="160"/>
      <c r="SMT20" s="160"/>
      <c r="SMU20" s="160"/>
      <c r="SMV20" s="160"/>
      <c r="SMW20" s="160"/>
      <c r="SMX20" s="160"/>
      <c r="SMY20" s="160"/>
      <c r="SMZ20" s="160"/>
      <c r="SNA20" s="160"/>
      <c r="SNB20" s="160"/>
      <c r="SNC20" s="160"/>
      <c r="SND20" s="160"/>
      <c r="SNE20" s="160"/>
      <c r="SNF20" s="160"/>
      <c r="SNG20" s="160"/>
      <c r="SNH20" s="160"/>
      <c r="SNI20" s="160"/>
      <c r="SNJ20" s="160"/>
      <c r="SNK20" s="160"/>
      <c r="SNL20" s="160"/>
      <c r="SNM20" s="160"/>
      <c r="SNN20" s="160"/>
      <c r="SNO20" s="160"/>
      <c r="SNP20" s="160"/>
      <c r="SNQ20" s="160"/>
      <c r="SNR20" s="160"/>
      <c r="SNS20" s="160"/>
      <c r="SNT20" s="160"/>
      <c r="SNU20" s="160"/>
      <c r="SNV20" s="160"/>
      <c r="SNW20" s="160"/>
      <c r="SNX20" s="160"/>
      <c r="SNY20" s="160"/>
      <c r="SNZ20" s="160"/>
      <c r="SOA20" s="160"/>
      <c r="SOB20" s="160"/>
      <c r="SOC20" s="160"/>
      <c r="SOD20" s="160"/>
      <c r="SOE20" s="160"/>
      <c r="SOF20" s="160"/>
      <c r="SOG20" s="160"/>
      <c r="SOH20" s="160"/>
      <c r="SOI20" s="160"/>
      <c r="SOJ20" s="160"/>
      <c r="SOK20" s="160"/>
      <c r="SOL20" s="160"/>
      <c r="SOM20" s="160"/>
      <c r="SON20" s="160"/>
      <c r="SOO20" s="160"/>
      <c r="SOP20" s="160"/>
      <c r="SOQ20" s="160"/>
      <c r="SOR20" s="160"/>
      <c r="SOS20" s="160"/>
      <c r="SOT20" s="160"/>
      <c r="SOU20" s="160"/>
      <c r="SOV20" s="160"/>
      <c r="SOW20" s="160"/>
      <c r="SOX20" s="160"/>
      <c r="SOY20" s="160"/>
      <c r="SOZ20" s="160"/>
      <c r="SPA20" s="160"/>
      <c r="SPB20" s="160"/>
      <c r="SPC20" s="160"/>
      <c r="SPD20" s="160"/>
      <c r="SPE20" s="160"/>
      <c r="SPF20" s="160"/>
      <c r="SPG20" s="160"/>
      <c r="SPH20" s="160"/>
      <c r="SPI20" s="160"/>
      <c r="SPJ20" s="160"/>
      <c r="SPK20" s="160"/>
      <c r="SPL20" s="160"/>
      <c r="SPM20" s="160"/>
      <c r="SPN20" s="160"/>
      <c r="SPO20" s="160"/>
      <c r="SPP20" s="160"/>
      <c r="SPQ20" s="160"/>
      <c r="SPR20" s="160"/>
      <c r="SPS20" s="160"/>
      <c r="SPT20" s="160"/>
      <c r="SPU20" s="160"/>
      <c r="SPV20" s="160"/>
      <c r="SPW20" s="160"/>
      <c r="SPX20" s="160"/>
      <c r="SPY20" s="160"/>
      <c r="SPZ20" s="160"/>
      <c r="SQA20" s="160"/>
      <c r="SQB20" s="160"/>
      <c r="SQC20" s="160"/>
      <c r="SQD20" s="160"/>
      <c r="SQE20" s="160"/>
      <c r="SQF20" s="160"/>
      <c r="SQG20" s="160"/>
      <c r="SQH20" s="160"/>
      <c r="SQI20" s="160"/>
      <c r="SQJ20" s="160"/>
      <c r="SQK20" s="160"/>
      <c r="SQL20" s="160"/>
      <c r="SQM20" s="160"/>
      <c r="SQN20" s="160"/>
      <c r="SQO20" s="160"/>
      <c r="SQP20" s="160"/>
      <c r="SQQ20" s="160"/>
      <c r="SQR20" s="160"/>
      <c r="SQS20" s="160"/>
      <c r="SQT20" s="160"/>
      <c r="SQU20" s="160"/>
      <c r="SQV20" s="160"/>
      <c r="SQW20" s="160"/>
      <c r="SQX20" s="160"/>
      <c r="SQY20" s="160"/>
      <c r="SQZ20" s="160"/>
      <c r="SRA20" s="160"/>
      <c r="SRB20" s="160"/>
      <c r="SRC20" s="160"/>
      <c r="SRD20" s="160"/>
      <c r="SRE20" s="160"/>
      <c r="SRF20" s="160"/>
      <c r="SRG20" s="160"/>
      <c r="SRH20" s="160"/>
      <c r="SRI20" s="160"/>
      <c r="SRJ20" s="160"/>
      <c r="SRK20" s="160"/>
      <c r="SRL20" s="160"/>
      <c r="SRM20" s="160"/>
      <c r="SRN20" s="160"/>
      <c r="SRO20" s="160"/>
      <c r="SRP20" s="160"/>
      <c r="SRQ20" s="160"/>
      <c r="SRR20" s="160"/>
      <c r="SRS20" s="160"/>
      <c r="SRT20" s="160"/>
      <c r="SRU20" s="160"/>
      <c r="SRV20" s="160"/>
      <c r="SRW20" s="160"/>
      <c r="SRX20" s="160"/>
      <c r="SRY20" s="160"/>
      <c r="SRZ20" s="160"/>
      <c r="SSA20" s="160"/>
      <c r="SSB20" s="160"/>
      <c r="SSC20" s="160"/>
      <c r="SSD20" s="160"/>
      <c r="SSE20" s="160"/>
      <c r="SSF20" s="160"/>
      <c r="SSG20" s="160"/>
      <c r="SSH20" s="160"/>
      <c r="SSI20" s="160"/>
      <c r="SSJ20" s="160"/>
      <c r="SSK20" s="160"/>
      <c r="SSL20" s="160"/>
      <c r="SSM20" s="160"/>
      <c r="SSN20" s="160"/>
      <c r="SSO20" s="160"/>
      <c r="SSP20" s="160"/>
      <c r="SSQ20" s="160"/>
      <c r="SSR20" s="160"/>
      <c r="SSS20" s="160"/>
      <c r="SST20" s="160"/>
      <c r="SSU20" s="160"/>
      <c r="SSV20" s="160"/>
      <c r="SSW20" s="160"/>
      <c r="SSX20" s="160"/>
      <c r="SSY20" s="160"/>
      <c r="SSZ20" s="160"/>
      <c r="STA20" s="160"/>
      <c r="STB20" s="160"/>
      <c r="STC20" s="160"/>
      <c r="STD20" s="160"/>
      <c r="STE20" s="160"/>
      <c r="STF20" s="160"/>
      <c r="STG20" s="160"/>
      <c r="STH20" s="160"/>
      <c r="STI20" s="160"/>
      <c r="STJ20" s="160"/>
      <c r="STK20" s="160"/>
      <c r="STL20" s="160"/>
      <c r="STM20" s="160"/>
      <c r="STN20" s="160"/>
      <c r="STO20" s="160"/>
      <c r="STP20" s="160"/>
      <c r="STQ20" s="160"/>
      <c r="STR20" s="160"/>
      <c r="STS20" s="160"/>
      <c r="STT20" s="160"/>
      <c r="STU20" s="160"/>
      <c r="STV20" s="160"/>
      <c r="STW20" s="160"/>
      <c r="STX20" s="160"/>
      <c r="STY20" s="160"/>
      <c r="STZ20" s="160"/>
      <c r="SUA20" s="160"/>
      <c r="SUB20" s="160"/>
      <c r="SUC20" s="160"/>
      <c r="SUD20" s="160"/>
      <c r="SUE20" s="160"/>
      <c r="SUF20" s="160"/>
      <c r="SUG20" s="160"/>
      <c r="SUH20" s="160"/>
      <c r="SUI20" s="160"/>
      <c r="SUJ20" s="160"/>
      <c r="SUK20" s="160"/>
      <c r="SUL20" s="160"/>
      <c r="SUM20" s="160"/>
      <c r="SUN20" s="160"/>
      <c r="SUO20" s="160"/>
      <c r="SUP20" s="160"/>
      <c r="SUQ20" s="160"/>
      <c r="SUR20" s="160"/>
      <c r="SUS20" s="160"/>
      <c r="SUT20" s="160"/>
      <c r="SUU20" s="160"/>
      <c r="SUV20" s="160"/>
      <c r="SUW20" s="160"/>
      <c r="SUX20" s="160"/>
      <c r="SUY20" s="160"/>
      <c r="SUZ20" s="160"/>
      <c r="SVA20" s="160"/>
      <c r="SVB20" s="160"/>
      <c r="SVC20" s="160"/>
      <c r="SVD20" s="160"/>
      <c r="SVE20" s="160"/>
      <c r="SVF20" s="160"/>
      <c r="SVG20" s="160"/>
      <c r="SVH20" s="160"/>
      <c r="SVI20" s="160"/>
      <c r="SVJ20" s="160"/>
      <c r="SVK20" s="160"/>
      <c r="SVL20" s="160"/>
      <c r="SVM20" s="160"/>
      <c r="SVN20" s="160"/>
      <c r="SVO20" s="160"/>
      <c r="SVP20" s="160"/>
      <c r="SVQ20" s="160"/>
      <c r="SVR20" s="160"/>
      <c r="SVS20" s="160"/>
      <c r="SVT20" s="160"/>
      <c r="SVU20" s="160"/>
      <c r="SVV20" s="160"/>
      <c r="SVW20" s="160"/>
      <c r="SVX20" s="160"/>
      <c r="SVY20" s="160"/>
      <c r="SVZ20" s="160"/>
      <c r="SWA20" s="160"/>
      <c r="SWB20" s="160"/>
      <c r="SWC20" s="160"/>
      <c r="SWD20" s="160"/>
      <c r="SWE20" s="160"/>
      <c r="SWF20" s="160"/>
      <c r="SWG20" s="160"/>
      <c r="SWH20" s="160"/>
      <c r="SWI20" s="160"/>
      <c r="SWJ20" s="160"/>
      <c r="SWK20" s="160"/>
      <c r="SWL20" s="160"/>
      <c r="SWM20" s="160"/>
      <c r="SWN20" s="160"/>
      <c r="SWO20" s="160"/>
      <c r="SWP20" s="160"/>
      <c r="SWQ20" s="160"/>
      <c r="SWR20" s="160"/>
      <c r="SWS20" s="160"/>
      <c r="SWT20" s="160"/>
      <c r="SWU20" s="160"/>
      <c r="SWV20" s="160"/>
      <c r="SWW20" s="160"/>
      <c r="SWX20" s="160"/>
      <c r="SWY20" s="160"/>
      <c r="SWZ20" s="160"/>
      <c r="SXA20" s="160"/>
      <c r="SXB20" s="160"/>
      <c r="SXC20" s="160"/>
      <c r="SXD20" s="160"/>
      <c r="SXE20" s="160"/>
      <c r="SXF20" s="160"/>
      <c r="SXG20" s="160"/>
      <c r="SXH20" s="160"/>
      <c r="SXI20" s="160"/>
      <c r="SXJ20" s="160"/>
      <c r="SXK20" s="160"/>
      <c r="SXL20" s="160"/>
      <c r="SXM20" s="160"/>
      <c r="SXN20" s="160"/>
      <c r="SXO20" s="160"/>
      <c r="SXP20" s="160"/>
      <c r="SXQ20" s="160"/>
      <c r="SXR20" s="160"/>
      <c r="SXS20" s="160"/>
      <c r="SXT20" s="160"/>
      <c r="SXU20" s="160"/>
      <c r="SXV20" s="160"/>
      <c r="SXW20" s="160"/>
      <c r="SXX20" s="160"/>
      <c r="SXY20" s="160"/>
      <c r="SXZ20" s="160"/>
      <c r="SYA20" s="160"/>
      <c r="SYB20" s="160"/>
      <c r="SYC20" s="160"/>
      <c r="SYD20" s="160"/>
      <c r="SYE20" s="160"/>
      <c r="SYF20" s="160"/>
      <c r="SYG20" s="160"/>
      <c r="SYH20" s="160"/>
      <c r="SYI20" s="160"/>
      <c r="SYJ20" s="160"/>
      <c r="SYK20" s="160"/>
      <c r="SYL20" s="160"/>
      <c r="SYM20" s="160"/>
      <c r="SYN20" s="160"/>
      <c r="SYO20" s="160"/>
      <c r="SYP20" s="160"/>
      <c r="SYQ20" s="160"/>
      <c r="SYR20" s="160"/>
      <c r="SYS20" s="160"/>
      <c r="SYT20" s="160"/>
      <c r="SYU20" s="160"/>
      <c r="SYV20" s="160"/>
      <c r="SYW20" s="160"/>
      <c r="SYX20" s="160"/>
      <c r="SYY20" s="160"/>
      <c r="SYZ20" s="160"/>
      <c r="SZA20" s="160"/>
      <c r="SZB20" s="160"/>
      <c r="SZC20" s="160"/>
      <c r="SZD20" s="160"/>
      <c r="SZE20" s="160"/>
      <c r="SZF20" s="160"/>
      <c r="SZG20" s="160"/>
      <c r="SZH20" s="160"/>
      <c r="SZI20" s="160"/>
      <c r="SZJ20" s="160"/>
      <c r="SZK20" s="160"/>
      <c r="SZL20" s="160"/>
      <c r="SZM20" s="160"/>
      <c r="SZN20" s="160"/>
      <c r="SZO20" s="160"/>
      <c r="SZP20" s="160"/>
      <c r="SZQ20" s="160"/>
      <c r="SZR20" s="160"/>
      <c r="SZS20" s="160"/>
      <c r="SZT20" s="160"/>
      <c r="SZU20" s="160"/>
      <c r="SZV20" s="160"/>
      <c r="SZW20" s="160"/>
      <c r="SZX20" s="160"/>
      <c r="SZY20" s="160"/>
      <c r="SZZ20" s="160"/>
      <c r="TAA20" s="160"/>
      <c r="TAB20" s="160"/>
      <c r="TAC20" s="160"/>
      <c r="TAD20" s="160"/>
      <c r="TAE20" s="160"/>
      <c r="TAF20" s="160"/>
      <c r="TAG20" s="160"/>
      <c r="TAH20" s="160"/>
      <c r="TAI20" s="160"/>
      <c r="TAJ20" s="160"/>
      <c r="TAK20" s="160"/>
      <c r="TAL20" s="160"/>
      <c r="TAM20" s="160"/>
      <c r="TAN20" s="160"/>
      <c r="TAO20" s="160"/>
      <c r="TAP20" s="160"/>
      <c r="TAQ20" s="160"/>
      <c r="TAR20" s="160"/>
      <c r="TAS20" s="160"/>
      <c r="TAT20" s="160"/>
      <c r="TAU20" s="160"/>
      <c r="TAV20" s="160"/>
      <c r="TAW20" s="160"/>
      <c r="TAX20" s="160"/>
      <c r="TAY20" s="160"/>
      <c r="TAZ20" s="160"/>
      <c r="TBA20" s="160"/>
      <c r="TBB20" s="160"/>
      <c r="TBC20" s="160"/>
      <c r="TBD20" s="160"/>
      <c r="TBE20" s="160"/>
      <c r="TBF20" s="160"/>
      <c r="TBG20" s="160"/>
      <c r="TBH20" s="160"/>
      <c r="TBI20" s="160"/>
      <c r="TBJ20" s="160"/>
      <c r="TBK20" s="160"/>
      <c r="TBL20" s="160"/>
      <c r="TBM20" s="160"/>
      <c r="TBN20" s="160"/>
      <c r="TBO20" s="160"/>
      <c r="TBP20" s="160"/>
      <c r="TBQ20" s="160"/>
      <c r="TBR20" s="160"/>
      <c r="TBS20" s="160"/>
      <c r="TBT20" s="160"/>
      <c r="TBU20" s="160"/>
      <c r="TBV20" s="160"/>
      <c r="TBW20" s="160"/>
      <c r="TBX20" s="160"/>
      <c r="TBY20" s="160"/>
      <c r="TBZ20" s="160"/>
      <c r="TCA20" s="160"/>
      <c r="TCB20" s="160"/>
      <c r="TCC20" s="160"/>
      <c r="TCD20" s="160"/>
      <c r="TCE20" s="160"/>
      <c r="TCF20" s="160"/>
      <c r="TCG20" s="160"/>
      <c r="TCH20" s="160"/>
      <c r="TCI20" s="160"/>
      <c r="TCJ20" s="160"/>
      <c r="TCK20" s="160"/>
      <c r="TCL20" s="160"/>
      <c r="TCM20" s="160"/>
      <c r="TCN20" s="160"/>
      <c r="TCO20" s="160"/>
      <c r="TCP20" s="160"/>
      <c r="TCQ20" s="160"/>
      <c r="TCR20" s="160"/>
      <c r="TCS20" s="160"/>
      <c r="TCT20" s="160"/>
      <c r="TCU20" s="160"/>
      <c r="TCV20" s="160"/>
      <c r="TCW20" s="160"/>
      <c r="TCX20" s="160"/>
      <c r="TCY20" s="160"/>
      <c r="TCZ20" s="160"/>
      <c r="TDA20" s="160"/>
      <c r="TDB20" s="160"/>
      <c r="TDC20" s="160"/>
      <c r="TDD20" s="160"/>
      <c r="TDE20" s="160"/>
      <c r="TDF20" s="160"/>
      <c r="TDG20" s="160"/>
      <c r="TDH20" s="160"/>
      <c r="TDI20" s="160"/>
      <c r="TDJ20" s="160"/>
      <c r="TDK20" s="160"/>
      <c r="TDL20" s="160"/>
      <c r="TDM20" s="160"/>
      <c r="TDN20" s="160"/>
      <c r="TDO20" s="160"/>
      <c r="TDP20" s="160"/>
      <c r="TDQ20" s="160"/>
      <c r="TDR20" s="160"/>
      <c r="TDS20" s="160"/>
      <c r="TDT20" s="160"/>
      <c r="TDU20" s="160"/>
      <c r="TDV20" s="160"/>
      <c r="TDW20" s="160"/>
      <c r="TDX20" s="160"/>
      <c r="TDY20" s="160"/>
      <c r="TDZ20" s="160"/>
      <c r="TEA20" s="160"/>
      <c r="TEB20" s="160"/>
      <c r="TEC20" s="160"/>
      <c r="TED20" s="160"/>
      <c r="TEE20" s="160"/>
      <c r="TEF20" s="160"/>
      <c r="TEG20" s="160"/>
      <c r="TEH20" s="160"/>
      <c r="TEI20" s="160"/>
      <c r="TEJ20" s="160"/>
      <c r="TEK20" s="160"/>
      <c r="TEL20" s="160"/>
      <c r="TEM20" s="160"/>
      <c r="TEN20" s="160"/>
      <c r="TEO20" s="160"/>
      <c r="TEP20" s="160"/>
      <c r="TEQ20" s="160"/>
      <c r="TER20" s="160"/>
      <c r="TES20" s="160"/>
      <c r="TET20" s="160"/>
      <c r="TEU20" s="160"/>
      <c r="TEV20" s="160"/>
      <c r="TEW20" s="160"/>
      <c r="TEX20" s="160"/>
      <c r="TEY20" s="160"/>
      <c r="TEZ20" s="160"/>
      <c r="TFA20" s="160"/>
      <c r="TFB20" s="160"/>
      <c r="TFC20" s="160"/>
      <c r="TFD20" s="160"/>
      <c r="TFE20" s="160"/>
      <c r="TFF20" s="160"/>
      <c r="TFG20" s="160"/>
      <c r="TFH20" s="160"/>
      <c r="TFI20" s="160"/>
      <c r="TFJ20" s="160"/>
      <c r="TFK20" s="160"/>
      <c r="TFL20" s="160"/>
      <c r="TFM20" s="160"/>
      <c r="TFN20" s="160"/>
      <c r="TFO20" s="160"/>
      <c r="TFP20" s="160"/>
      <c r="TFQ20" s="160"/>
      <c r="TFR20" s="160"/>
      <c r="TFS20" s="160"/>
      <c r="TFT20" s="160"/>
      <c r="TFU20" s="160"/>
      <c r="TFV20" s="160"/>
      <c r="TFW20" s="160"/>
      <c r="TFX20" s="160"/>
      <c r="TFY20" s="160"/>
      <c r="TFZ20" s="160"/>
      <c r="TGA20" s="160"/>
      <c r="TGB20" s="160"/>
      <c r="TGC20" s="160"/>
      <c r="TGD20" s="160"/>
      <c r="TGE20" s="160"/>
      <c r="TGF20" s="160"/>
      <c r="TGG20" s="160"/>
      <c r="TGH20" s="160"/>
      <c r="TGI20" s="160"/>
      <c r="TGJ20" s="160"/>
      <c r="TGK20" s="160"/>
      <c r="TGL20" s="160"/>
      <c r="TGM20" s="160"/>
      <c r="TGN20" s="160"/>
      <c r="TGO20" s="160"/>
      <c r="TGP20" s="160"/>
      <c r="TGQ20" s="160"/>
      <c r="TGR20" s="160"/>
      <c r="TGS20" s="160"/>
      <c r="TGT20" s="160"/>
      <c r="TGU20" s="160"/>
      <c r="TGV20" s="160"/>
      <c r="TGW20" s="160"/>
      <c r="TGX20" s="160"/>
      <c r="TGY20" s="160"/>
      <c r="TGZ20" s="160"/>
      <c r="THA20" s="160"/>
      <c r="THB20" s="160"/>
      <c r="THC20" s="160"/>
      <c r="THD20" s="160"/>
      <c r="THE20" s="160"/>
      <c r="THF20" s="160"/>
      <c r="THG20" s="160"/>
      <c r="THH20" s="160"/>
      <c r="THI20" s="160"/>
      <c r="THJ20" s="160"/>
      <c r="THK20" s="160"/>
      <c r="THL20" s="160"/>
      <c r="THM20" s="160"/>
      <c r="THN20" s="160"/>
      <c r="THO20" s="160"/>
      <c r="THP20" s="160"/>
      <c r="THQ20" s="160"/>
      <c r="THR20" s="160"/>
      <c r="THS20" s="160"/>
      <c r="THT20" s="160"/>
      <c r="THU20" s="160"/>
      <c r="THV20" s="160"/>
      <c r="THW20" s="160"/>
      <c r="THX20" s="160"/>
      <c r="THY20" s="160"/>
      <c r="THZ20" s="160"/>
      <c r="TIA20" s="160"/>
      <c r="TIB20" s="160"/>
      <c r="TIC20" s="160"/>
      <c r="TID20" s="160"/>
      <c r="TIE20" s="160"/>
      <c r="TIF20" s="160"/>
      <c r="TIG20" s="160"/>
      <c r="TIH20" s="160"/>
      <c r="TII20" s="160"/>
      <c r="TIJ20" s="160"/>
      <c r="TIK20" s="160"/>
      <c r="TIL20" s="160"/>
      <c r="TIM20" s="160"/>
      <c r="TIN20" s="160"/>
      <c r="TIO20" s="160"/>
      <c r="TIP20" s="160"/>
      <c r="TIQ20" s="160"/>
      <c r="TIR20" s="160"/>
      <c r="TIS20" s="160"/>
      <c r="TIT20" s="160"/>
      <c r="TIU20" s="160"/>
      <c r="TIV20" s="160"/>
      <c r="TIW20" s="160"/>
      <c r="TIX20" s="160"/>
      <c r="TIY20" s="160"/>
      <c r="TIZ20" s="160"/>
      <c r="TJA20" s="160"/>
      <c r="TJB20" s="160"/>
      <c r="TJC20" s="160"/>
      <c r="TJD20" s="160"/>
      <c r="TJE20" s="160"/>
      <c r="TJF20" s="160"/>
      <c r="TJG20" s="160"/>
      <c r="TJH20" s="160"/>
      <c r="TJI20" s="160"/>
      <c r="TJJ20" s="160"/>
      <c r="TJK20" s="160"/>
      <c r="TJL20" s="160"/>
      <c r="TJM20" s="160"/>
      <c r="TJN20" s="160"/>
      <c r="TJO20" s="160"/>
      <c r="TJP20" s="160"/>
      <c r="TJQ20" s="160"/>
      <c r="TJR20" s="160"/>
      <c r="TJS20" s="160"/>
      <c r="TJT20" s="160"/>
      <c r="TJU20" s="160"/>
      <c r="TJV20" s="160"/>
      <c r="TJW20" s="160"/>
      <c r="TJX20" s="160"/>
      <c r="TJY20" s="160"/>
      <c r="TJZ20" s="160"/>
      <c r="TKA20" s="160"/>
      <c r="TKB20" s="160"/>
      <c r="TKC20" s="160"/>
      <c r="TKD20" s="160"/>
      <c r="TKE20" s="160"/>
      <c r="TKF20" s="160"/>
      <c r="TKG20" s="160"/>
      <c r="TKH20" s="160"/>
      <c r="TKI20" s="160"/>
      <c r="TKJ20" s="160"/>
      <c r="TKK20" s="160"/>
      <c r="TKL20" s="160"/>
      <c r="TKM20" s="160"/>
      <c r="TKN20" s="160"/>
      <c r="TKO20" s="160"/>
      <c r="TKP20" s="160"/>
      <c r="TKQ20" s="160"/>
      <c r="TKR20" s="160"/>
      <c r="TKS20" s="160"/>
      <c r="TKT20" s="160"/>
      <c r="TKU20" s="160"/>
      <c r="TKV20" s="160"/>
      <c r="TKW20" s="160"/>
      <c r="TKX20" s="160"/>
      <c r="TKY20" s="160"/>
      <c r="TKZ20" s="160"/>
      <c r="TLA20" s="160"/>
      <c r="TLB20" s="160"/>
      <c r="TLC20" s="160"/>
      <c r="TLD20" s="160"/>
      <c r="TLE20" s="160"/>
      <c r="TLF20" s="160"/>
      <c r="TLG20" s="160"/>
      <c r="TLH20" s="160"/>
      <c r="TLI20" s="160"/>
      <c r="TLJ20" s="160"/>
      <c r="TLK20" s="160"/>
      <c r="TLL20" s="160"/>
      <c r="TLM20" s="160"/>
      <c r="TLN20" s="160"/>
      <c r="TLO20" s="160"/>
      <c r="TLP20" s="160"/>
      <c r="TLQ20" s="160"/>
      <c r="TLR20" s="160"/>
      <c r="TLS20" s="160"/>
      <c r="TLT20" s="160"/>
      <c r="TLU20" s="160"/>
      <c r="TLV20" s="160"/>
      <c r="TLW20" s="160"/>
      <c r="TLX20" s="160"/>
      <c r="TLY20" s="160"/>
      <c r="TLZ20" s="160"/>
      <c r="TMA20" s="160"/>
      <c r="TMB20" s="160"/>
      <c r="TMC20" s="160"/>
      <c r="TMD20" s="160"/>
      <c r="TME20" s="160"/>
      <c r="TMF20" s="160"/>
      <c r="TMG20" s="160"/>
      <c r="TMH20" s="160"/>
      <c r="TMI20" s="160"/>
      <c r="TMJ20" s="160"/>
      <c r="TMK20" s="160"/>
      <c r="TML20" s="160"/>
      <c r="TMM20" s="160"/>
      <c r="TMN20" s="160"/>
      <c r="TMO20" s="160"/>
      <c r="TMP20" s="160"/>
      <c r="TMQ20" s="160"/>
      <c r="TMR20" s="160"/>
      <c r="TMS20" s="160"/>
      <c r="TMT20" s="160"/>
      <c r="TMU20" s="160"/>
      <c r="TMV20" s="160"/>
      <c r="TMW20" s="160"/>
      <c r="TMX20" s="160"/>
      <c r="TMY20" s="160"/>
      <c r="TMZ20" s="160"/>
      <c r="TNA20" s="160"/>
      <c r="TNB20" s="160"/>
      <c r="TNC20" s="160"/>
      <c r="TND20" s="160"/>
      <c r="TNE20" s="160"/>
      <c r="TNF20" s="160"/>
      <c r="TNG20" s="160"/>
      <c r="TNH20" s="160"/>
      <c r="TNI20" s="160"/>
      <c r="TNJ20" s="160"/>
      <c r="TNK20" s="160"/>
      <c r="TNL20" s="160"/>
      <c r="TNM20" s="160"/>
      <c r="TNN20" s="160"/>
      <c r="TNO20" s="160"/>
      <c r="TNP20" s="160"/>
      <c r="TNQ20" s="160"/>
      <c r="TNR20" s="160"/>
      <c r="TNS20" s="160"/>
      <c r="TNT20" s="160"/>
      <c r="TNU20" s="160"/>
      <c r="TNV20" s="160"/>
      <c r="TNW20" s="160"/>
      <c r="TNX20" s="160"/>
      <c r="TNY20" s="160"/>
      <c r="TNZ20" s="160"/>
      <c r="TOA20" s="160"/>
      <c r="TOB20" s="160"/>
      <c r="TOC20" s="160"/>
      <c r="TOD20" s="160"/>
      <c r="TOE20" s="160"/>
      <c r="TOF20" s="160"/>
      <c r="TOG20" s="160"/>
      <c r="TOH20" s="160"/>
      <c r="TOI20" s="160"/>
      <c r="TOJ20" s="160"/>
      <c r="TOK20" s="160"/>
      <c r="TOL20" s="160"/>
      <c r="TOM20" s="160"/>
      <c r="TON20" s="160"/>
      <c r="TOO20" s="160"/>
      <c r="TOP20" s="160"/>
      <c r="TOQ20" s="160"/>
      <c r="TOR20" s="160"/>
      <c r="TOS20" s="160"/>
      <c r="TOT20" s="160"/>
      <c r="TOU20" s="160"/>
      <c r="TOV20" s="160"/>
      <c r="TOW20" s="160"/>
      <c r="TOX20" s="160"/>
      <c r="TOY20" s="160"/>
      <c r="TOZ20" s="160"/>
      <c r="TPA20" s="160"/>
      <c r="TPB20" s="160"/>
      <c r="TPC20" s="160"/>
      <c r="TPD20" s="160"/>
      <c r="TPE20" s="160"/>
      <c r="TPF20" s="160"/>
      <c r="TPG20" s="160"/>
      <c r="TPH20" s="160"/>
      <c r="TPI20" s="160"/>
      <c r="TPJ20" s="160"/>
      <c r="TPK20" s="160"/>
      <c r="TPL20" s="160"/>
      <c r="TPM20" s="160"/>
      <c r="TPN20" s="160"/>
      <c r="TPO20" s="160"/>
      <c r="TPP20" s="160"/>
      <c r="TPQ20" s="160"/>
      <c r="TPR20" s="160"/>
      <c r="TPS20" s="160"/>
      <c r="TPT20" s="160"/>
      <c r="TPU20" s="160"/>
      <c r="TPV20" s="160"/>
      <c r="TPW20" s="160"/>
      <c r="TPX20" s="160"/>
      <c r="TPY20" s="160"/>
      <c r="TPZ20" s="160"/>
      <c r="TQA20" s="160"/>
      <c r="TQB20" s="160"/>
      <c r="TQC20" s="160"/>
      <c r="TQD20" s="160"/>
      <c r="TQE20" s="160"/>
      <c r="TQF20" s="160"/>
      <c r="TQG20" s="160"/>
      <c r="TQH20" s="160"/>
      <c r="TQI20" s="160"/>
      <c r="TQJ20" s="160"/>
      <c r="TQK20" s="160"/>
      <c r="TQL20" s="160"/>
      <c r="TQM20" s="160"/>
      <c r="TQN20" s="160"/>
      <c r="TQO20" s="160"/>
      <c r="TQP20" s="160"/>
      <c r="TQQ20" s="160"/>
      <c r="TQR20" s="160"/>
      <c r="TQS20" s="160"/>
      <c r="TQT20" s="160"/>
      <c r="TQU20" s="160"/>
      <c r="TQV20" s="160"/>
      <c r="TQW20" s="160"/>
      <c r="TQX20" s="160"/>
      <c r="TQY20" s="160"/>
      <c r="TQZ20" s="160"/>
      <c r="TRA20" s="160"/>
      <c r="TRB20" s="160"/>
      <c r="TRC20" s="160"/>
      <c r="TRD20" s="160"/>
      <c r="TRE20" s="160"/>
      <c r="TRF20" s="160"/>
      <c r="TRG20" s="160"/>
      <c r="TRH20" s="160"/>
      <c r="TRI20" s="160"/>
      <c r="TRJ20" s="160"/>
      <c r="TRK20" s="160"/>
      <c r="TRL20" s="160"/>
      <c r="TRM20" s="160"/>
      <c r="TRN20" s="160"/>
      <c r="TRO20" s="160"/>
      <c r="TRP20" s="160"/>
      <c r="TRQ20" s="160"/>
      <c r="TRR20" s="160"/>
      <c r="TRS20" s="160"/>
      <c r="TRT20" s="160"/>
      <c r="TRU20" s="160"/>
      <c r="TRV20" s="160"/>
      <c r="TRW20" s="160"/>
      <c r="TRX20" s="160"/>
      <c r="TRY20" s="160"/>
      <c r="TRZ20" s="160"/>
      <c r="TSA20" s="160"/>
      <c r="TSB20" s="160"/>
      <c r="TSC20" s="160"/>
      <c r="TSD20" s="160"/>
      <c r="TSE20" s="160"/>
      <c r="TSF20" s="160"/>
      <c r="TSG20" s="160"/>
      <c r="TSH20" s="160"/>
      <c r="TSI20" s="160"/>
      <c r="TSJ20" s="160"/>
      <c r="TSK20" s="160"/>
      <c r="TSL20" s="160"/>
      <c r="TSM20" s="160"/>
      <c r="TSN20" s="160"/>
      <c r="TSO20" s="160"/>
      <c r="TSP20" s="160"/>
      <c r="TSQ20" s="160"/>
      <c r="TSR20" s="160"/>
      <c r="TSS20" s="160"/>
      <c r="TST20" s="160"/>
      <c r="TSU20" s="160"/>
      <c r="TSV20" s="160"/>
      <c r="TSW20" s="160"/>
      <c r="TSX20" s="160"/>
      <c r="TSY20" s="160"/>
      <c r="TSZ20" s="160"/>
      <c r="TTA20" s="160"/>
      <c r="TTB20" s="160"/>
      <c r="TTC20" s="160"/>
      <c r="TTD20" s="160"/>
      <c r="TTE20" s="160"/>
      <c r="TTF20" s="160"/>
      <c r="TTG20" s="160"/>
      <c r="TTH20" s="160"/>
      <c r="TTI20" s="160"/>
      <c r="TTJ20" s="160"/>
      <c r="TTK20" s="160"/>
      <c r="TTL20" s="160"/>
      <c r="TTM20" s="160"/>
      <c r="TTN20" s="160"/>
      <c r="TTO20" s="160"/>
      <c r="TTP20" s="160"/>
      <c r="TTQ20" s="160"/>
      <c r="TTR20" s="160"/>
      <c r="TTS20" s="160"/>
      <c r="TTT20" s="160"/>
      <c r="TTU20" s="160"/>
      <c r="TTV20" s="160"/>
      <c r="TTW20" s="160"/>
      <c r="TTX20" s="160"/>
      <c r="TTY20" s="160"/>
      <c r="TTZ20" s="160"/>
      <c r="TUA20" s="160"/>
      <c r="TUB20" s="160"/>
      <c r="TUC20" s="160"/>
      <c r="TUD20" s="160"/>
      <c r="TUE20" s="160"/>
      <c r="TUF20" s="160"/>
      <c r="TUG20" s="160"/>
      <c r="TUH20" s="160"/>
      <c r="TUI20" s="160"/>
      <c r="TUJ20" s="160"/>
      <c r="TUK20" s="160"/>
      <c r="TUL20" s="160"/>
      <c r="TUM20" s="160"/>
      <c r="TUN20" s="160"/>
      <c r="TUO20" s="160"/>
      <c r="TUP20" s="160"/>
      <c r="TUQ20" s="160"/>
      <c r="TUR20" s="160"/>
      <c r="TUS20" s="160"/>
      <c r="TUT20" s="160"/>
      <c r="TUU20" s="160"/>
      <c r="TUV20" s="160"/>
      <c r="TUW20" s="160"/>
      <c r="TUX20" s="160"/>
      <c r="TUY20" s="160"/>
      <c r="TUZ20" s="160"/>
      <c r="TVA20" s="160"/>
      <c r="TVB20" s="160"/>
      <c r="TVC20" s="160"/>
      <c r="TVD20" s="160"/>
      <c r="TVE20" s="160"/>
      <c r="TVF20" s="160"/>
      <c r="TVG20" s="160"/>
      <c r="TVH20" s="160"/>
      <c r="TVI20" s="160"/>
      <c r="TVJ20" s="160"/>
      <c r="TVK20" s="160"/>
      <c r="TVL20" s="160"/>
      <c r="TVM20" s="160"/>
      <c r="TVN20" s="160"/>
      <c r="TVO20" s="160"/>
      <c r="TVP20" s="160"/>
      <c r="TVQ20" s="160"/>
      <c r="TVR20" s="160"/>
      <c r="TVS20" s="160"/>
      <c r="TVT20" s="160"/>
      <c r="TVU20" s="160"/>
      <c r="TVV20" s="160"/>
      <c r="TVW20" s="160"/>
      <c r="TVX20" s="160"/>
      <c r="TVY20" s="160"/>
      <c r="TVZ20" s="160"/>
      <c r="TWA20" s="160"/>
      <c r="TWB20" s="160"/>
      <c r="TWC20" s="160"/>
      <c r="TWD20" s="160"/>
      <c r="TWE20" s="160"/>
      <c r="TWF20" s="160"/>
      <c r="TWG20" s="160"/>
      <c r="TWH20" s="160"/>
      <c r="TWI20" s="160"/>
      <c r="TWJ20" s="160"/>
      <c r="TWK20" s="160"/>
      <c r="TWL20" s="160"/>
      <c r="TWM20" s="160"/>
      <c r="TWN20" s="160"/>
      <c r="TWO20" s="160"/>
      <c r="TWP20" s="160"/>
      <c r="TWQ20" s="160"/>
      <c r="TWR20" s="160"/>
      <c r="TWS20" s="160"/>
      <c r="TWT20" s="160"/>
      <c r="TWU20" s="160"/>
      <c r="TWV20" s="160"/>
      <c r="TWW20" s="160"/>
      <c r="TWX20" s="160"/>
      <c r="TWY20" s="160"/>
      <c r="TWZ20" s="160"/>
      <c r="TXA20" s="160"/>
      <c r="TXB20" s="160"/>
      <c r="TXC20" s="160"/>
      <c r="TXD20" s="160"/>
      <c r="TXE20" s="160"/>
      <c r="TXF20" s="160"/>
      <c r="TXG20" s="160"/>
      <c r="TXH20" s="160"/>
      <c r="TXI20" s="160"/>
      <c r="TXJ20" s="160"/>
      <c r="TXK20" s="160"/>
      <c r="TXL20" s="160"/>
      <c r="TXM20" s="160"/>
      <c r="TXN20" s="160"/>
      <c r="TXO20" s="160"/>
      <c r="TXP20" s="160"/>
      <c r="TXQ20" s="160"/>
      <c r="TXR20" s="160"/>
      <c r="TXS20" s="160"/>
      <c r="TXT20" s="160"/>
      <c r="TXU20" s="160"/>
      <c r="TXV20" s="160"/>
      <c r="TXW20" s="160"/>
      <c r="TXX20" s="160"/>
      <c r="TXY20" s="160"/>
      <c r="TXZ20" s="160"/>
      <c r="TYA20" s="160"/>
      <c r="TYB20" s="160"/>
      <c r="TYC20" s="160"/>
      <c r="TYD20" s="160"/>
      <c r="TYE20" s="160"/>
      <c r="TYF20" s="160"/>
      <c r="TYG20" s="160"/>
      <c r="TYH20" s="160"/>
      <c r="TYI20" s="160"/>
      <c r="TYJ20" s="160"/>
      <c r="TYK20" s="160"/>
      <c r="TYL20" s="160"/>
      <c r="TYM20" s="160"/>
      <c r="TYN20" s="160"/>
      <c r="TYO20" s="160"/>
      <c r="TYP20" s="160"/>
      <c r="TYQ20" s="160"/>
      <c r="TYR20" s="160"/>
      <c r="TYS20" s="160"/>
      <c r="TYT20" s="160"/>
      <c r="TYU20" s="160"/>
      <c r="TYV20" s="160"/>
      <c r="TYW20" s="160"/>
      <c r="TYX20" s="160"/>
      <c r="TYY20" s="160"/>
      <c r="TYZ20" s="160"/>
      <c r="TZA20" s="160"/>
      <c r="TZB20" s="160"/>
      <c r="TZC20" s="160"/>
      <c r="TZD20" s="160"/>
      <c r="TZE20" s="160"/>
      <c r="TZF20" s="160"/>
      <c r="TZG20" s="160"/>
      <c r="TZH20" s="160"/>
      <c r="TZI20" s="160"/>
      <c r="TZJ20" s="160"/>
      <c r="TZK20" s="160"/>
      <c r="TZL20" s="160"/>
      <c r="TZM20" s="160"/>
      <c r="TZN20" s="160"/>
      <c r="TZO20" s="160"/>
      <c r="TZP20" s="160"/>
      <c r="TZQ20" s="160"/>
      <c r="TZR20" s="160"/>
      <c r="TZS20" s="160"/>
      <c r="TZT20" s="160"/>
      <c r="TZU20" s="160"/>
      <c r="TZV20" s="160"/>
      <c r="TZW20" s="160"/>
      <c r="TZX20" s="160"/>
      <c r="TZY20" s="160"/>
      <c r="TZZ20" s="160"/>
      <c r="UAA20" s="160"/>
      <c r="UAB20" s="160"/>
      <c r="UAC20" s="160"/>
      <c r="UAD20" s="160"/>
      <c r="UAE20" s="160"/>
      <c r="UAF20" s="160"/>
      <c r="UAG20" s="160"/>
      <c r="UAH20" s="160"/>
      <c r="UAI20" s="160"/>
      <c r="UAJ20" s="160"/>
      <c r="UAK20" s="160"/>
      <c r="UAL20" s="160"/>
      <c r="UAM20" s="160"/>
      <c r="UAN20" s="160"/>
      <c r="UAO20" s="160"/>
      <c r="UAP20" s="160"/>
      <c r="UAQ20" s="160"/>
      <c r="UAR20" s="160"/>
      <c r="UAS20" s="160"/>
      <c r="UAT20" s="160"/>
      <c r="UAU20" s="160"/>
      <c r="UAV20" s="160"/>
      <c r="UAW20" s="160"/>
      <c r="UAX20" s="160"/>
      <c r="UAY20" s="160"/>
      <c r="UAZ20" s="160"/>
      <c r="UBA20" s="160"/>
      <c r="UBB20" s="160"/>
      <c r="UBC20" s="160"/>
      <c r="UBD20" s="160"/>
      <c r="UBE20" s="160"/>
      <c r="UBF20" s="160"/>
      <c r="UBG20" s="160"/>
      <c r="UBH20" s="160"/>
      <c r="UBI20" s="160"/>
      <c r="UBJ20" s="160"/>
      <c r="UBK20" s="160"/>
      <c r="UBL20" s="160"/>
      <c r="UBM20" s="160"/>
      <c r="UBN20" s="160"/>
      <c r="UBO20" s="160"/>
      <c r="UBP20" s="160"/>
      <c r="UBQ20" s="160"/>
      <c r="UBR20" s="160"/>
      <c r="UBS20" s="160"/>
      <c r="UBT20" s="160"/>
      <c r="UBU20" s="160"/>
      <c r="UBV20" s="160"/>
      <c r="UBW20" s="160"/>
      <c r="UBX20" s="160"/>
      <c r="UBY20" s="160"/>
      <c r="UBZ20" s="160"/>
      <c r="UCA20" s="160"/>
      <c r="UCB20" s="160"/>
      <c r="UCC20" s="160"/>
      <c r="UCD20" s="160"/>
      <c r="UCE20" s="160"/>
      <c r="UCF20" s="160"/>
      <c r="UCG20" s="160"/>
      <c r="UCH20" s="160"/>
      <c r="UCI20" s="160"/>
      <c r="UCJ20" s="160"/>
      <c r="UCK20" s="160"/>
      <c r="UCL20" s="160"/>
      <c r="UCM20" s="160"/>
      <c r="UCN20" s="160"/>
      <c r="UCO20" s="160"/>
      <c r="UCP20" s="160"/>
      <c r="UCQ20" s="160"/>
      <c r="UCR20" s="160"/>
      <c r="UCS20" s="160"/>
      <c r="UCT20" s="160"/>
      <c r="UCU20" s="160"/>
      <c r="UCV20" s="160"/>
      <c r="UCW20" s="160"/>
      <c r="UCX20" s="160"/>
      <c r="UCY20" s="160"/>
      <c r="UCZ20" s="160"/>
      <c r="UDA20" s="160"/>
      <c r="UDB20" s="160"/>
      <c r="UDC20" s="160"/>
      <c r="UDD20" s="160"/>
      <c r="UDE20" s="160"/>
      <c r="UDF20" s="160"/>
      <c r="UDG20" s="160"/>
      <c r="UDH20" s="160"/>
      <c r="UDI20" s="160"/>
      <c r="UDJ20" s="160"/>
      <c r="UDK20" s="160"/>
      <c r="UDL20" s="160"/>
      <c r="UDM20" s="160"/>
      <c r="UDN20" s="160"/>
      <c r="UDO20" s="160"/>
      <c r="UDP20" s="160"/>
      <c r="UDQ20" s="160"/>
      <c r="UDR20" s="160"/>
      <c r="UDS20" s="160"/>
      <c r="UDT20" s="160"/>
      <c r="UDU20" s="160"/>
      <c r="UDV20" s="160"/>
      <c r="UDW20" s="160"/>
      <c r="UDX20" s="160"/>
      <c r="UDY20" s="160"/>
      <c r="UDZ20" s="160"/>
      <c r="UEA20" s="160"/>
      <c r="UEB20" s="160"/>
      <c r="UEC20" s="160"/>
      <c r="UED20" s="160"/>
      <c r="UEE20" s="160"/>
      <c r="UEF20" s="160"/>
      <c r="UEG20" s="160"/>
      <c r="UEH20" s="160"/>
      <c r="UEI20" s="160"/>
      <c r="UEJ20" s="160"/>
      <c r="UEK20" s="160"/>
      <c r="UEL20" s="160"/>
      <c r="UEM20" s="160"/>
      <c r="UEN20" s="160"/>
      <c r="UEO20" s="160"/>
      <c r="UEP20" s="160"/>
      <c r="UEQ20" s="160"/>
      <c r="UER20" s="160"/>
      <c r="UES20" s="160"/>
      <c r="UET20" s="160"/>
      <c r="UEU20" s="160"/>
      <c r="UEV20" s="160"/>
      <c r="UEW20" s="160"/>
      <c r="UEX20" s="160"/>
      <c r="UEY20" s="160"/>
      <c r="UEZ20" s="160"/>
      <c r="UFA20" s="160"/>
      <c r="UFB20" s="160"/>
      <c r="UFC20" s="160"/>
      <c r="UFD20" s="160"/>
      <c r="UFE20" s="160"/>
      <c r="UFF20" s="160"/>
      <c r="UFG20" s="160"/>
      <c r="UFH20" s="160"/>
      <c r="UFI20" s="160"/>
      <c r="UFJ20" s="160"/>
      <c r="UFK20" s="160"/>
      <c r="UFL20" s="160"/>
      <c r="UFM20" s="160"/>
      <c r="UFN20" s="160"/>
      <c r="UFO20" s="160"/>
      <c r="UFP20" s="160"/>
      <c r="UFQ20" s="160"/>
      <c r="UFR20" s="160"/>
      <c r="UFS20" s="160"/>
      <c r="UFT20" s="160"/>
      <c r="UFU20" s="160"/>
      <c r="UFV20" s="160"/>
      <c r="UFW20" s="160"/>
      <c r="UFX20" s="160"/>
      <c r="UFY20" s="160"/>
      <c r="UFZ20" s="160"/>
      <c r="UGA20" s="160"/>
      <c r="UGB20" s="160"/>
      <c r="UGC20" s="160"/>
      <c r="UGD20" s="160"/>
      <c r="UGE20" s="160"/>
      <c r="UGF20" s="160"/>
      <c r="UGG20" s="160"/>
      <c r="UGH20" s="160"/>
      <c r="UGI20" s="160"/>
      <c r="UGJ20" s="160"/>
      <c r="UGK20" s="160"/>
      <c r="UGL20" s="160"/>
      <c r="UGM20" s="160"/>
      <c r="UGN20" s="160"/>
      <c r="UGO20" s="160"/>
      <c r="UGP20" s="160"/>
      <c r="UGQ20" s="160"/>
      <c r="UGR20" s="160"/>
      <c r="UGS20" s="160"/>
      <c r="UGT20" s="160"/>
      <c r="UGU20" s="160"/>
      <c r="UGV20" s="160"/>
      <c r="UGW20" s="160"/>
      <c r="UGX20" s="160"/>
      <c r="UGY20" s="160"/>
      <c r="UGZ20" s="160"/>
      <c r="UHA20" s="160"/>
      <c r="UHB20" s="160"/>
      <c r="UHC20" s="160"/>
      <c r="UHD20" s="160"/>
      <c r="UHE20" s="160"/>
      <c r="UHF20" s="160"/>
      <c r="UHG20" s="160"/>
      <c r="UHH20" s="160"/>
      <c r="UHI20" s="160"/>
      <c r="UHJ20" s="160"/>
      <c r="UHK20" s="160"/>
      <c r="UHL20" s="160"/>
      <c r="UHM20" s="160"/>
      <c r="UHN20" s="160"/>
      <c r="UHO20" s="160"/>
      <c r="UHP20" s="160"/>
      <c r="UHQ20" s="160"/>
      <c r="UHR20" s="160"/>
      <c r="UHS20" s="160"/>
      <c r="UHT20" s="160"/>
      <c r="UHU20" s="160"/>
      <c r="UHV20" s="160"/>
      <c r="UHW20" s="160"/>
      <c r="UHX20" s="160"/>
      <c r="UHY20" s="160"/>
      <c r="UHZ20" s="160"/>
      <c r="UIA20" s="160"/>
      <c r="UIB20" s="160"/>
      <c r="UIC20" s="160"/>
      <c r="UID20" s="160"/>
      <c r="UIE20" s="160"/>
      <c r="UIF20" s="160"/>
      <c r="UIG20" s="160"/>
      <c r="UIH20" s="160"/>
      <c r="UII20" s="160"/>
      <c r="UIJ20" s="160"/>
      <c r="UIK20" s="160"/>
      <c r="UIL20" s="160"/>
      <c r="UIM20" s="160"/>
      <c r="UIN20" s="160"/>
      <c r="UIO20" s="160"/>
      <c r="UIP20" s="160"/>
      <c r="UIQ20" s="160"/>
      <c r="UIR20" s="160"/>
      <c r="UIS20" s="160"/>
      <c r="UIT20" s="160"/>
      <c r="UIU20" s="160"/>
      <c r="UIV20" s="160"/>
      <c r="UIW20" s="160"/>
      <c r="UIX20" s="160"/>
      <c r="UIY20" s="160"/>
      <c r="UIZ20" s="160"/>
      <c r="UJA20" s="160"/>
      <c r="UJB20" s="160"/>
      <c r="UJC20" s="160"/>
      <c r="UJD20" s="160"/>
      <c r="UJE20" s="160"/>
      <c r="UJF20" s="160"/>
      <c r="UJG20" s="160"/>
      <c r="UJH20" s="160"/>
      <c r="UJI20" s="160"/>
      <c r="UJJ20" s="160"/>
      <c r="UJK20" s="160"/>
      <c r="UJL20" s="160"/>
      <c r="UJM20" s="160"/>
      <c r="UJN20" s="160"/>
      <c r="UJO20" s="160"/>
      <c r="UJP20" s="160"/>
      <c r="UJQ20" s="160"/>
      <c r="UJR20" s="160"/>
      <c r="UJS20" s="160"/>
      <c r="UJT20" s="160"/>
      <c r="UJU20" s="160"/>
      <c r="UJV20" s="160"/>
      <c r="UJW20" s="160"/>
      <c r="UJX20" s="160"/>
      <c r="UJY20" s="160"/>
      <c r="UJZ20" s="160"/>
      <c r="UKA20" s="160"/>
      <c r="UKB20" s="160"/>
      <c r="UKC20" s="160"/>
      <c r="UKD20" s="160"/>
      <c r="UKE20" s="160"/>
      <c r="UKF20" s="160"/>
      <c r="UKG20" s="160"/>
      <c r="UKH20" s="160"/>
      <c r="UKI20" s="160"/>
      <c r="UKJ20" s="160"/>
      <c r="UKK20" s="160"/>
      <c r="UKL20" s="160"/>
      <c r="UKM20" s="160"/>
      <c r="UKN20" s="160"/>
      <c r="UKO20" s="160"/>
      <c r="UKP20" s="160"/>
      <c r="UKQ20" s="160"/>
      <c r="UKR20" s="160"/>
      <c r="UKS20" s="160"/>
      <c r="UKT20" s="160"/>
      <c r="UKU20" s="160"/>
      <c r="UKV20" s="160"/>
      <c r="UKW20" s="160"/>
      <c r="UKX20" s="160"/>
      <c r="UKY20" s="160"/>
      <c r="UKZ20" s="160"/>
      <c r="ULA20" s="160"/>
      <c r="ULB20" s="160"/>
      <c r="ULC20" s="160"/>
      <c r="ULD20" s="160"/>
      <c r="ULE20" s="160"/>
      <c r="ULF20" s="160"/>
      <c r="ULG20" s="160"/>
      <c r="ULH20" s="160"/>
      <c r="ULI20" s="160"/>
      <c r="ULJ20" s="160"/>
      <c r="ULK20" s="160"/>
      <c r="ULL20" s="160"/>
      <c r="ULM20" s="160"/>
      <c r="ULN20" s="160"/>
      <c r="ULO20" s="160"/>
      <c r="ULP20" s="160"/>
      <c r="ULQ20" s="160"/>
      <c r="ULR20" s="160"/>
      <c r="ULS20" s="160"/>
      <c r="ULT20" s="160"/>
      <c r="ULU20" s="160"/>
      <c r="ULV20" s="160"/>
      <c r="ULW20" s="160"/>
      <c r="ULX20" s="160"/>
      <c r="ULY20" s="160"/>
      <c r="ULZ20" s="160"/>
      <c r="UMA20" s="160"/>
      <c r="UMB20" s="160"/>
      <c r="UMC20" s="160"/>
      <c r="UMD20" s="160"/>
      <c r="UME20" s="160"/>
      <c r="UMF20" s="160"/>
      <c r="UMG20" s="160"/>
      <c r="UMH20" s="160"/>
      <c r="UMI20" s="160"/>
      <c r="UMJ20" s="160"/>
      <c r="UMK20" s="160"/>
      <c r="UML20" s="160"/>
      <c r="UMM20" s="160"/>
      <c r="UMN20" s="160"/>
      <c r="UMO20" s="160"/>
      <c r="UMP20" s="160"/>
      <c r="UMQ20" s="160"/>
      <c r="UMR20" s="160"/>
      <c r="UMS20" s="160"/>
      <c r="UMT20" s="160"/>
      <c r="UMU20" s="160"/>
      <c r="UMV20" s="160"/>
      <c r="UMW20" s="160"/>
      <c r="UMX20" s="160"/>
      <c r="UMY20" s="160"/>
      <c r="UMZ20" s="160"/>
      <c r="UNA20" s="160"/>
      <c r="UNB20" s="160"/>
      <c r="UNC20" s="160"/>
      <c r="UND20" s="160"/>
      <c r="UNE20" s="160"/>
      <c r="UNF20" s="160"/>
      <c r="UNG20" s="160"/>
      <c r="UNH20" s="160"/>
      <c r="UNI20" s="160"/>
      <c r="UNJ20" s="160"/>
      <c r="UNK20" s="160"/>
      <c r="UNL20" s="160"/>
      <c r="UNM20" s="160"/>
      <c r="UNN20" s="160"/>
      <c r="UNO20" s="160"/>
      <c r="UNP20" s="160"/>
      <c r="UNQ20" s="160"/>
      <c r="UNR20" s="160"/>
      <c r="UNS20" s="160"/>
      <c r="UNT20" s="160"/>
      <c r="UNU20" s="160"/>
      <c r="UNV20" s="160"/>
      <c r="UNW20" s="160"/>
      <c r="UNX20" s="160"/>
      <c r="UNY20" s="160"/>
      <c r="UNZ20" s="160"/>
      <c r="UOA20" s="160"/>
      <c r="UOB20" s="160"/>
      <c r="UOC20" s="160"/>
      <c r="UOD20" s="160"/>
      <c r="UOE20" s="160"/>
      <c r="UOF20" s="160"/>
      <c r="UOG20" s="160"/>
      <c r="UOH20" s="160"/>
      <c r="UOI20" s="160"/>
      <c r="UOJ20" s="160"/>
      <c r="UOK20" s="160"/>
      <c r="UOL20" s="160"/>
      <c r="UOM20" s="160"/>
      <c r="UON20" s="160"/>
      <c r="UOO20" s="160"/>
      <c r="UOP20" s="160"/>
      <c r="UOQ20" s="160"/>
      <c r="UOR20" s="160"/>
      <c r="UOS20" s="160"/>
      <c r="UOT20" s="160"/>
      <c r="UOU20" s="160"/>
      <c r="UOV20" s="160"/>
      <c r="UOW20" s="160"/>
      <c r="UOX20" s="160"/>
      <c r="UOY20" s="160"/>
      <c r="UOZ20" s="160"/>
      <c r="UPA20" s="160"/>
      <c r="UPB20" s="160"/>
      <c r="UPC20" s="160"/>
      <c r="UPD20" s="160"/>
      <c r="UPE20" s="160"/>
      <c r="UPF20" s="160"/>
      <c r="UPG20" s="160"/>
      <c r="UPH20" s="160"/>
      <c r="UPI20" s="160"/>
      <c r="UPJ20" s="160"/>
      <c r="UPK20" s="160"/>
      <c r="UPL20" s="160"/>
      <c r="UPM20" s="160"/>
      <c r="UPN20" s="160"/>
      <c r="UPO20" s="160"/>
      <c r="UPP20" s="160"/>
      <c r="UPQ20" s="160"/>
      <c r="UPR20" s="160"/>
      <c r="UPS20" s="160"/>
      <c r="UPT20" s="160"/>
      <c r="UPU20" s="160"/>
      <c r="UPV20" s="160"/>
      <c r="UPW20" s="160"/>
      <c r="UPX20" s="160"/>
      <c r="UPY20" s="160"/>
      <c r="UPZ20" s="160"/>
      <c r="UQA20" s="160"/>
      <c r="UQB20" s="160"/>
      <c r="UQC20" s="160"/>
      <c r="UQD20" s="160"/>
      <c r="UQE20" s="160"/>
      <c r="UQF20" s="160"/>
      <c r="UQG20" s="160"/>
      <c r="UQH20" s="160"/>
      <c r="UQI20" s="160"/>
      <c r="UQJ20" s="160"/>
      <c r="UQK20" s="160"/>
      <c r="UQL20" s="160"/>
      <c r="UQM20" s="160"/>
      <c r="UQN20" s="160"/>
      <c r="UQO20" s="160"/>
      <c r="UQP20" s="160"/>
      <c r="UQQ20" s="160"/>
      <c r="UQR20" s="160"/>
      <c r="UQS20" s="160"/>
      <c r="UQT20" s="160"/>
      <c r="UQU20" s="160"/>
      <c r="UQV20" s="160"/>
      <c r="UQW20" s="160"/>
      <c r="UQX20" s="160"/>
      <c r="UQY20" s="160"/>
      <c r="UQZ20" s="160"/>
      <c r="URA20" s="160"/>
      <c r="URB20" s="160"/>
      <c r="URC20" s="160"/>
      <c r="URD20" s="160"/>
      <c r="URE20" s="160"/>
      <c r="URF20" s="160"/>
      <c r="URG20" s="160"/>
      <c r="URH20" s="160"/>
      <c r="URI20" s="160"/>
      <c r="URJ20" s="160"/>
      <c r="URK20" s="160"/>
      <c r="URL20" s="160"/>
      <c r="URM20" s="160"/>
      <c r="URN20" s="160"/>
      <c r="URO20" s="160"/>
      <c r="URP20" s="160"/>
      <c r="URQ20" s="160"/>
      <c r="URR20" s="160"/>
      <c r="URS20" s="160"/>
      <c r="URT20" s="160"/>
      <c r="URU20" s="160"/>
      <c r="URV20" s="160"/>
      <c r="URW20" s="160"/>
      <c r="URX20" s="160"/>
      <c r="URY20" s="160"/>
      <c r="URZ20" s="160"/>
      <c r="USA20" s="160"/>
      <c r="USB20" s="160"/>
      <c r="USC20" s="160"/>
      <c r="USD20" s="160"/>
      <c r="USE20" s="160"/>
      <c r="USF20" s="160"/>
      <c r="USG20" s="160"/>
      <c r="USH20" s="160"/>
      <c r="USI20" s="160"/>
      <c r="USJ20" s="160"/>
      <c r="USK20" s="160"/>
      <c r="USL20" s="160"/>
      <c r="USM20" s="160"/>
      <c r="USN20" s="160"/>
      <c r="USO20" s="160"/>
      <c r="USP20" s="160"/>
      <c r="USQ20" s="160"/>
      <c r="USR20" s="160"/>
      <c r="USS20" s="160"/>
      <c r="UST20" s="160"/>
      <c r="USU20" s="160"/>
      <c r="USV20" s="160"/>
      <c r="USW20" s="160"/>
      <c r="USX20" s="160"/>
      <c r="USY20" s="160"/>
      <c r="USZ20" s="160"/>
      <c r="UTA20" s="160"/>
      <c r="UTB20" s="160"/>
      <c r="UTC20" s="160"/>
      <c r="UTD20" s="160"/>
      <c r="UTE20" s="160"/>
      <c r="UTF20" s="160"/>
      <c r="UTG20" s="160"/>
      <c r="UTH20" s="160"/>
      <c r="UTI20" s="160"/>
      <c r="UTJ20" s="160"/>
      <c r="UTK20" s="160"/>
      <c r="UTL20" s="160"/>
      <c r="UTM20" s="160"/>
      <c r="UTN20" s="160"/>
      <c r="UTO20" s="160"/>
      <c r="UTP20" s="160"/>
      <c r="UTQ20" s="160"/>
      <c r="UTR20" s="160"/>
      <c r="UTS20" s="160"/>
      <c r="UTT20" s="160"/>
      <c r="UTU20" s="160"/>
      <c r="UTV20" s="160"/>
      <c r="UTW20" s="160"/>
      <c r="UTX20" s="160"/>
      <c r="UTY20" s="160"/>
      <c r="UTZ20" s="160"/>
      <c r="UUA20" s="160"/>
      <c r="UUB20" s="160"/>
      <c r="UUC20" s="160"/>
      <c r="UUD20" s="160"/>
      <c r="UUE20" s="160"/>
      <c r="UUF20" s="160"/>
      <c r="UUG20" s="160"/>
      <c r="UUH20" s="160"/>
      <c r="UUI20" s="160"/>
      <c r="UUJ20" s="160"/>
      <c r="UUK20" s="160"/>
      <c r="UUL20" s="160"/>
      <c r="UUM20" s="160"/>
      <c r="UUN20" s="160"/>
      <c r="UUO20" s="160"/>
      <c r="UUP20" s="160"/>
      <c r="UUQ20" s="160"/>
      <c r="UUR20" s="160"/>
      <c r="UUS20" s="160"/>
      <c r="UUT20" s="160"/>
      <c r="UUU20" s="160"/>
      <c r="UUV20" s="160"/>
      <c r="UUW20" s="160"/>
      <c r="UUX20" s="160"/>
      <c r="UUY20" s="160"/>
      <c r="UUZ20" s="160"/>
      <c r="UVA20" s="160"/>
      <c r="UVB20" s="160"/>
      <c r="UVC20" s="160"/>
      <c r="UVD20" s="160"/>
      <c r="UVE20" s="160"/>
      <c r="UVF20" s="160"/>
      <c r="UVG20" s="160"/>
      <c r="UVH20" s="160"/>
      <c r="UVI20" s="160"/>
      <c r="UVJ20" s="160"/>
      <c r="UVK20" s="160"/>
      <c r="UVL20" s="160"/>
      <c r="UVM20" s="160"/>
      <c r="UVN20" s="160"/>
      <c r="UVO20" s="160"/>
      <c r="UVP20" s="160"/>
      <c r="UVQ20" s="160"/>
      <c r="UVR20" s="160"/>
      <c r="UVS20" s="160"/>
      <c r="UVT20" s="160"/>
      <c r="UVU20" s="160"/>
      <c r="UVV20" s="160"/>
      <c r="UVW20" s="160"/>
      <c r="UVX20" s="160"/>
      <c r="UVY20" s="160"/>
      <c r="UVZ20" s="160"/>
      <c r="UWA20" s="160"/>
      <c r="UWB20" s="160"/>
      <c r="UWC20" s="160"/>
      <c r="UWD20" s="160"/>
      <c r="UWE20" s="160"/>
      <c r="UWF20" s="160"/>
      <c r="UWG20" s="160"/>
      <c r="UWH20" s="160"/>
      <c r="UWI20" s="160"/>
      <c r="UWJ20" s="160"/>
      <c r="UWK20" s="160"/>
      <c r="UWL20" s="160"/>
      <c r="UWM20" s="160"/>
      <c r="UWN20" s="160"/>
      <c r="UWO20" s="160"/>
      <c r="UWP20" s="160"/>
      <c r="UWQ20" s="160"/>
      <c r="UWR20" s="160"/>
      <c r="UWS20" s="160"/>
      <c r="UWT20" s="160"/>
      <c r="UWU20" s="160"/>
      <c r="UWV20" s="160"/>
      <c r="UWW20" s="160"/>
      <c r="UWX20" s="160"/>
      <c r="UWY20" s="160"/>
      <c r="UWZ20" s="160"/>
      <c r="UXA20" s="160"/>
      <c r="UXB20" s="160"/>
      <c r="UXC20" s="160"/>
      <c r="UXD20" s="160"/>
      <c r="UXE20" s="160"/>
      <c r="UXF20" s="160"/>
      <c r="UXG20" s="160"/>
      <c r="UXH20" s="160"/>
      <c r="UXI20" s="160"/>
      <c r="UXJ20" s="160"/>
      <c r="UXK20" s="160"/>
      <c r="UXL20" s="160"/>
      <c r="UXM20" s="160"/>
      <c r="UXN20" s="160"/>
      <c r="UXO20" s="160"/>
      <c r="UXP20" s="160"/>
      <c r="UXQ20" s="160"/>
      <c r="UXR20" s="160"/>
      <c r="UXS20" s="160"/>
      <c r="UXT20" s="160"/>
      <c r="UXU20" s="160"/>
      <c r="UXV20" s="160"/>
      <c r="UXW20" s="160"/>
      <c r="UXX20" s="160"/>
      <c r="UXY20" s="160"/>
      <c r="UXZ20" s="160"/>
      <c r="UYA20" s="160"/>
      <c r="UYB20" s="160"/>
      <c r="UYC20" s="160"/>
      <c r="UYD20" s="160"/>
      <c r="UYE20" s="160"/>
      <c r="UYF20" s="160"/>
      <c r="UYG20" s="160"/>
      <c r="UYH20" s="160"/>
      <c r="UYI20" s="160"/>
      <c r="UYJ20" s="160"/>
      <c r="UYK20" s="160"/>
      <c r="UYL20" s="160"/>
      <c r="UYM20" s="160"/>
      <c r="UYN20" s="160"/>
      <c r="UYO20" s="160"/>
      <c r="UYP20" s="160"/>
      <c r="UYQ20" s="160"/>
      <c r="UYR20" s="160"/>
      <c r="UYS20" s="160"/>
      <c r="UYT20" s="160"/>
      <c r="UYU20" s="160"/>
      <c r="UYV20" s="160"/>
      <c r="UYW20" s="160"/>
      <c r="UYX20" s="160"/>
      <c r="UYY20" s="160"/>
      <c r="UYZ20" s="160"/>
      <c r="UZA20" s="160"/>
      <c r="UZB20" s="160"/>
      <c r="UZC20" s="160"/>
      <c r="UZD20" s="160"/>
      <c r="UZE20" s="160"/>
      <c r="UZF20" s="160"/>
      <c r="UZG20" s="160"/>
      <c r="UZH20" s="160"/>
      <c r="UZI20" s="160"/>
      <c r="UZJ20" s="160"/>
      <c r="UZK20" s="160"/>
      <c r="UZL20" s="160"/>
      <c r="UZM20" s="160"/>
      <c r="UZN20" s="160"/>
      <c r="UZO20" s="160"/>
      <c r="UZP20" s="160"/>
      <c r="UZQ20" s="160"/>
      <c r="UZR20" s="160"/>
      <c r="UZS20" s="160"/>
      <c r="UZT20" s="160"/>
      <c r="UZU20" s="160"/>
      <c r="UZV20" s="160"/>
      <c r="UZW20" s="160"/>
      <c r="UZX20" s="160"/>
      <c r="UZY20" s="160"/>
      <c r="UZZ20" s="160"/>
      <c r="VAA20" s="160"/>
      <c r="VAB20" s="160"/>
      <c r="VAC20" s="160"/>
      <c r="VAD20" s="160"/>
      <c r="VAE20" s="160"/>
      <c r="VAF20" s="160"/>
      <c r="VAG20" s="160"/>
      <c r="VAH20" s="160"/>
      <c r="VAI20" s="160"/>
      <c r="VAJ20" s="160"/>
      <c r="VAK20" s="160"/>
      <c r="VAL20" s="160"/>
      <c r="VAM20" s="160"/>
      <c r="VAN20" s="160"/>
      <c r="VAO20" s="160"/>
      <c r="VAP20" s="160"/>
      <c r="VAQ20" s="160"/>
      <c r="VAR20" s="160"/>
      <c r="VAS20" s="160"/>
      <c r="VAT20" s="160"/>
      <c r="VAU20" s="160"/>
      <c r="VAV20" s="160"/>
      <c r="VAW20" s="160"/>
      <c r="VAX20" s="160"/>
      <c r="VAY20" s="160"/>
      <c r="VAZ20" s="160"/>
      <c r="VBA20" s="160"/>
      <c r="VBB20" s="160"/>
      <c r="VBC20" s="160"/>
      <c r="VBD20" s="160"/>
      <c r="VBE20" s="160"/>
      <c r="VBF20" s="160"/>
      <c r="VBG20" s="160"/>
      <c r="VBH20" s="160"/>
      <c r="VBI20" s="160"/>
      <c r="VBJ20" s="160"/>
      <c r="VBK20" s="160"/>
      <c r="VBL20" s="160"/>
      <c r="VBM20" s="160"/>
      <c r="VBN20" s="160"/>
      <c r="VBO20" s="160"/>
      <c r="VBP20" s="160"/>
      <c r="VBQ20" s="160"/>
      <c r="VBR20" s="160"/>
      <c r="VBS20" s="160"/>
      <c r="VBT20" s="160"/>
      <c r="VBU20" s="160"/>
      <c r="VBV20" s="160"/>
      <c r="VBW20" s="160"/>
      <c r="VBX20" s="160"/>
      <c r="VBY20" s="160"/>
      <c r="VBZ20" s="160"/>
      <c r="VCA20" s="160"/>
      <c r="VCB20" s="160"/>
      <c r="VCC20" s="160"/>
      <c r="VCD20" s="160"/>
      <c r="VCE20" s="160"/>
      <c r="VCF20" s="160"/>
      <c r="VCG20" s="160"/>
      <c r="VCH20" s="160"/>
      <c r="VCI20" s="160"/>
      <c r="VCJ20" s="160"/>
      <c r="VCK20" s="160"/>
      <c r="VCL20" s="160"/>
      <c r="VCM20" s="160"/>
      <c r="VCN20" s="160"/>
      <c r="VCO20" s="160"/>
      <c r="VCP20" s="160"/>
      <c r="VCQ20" s="160"/>
      <c r="VCR20" s="160"/>
      <c r="VCS20" s="160"/>
      <c r="VCT20" s="160"/>
      <c r="VCU20" s="160"/>
      <c r="VCV20" s="160"/>
      <c r="VCW20" s="160"/>
      <c r="VCX20" s="160"/>
      <c r="VCY20" s="160"/>
      <c r="VCZ20" s="160"/>
      <c r="VDA20" s="160"/>
      <c r="VDB20" s="160"/>
      <c r="VDC20" s="160"/>
      <c r="VDD20" s="160"/>
      <c r="VDE20" s="160"/>
      <c r="VDF20" s="160"/>
      <c r="VDG20" s="160"/>
      <c r="VDH20" s="160"/>
      <c r="VDI20" s="160"/>
      <c r="VDJ20" s="160"/>
      <c r="VDK20" s="160"/>
      <c r="VDL20" s="160"/>
      <c r="VDM20" s="160"/>
      <c r="VDN20" s="160"/>
      <c r="VDO20" s="160"/>
      <c r="VDP20" s="160"/>
      <c r="VDQ20" s="160"/>
      <c r="VDR20" s="160"/>
      <c r="VDS20" s="160"/>
      <c r="VDT20" s="160"/>
      <c r="VDU20" s="160"/>
      <c r="VDV20" s="160"/>
      <c r="VDW20" s="160"/>
      <c r="VDX20" s="160"/>
      <c r="VDY20" s="160"/>
      <c r="VDZ20" s="160"/>
      <c r="VEA20" s="160"/>
      <c r="VEB20" s="160"/>
      <c r="VEC20" s="160"/>
      <c r="VED20" s="160"/>
      <c r="VEE20" s="160"/>
      <c r="VEF20" s="160"/>
      <c r="VEG20" s="160"/>
      <c r="VEH20" s="160"/>
      <c r="VEI20" s="160"/>
      <c r="VEJ20" s="160"/>
      <c r="VEK20" s="160"/>
      <c r="VEL20" s="160"/>
      <c r="VEM20" s="160"/>
      <c r="VEN20" s="160"/>
      <c r="VEO20" s="160"/>
      <c r="VEP20" s="160"/>
      <c r="VEQ20" s="160"/>
      <c r="VER20" s="160"/>
      <c r="VES20" s="160"/>
      <c r="VET20" s="160"/>
      <c r="VEU20" s="160"/>
      <c r="VEV20" s="160"/>
      <c r="VEW20" s="160"/>
      <c r="VEX20" s="160"/>
      <c r="VEY20" s="160"/>
      <c r="VEZ20" s="160"/>
      <c r="VFA20" s="160"/>
      <c r="VFB20" s="160"/>
      <c r="VFC20" s="160"/>
      <c r="VFD20" s="160"/>
      <c r="VFE20" s="160"/>
      <c r="VFF20" s="160"/>
      <c r="VFG20" s="160"/>
      <c r="VFH20" s="160"/>
      <c r="VFI20" s="160"/>
      <c r="VFJ20" s="160"/>
      <c r="VFK20" s="160"/>
      <c r="VFL20" s="160"/>
      <c r="VFM20" s="160"/>
      <c r="VFN20" s="160"/>
      <c r="VFO20" s="160"/>
      <c r="VFP20" s="160"/>
      <c r="VFQ20" s="160"/>
      <c r="VFR20" s="160"/>
      <c r="VFS20" s="160"/>
      <c r="VFT20" s="160"/>
      <c r="VFU20" s="160"/>
      <c r="VFV20" s="160"/>
      <c r="VFW20" s="160"/>
      <c r="VFX20" s="160"/>
      <c r="VFY20" s="160"/>
      <c r="VFZ20" s="160"/>
      <c r="VGA20" s="160"/>
      <c r="VGB20" s="160"/>
      <c r="VGC20" s="160"/>
      <c r="VGD20" s="160"/>
      <c r="VGE20" s="160"/>
      <c r="VGF20" s="160"/>
      <c r="VGG20" s="160"/>
      <c r="VGH20" s="160"/>
      <c r="VGI20" s="160"/>
      <c r="VGJ20" s="160"/>
      <c r="VGK20" s="160"/>
      <c r="VGL20" s="160"/>
      <c r="VGM20" s="160"/>
      <c r="VGN20" s="160"/>
      <c r="VGO20" s="160"/>
      <c r="VGP20" s="160"/>
      <c r="VGQ20" s="160"/>
      <c r="VGR20" s="160"/>
      <c r="VGS20" s="160"/>
      <c r="VGT20" s="160"/>
      <c r="VGU20" s="160"/>
      <c r="VGV20" s="160"/>
      <c r="VGW20" s="160"/>
      <c r="VGX20" s="160"/>
      <c r="VGY20" s="160"/>
      <c r="VGZ20" s="160"/>
      <c r="VHA20" s="160"/>
      <c r="VHB20" s="160"/>
      <c r="VHC20" s="160"/>
      <c r="VHD20" s="160"/>
      <c r="VHE20" s="160"/>
      <c r="VHF20" s="160"/>
      <c r="VHG20" s="160"/>
      <c r="VHH20" s="160"/>
      <c r="VHI20" s="160"/>
      <c r="VHJ20" s="160"/>
      <c r="VHK20" s="160"/>
      <c r="VHL20" s="160"/>
      <c r="VHM20" s="160"/>
      <c r="VHN20" s="160"/>
      <c r="VHO20" s="160"/>
      <c r="VHP20" s="160"/>
      <c r="VHQ20" s="160"/>
      <c r="VHR20" s="160"/>
      <c r="VHS20" s="160"/>
      <c r="VHT20" s="160"/>
      <c r="VHU20" s="160"/>
      <c r="VHV20" s="160"/>
      <c r="VHW20" s="160"/>
      <c r="VHX20" s="160"/>
      <c r="VHY20" s="160"/>
      <c r="VHZ20" s="160"/>
      <c r="VIA20" s="160"/>
      <c r="VIB20" s="160"/>
      <c r="VIC20" s="160"/>
      <c r="VID20" s="160"/>
      <c r="VIE20" s="160"/>
      <c r="VIF20" s="160"/>
      <c r="VIG20" s="160"/>
      <c r="VIH20" s="160"/>
      <c r="VII20" s="160"/>
      <c r="VIJ20" s="160"/>
      <c r="VIK20" s="160"/>
      <c r="VIL20" s="160"/>
      <c r="VIM20" s="160"/>
      <c r="VIN20" s="160"/>
      <c r="VIO20" s="160"/>
      <c r="VIP20" s="160"/>
      <c r="VIQ20" s="160"/>
      <c r="VIR20" s="160"/>
      <c r="VIS20" s="160"/>
      <c r="VIT20" s="160"/>
      <c r="VIU20" s="160"/>
      <c r="VIV20" s="160"/>
      <c r="VIW20" s="160"/>
      <c r="VIX20" s="160"/>
      <c r="VIY20" s="160"/>
      <c r="VIZ20" s="160"/>
      <c r="VJA20" s="160"/>
      <c r="VJB20" s="160"/>
      <c r="VJC20" s="160"/>
      <c r="VJD20" s="160"/>
      <c r="VJE20" s="160"/>
      <c r="VJF20" s="160"/>
      <c r="VJG20" s="160"/>
      <c r="VJH20" s="160"/>
      <c r="VJI20" s="160"/>
      <c r="VJJ20" s="160"/>
      <c r="VJK20" s="160"/>
      <c r="VJL20" s="160"/>
      <c r="VJM20" s="160"/>
      <c r="VJN20" s="160"/>
      <c r="VJO20" s="160"/>
      <c r="VJP20" s="160"/>
      <c r="VJQ20" s="160"/>
      <c r="VJR20" s="160"/>
      <c r="VJS20" s="160"/>
      <c r="VJT20" s="160"/>
      <c r="VJU20" s="160"/>
      <c r="VJV20" s="160"/>
      <c r="VJW20" s="160"/>
      <c r="VJX20" s="160"/>
      <c r="VJY20" s="160"/>
      <c r="VJZ20" s="160"/>
      <c r="VKA20" s="160"/>
      <c r="VKB20" s="160"/>
      <c r="VKC20" s="160"/>
      <c r="VKD20" s="160"/>
      <c r="VKE20" s="160"/>
      <c r="VKF20" s="160"/>
      <c r="VKG20" s="160"/>
      <c r="VKH20" s="160"/>
      <c r="VKI20" s="160"/>
      <c r="VKJ20" s="160"/>
      <c r="VKK20" s="160"/>
      <c r="VKL20" s="160"/>
      <c r="VKM20" s="160"/>
      <c r="VKN20" s="160"/>
      <c r="VKO20" s="160"/>
      <c r="VKP20" s="160"/>
      <c r="VKQ20" s="160"/>
      <c r="VKR20" s="160"/>
      <c r="VKS20" s="160"/>
      <c r="VKT20" s="160"/>
      <c r="VKU20" s="160"/>
      <c r="VKV20" s="160"/>
      <c r="VKW20" s="160"/>
      <c r="VKX20" s="160"/>
      <c r="VKY20" s="160"/>
      <c r="VKZ20" s="160"/>
      <c r="VLA20" s="160"/>
      <c r="VLB20" s="160"/>
      <c r="VLC20" s="160"/>
      <c r="VLD20" s="160"/>
      <c r="VLE20" s="160"/>
      <c r="VLF20" s="160"/>
      <c r="VLG20" s="160"/>
      <c r="VLH20" s="160"/>
      <c r="VLI20" s="160"/>
      <c r="VLJ20" s="160"/>
      <c r="VLK20" s="160"/>
      <c r="VLL20" s="160"/>
      <c r="VLM20" s="160"/>
      <c r="VLN20" s="160"/>
      <c r="VLO20" s="160"/>
      <c r="VLP20" s="160"/>
      <c r="VLQ20" s="160"/>
      <c r="VLR20" s="160"/>
      <c r="VLS20" s="160"/>
      <c r="VLT20" s="160"/>
      <c r="VLU20" s="160"/>
      <c r="VLV20" s="160"/>
      <c r="VLW20" s="160"/>
      <c r="VLX20" s="160"/>
      <c r="VLY20" s="160"/>
      <c r="VLZ20" s="160"/>
      <c r="VMA20" s="160"/>
      <c r="VMB20" s="160"/>
      <c r="VMC20" s="160"/>
      <c r="VMD20" s="160"/>
      <c r="VME20" s="160"/>
      <c r="VMF20" s="160"/>
      <c r="VMG20" s="160"/>
      <c r="VMH20" s="160"/>
      <c r="VMI20" s="160"/>
      <c r="VMJ20" s="160"/>
      <c r="VMK20" s="160"/>
      <c r="VML20" s="160"/>
      <c r="VMM20" s="160"/>
      <c r="VMN20" s="160"/>
      <c r="VMO20" s="160"/>
      <c r="VMP20" s="160"/>
      <c r="VMQ20" s="160"/>
      <c r="VMR20" s="160"/>
      <c r="VMS20" s="160"/>
      <c r="VMT20" s="160"/>
      <c r="VMU20" s="160"/>
      <c r="VMV20" s="160"/>
      <c r="VMW20" s="160"/>
      <c r="VMX20" s="160"/>
      <c r="VMY20" s="160"/>
      <c r="VMZ20" s="160"/>
      <c r="VNA20" s="160"/>
      <c r="VNB20" s="160"/>
      <c r="VNC20" s="160"/>
      <c r="VND20" s="160"/>
      <c r="VNE20" s="160"/>
      <c r="VNF20" s="160"/>
      <c r="VNG20" s="160"/>
      <c r="VNH20" s="160"/>
      <c r="VNI20" s="160"/>
      <c r="VNJ20" s="160"/>
      <c r="VNK20" s="160"/>
      <c r="VNL20" s="160"/>
      <c r="VNM20" s="160"/>
      <c r="VNN20" s="160"/>
      <c r="VNO20" s="160"/>
      <c r="VNP20" s="160"/>
      <c r="VNQ20" s="160"/>
      <c r="VNR20" s="160"/>
      <c r="VNS20" s="160"/>
      <c r="VNT20" s="160"/>
      <c r="VNU20" s="160"/>
      <c r="VNV20" s="160"/>
      <c r="VNW20" s="160"/>
      <c r="VNX20" s="160"/>
      <c r="VNY20" s="160"/>
      <c r="VNZ20" s="160"/>
      <c r="VOA20" s="160"/>
      <c r="VOB20" s="160"/>
      <c r="VOC20" s="160"/>
      <c r="VOD20" s="160"/>
      <c r="VOE20" s="160"/>
      <c r="VOF20" s="160"/>
      <c r="VOG20" s="160"/>
      <c r="VOH20" s="160"/>
      <c r="VOI20" s="160"/>
      <c r="VOJ20" s="160"/>
      <c r="VOK20" s="160"/>
      <c r="VOL20" s="160"/>
      <c r="VOM20" s="160"/>
      <c r="VON20" s="160"/>
      <c r="VOO20" s="160"/>
      <c r="VOP20" s="160"/>
      <c r="VOQ20" s="160"/>
      <c r="VOR20" s="160"/>
      <c r="VOS20" s="160"/>
      <c r="VOT20" s="160"/>
      <c r="VOU20" s="160"/>
      <c r="VOV20" s="160"/>
      <c r="VOW20" s="160"/>
      <c r="VOX20" s="160"/>
      <c r="VOY20" s="160"/>
      <c r="VOZ20" s="160"/>
      <c r="VPA20" s="160"/>
      <c r="VPB20" s="160"/>
      <c r="VPC20" s="160"/>
      <c r="VPD20" s="160"/>
      <c r="VPE20" s="160"/>
      <c r="VPF20" s="160"/>
      <c r="VPG20" s="160"/>
      <c r="VPH20" s="160"/>
      <c r="VPI20" s="160"/>
      <c r="VPJ20" s="160"/>
      <c r="VPK20" s="160"/>
      <c r="VPL20" s="160"/>
      <c r="VPM20" s="160"/>
      <c r="VPN20" s="160"/>
      <c r="VPO20" s="160"/>
      <c r="VPP20" s="160"/>
      <c r="VPQ20" s="160"/>
      <c r="VPR20" s="160"/>
      <c r="VPS20" s="160"/>
      <c r="VPT20" s="160"/>
      <c r="VPU20" s="160"/>
      <c r="VPV20" s="160"/>
      <c r="VPW20" s="160"/>
      <c r="VPX20" s="160"/>
      <c r="VPY20" s="160"/>
      <c r="VPZ20" s="160"/>
      <c r="VQA20" s="160"/>
      <c r="VQB20" s="160"/>
      <c r="VQC20" s="160"/>
      <c r="VQD20" s="160"/>
      <c r="VQE20" s="160"/>
      <c r="VQF20" s="160"/>
      <c r="VQG20" s="160"/>
      <c r="VQH20" s="160"/>
      <c r="VQI20" s="160"/>
      <c r="VQJ20" s="160"/>
      <c r="VQK20" s="160"/>
      <c r="VQL20" s="160"/>
      <c r="VQM20" s="160"/>
      <c r="VQN20" s="160"/>
      <c r="VQO20" s="160"/>
      <c r="VQP20" s="160"/>
      <c r="VQQ20" s="160"/>
      <c r="VQR20" s="160"/>
      <c r="VQS20" s="160"/>
      <c r="VQT20" s="160"/>
      <c r="VQU20" s="160"/>
      <c r="VQV20" s="160"/>
      <c r="VQW20" s="160"/>
      <c r="VQX20" s="160"/>
      <c r="VQY20" s="160"/>
      <c r="VQZ20" s="160"/>
      <c r="VRA20" s="160"/>
      <c r="VRB20" s="160"/>
      <c r="VRC20" s="160"/>
      <c r="VRD20" s="160"/>
      <c r="VRE20" s="160"/>
      <c r="VRF20" s="160"/>
      <c r="VRG20" s="160"/>
      <c r="VRH20" s="160"/>
      <c r="VRI20" s="160"/>
      <c r="VRJ20" s="160"/>
      <c r="VRK20" s="160"/>
      <c r="VRL20" s="160"/>
      <c r="VRM20" s="160"/>
      <c r="VRN20" s="160"/>
      <c r="VRO20" s="160"/>
      <c r="VRP20" s="160"/>
      <c r="VRQ20" s="160"/>
      <c r="VRR20" s="160"/>
      <c r="VRS20" s="160"/>
      <c r="VRT20" s="160"/>
      <c r="VRU20" s="160"/>
      <c r="VRV20" s="160"/>
      <c r="VRW20" s="160"/>
      <c r="VRX20" s="160"/>
      <c r="VRY20" s="160"/>
      <c r="VRZ20" s="160"/>
      <c r="VSA20" s="160"/>
      <c r="VSB20" s="160"/>
      <c r="VSC20" s="160"/>
      <c r="VSD20" s="160"/>
      <c r="VSE20" s="160"/>
      <c r="VSF20" s="160"/>
      <c r="VSG20" s="160"/>
      <c r="VSH20" s="160"/>
      <c r="VSI20" s="160"/>
      <c r="VSJ20" s="160"/>
      <c r="VSK20" s="160"/>
      <c r="VSL20" s="160"/>
      <c r="VSM20" s="160"/>
      <c r="VSN20" s="160"/>
      <c r="VSO20" s="160"/>
      <c r="VSP20" s="160"/>
      <c r="VSQ20" s="160"/>
      <c r="VSR20" s="160"/>
      <c r="VSS20" s="160"/>
      <c r="VST20" s="160"/>
      <c r="VSU20" s="160"/>
      <c r="VSV20" s="160"/>
      <c r="VSW20" s="160"/>
      <c r="VSX20" s="160"/>
      <c r="VSY20" s="160"/>
      <c r="VSZ20" s="160"/>
      <c r="VTA20" s="160"/>
      <c r="VTB20" s="160"/>
      <c r="VTC20" s="160"/>
      <c r="VTD20" s="160"/>
      <c r="VTE20" s="160"/>
      <c r="VTF20" s="160"/>
      <c r="VTG20" s="160"/>
      <c r="VTH20" s="160"/>
      <c r="VTI20" s="160"/>
      <c r="VTJ20" s="160"/>
      <c r="VTK20" s="160"/>
      <c r="VTL20" s="160"/>
      <c r="VTM20" s="160"/>
      <c r="VTN20" s="160"/>
      <c r="VTO20" s="160"/>
      <c r="VTP20" s="160"/>
      <c r="VTQ20" s="160"/>
      <c r="VTR20" s="160"/>
      <c r="VTS20" s="160"/>
      <c r="VTT20" s="160"/>
      <c r="VTU20" s="160"/>
      <c r="VTV20" s="160"/>
      <c r="VTW20" s="160"/>
      <c r="VTX20" s="160"/>
      <c r="VTY20" s="160"/>
      <c r="VTZ20" s="160"/>
      <c r="VUA20" s="160"/>
      <c r="VUB20" s="160"/>
      <c r="VUC20" s="160"/>
      <c r="VUD20" s="160"/>
      <c r="VUE20" s="160"/>
      <c r="VUF20" s="160"/>
      <c r="VUG20" s="160"/>
      <c r="VUH20" s="160"/>
      <c r="VUI20" s="160"/>
      <c r="VUJ20" s="160"/>
      <c r="VUK20" s="160"/>
      <c r="VUL20" s="160"/>
      <c r="VUM20" s="160"/>
      <c r="VUN20" s="160"/>
      <c r="VUO20" s="160"/>
      <c r="VUP20" s="160"/>
      <c r="VUQ20" s="160"/>
      <c r="VUR20" s="160"/>
      <c r="VUS20" s="160"/>
      <c r="VUT20" s="160"/>
      <c r="VUU20" s="160"/>
      <c r="VUV20" s="160"/>
      <c r="VUW20" s="160"/>
      <c r="VUX20" s="160"/>
      <c r="VUY20" s="160"/>
      <c r="VUZ20" s="160"/>
      <c r="VVA20" s="160"/>
      <c r="VVB20" s="160"/>
      <c r="VVC20" s="160"/>
      <c r="VVD20" s="160"/>
      <c r="VVE20" s="160"/>
      <c r="VVF20" s="160"/>
      <c r="VVG20" s="160"/>
      <c r="VVH20" s="160"/>
      <c r="VVI20" s="160"/>
      <c r="VVJ20" s="160"/>
      <c r="VVK20" s="160"/>
      <c r="VVL20" s="160"/>
      <c r="VVM20" s="160"/>
      <c r="VVN20" s="160"/>
      <c r="VVO20" s="160"/>
      <c r="VVP20" s="160"/>
      <c r="VVQ20" s="160"/>
      <c r="VVR20" s="160"/>
      <c r="VVS20" s="160"/>
      <c r="VVT20" s="160"/>
      <c r="VVU20" s="160"/>
      <c r="VVV20" s="160"/>
      <c r="VVW20" s="160"/>
      <c r="VVX20" s="160"/>
      <c r="VVY20" s="160"/>
      <c r="VVZ20" s="160"/>
      <c r="VWA20" s="160"/>
      <c r="VWB20" s="160"/>
      <c r="VWC20" s="160"/>
      <c r="VWD20" s="160"/>
      <c r="VWE20" s="160"/>
      <c r="VWF20" s="160"/>
      <c r="VWG20" s="160"/>
      <c r="VWH20" s="160"/>
      <c r="VWI20" s="160"/>
      <c r="VWJ20" s="160"/>
      <c r="VWK20" s="160"/>
      <c r="VWL20" s="160"/>
      <c r="VWM20" s="160"/>
      <c r="VWN20" s="160"/>
      <c r="VWO20" s="160"/>
      <c r="VWP20" s="160"/>
      <c r="VWQ20" s="160"/>
      <c r="VWR20" s="160"/>
      <c r="VWS20" s="160"/>
      <c r="VWT20" s="160"/>
      <c r="VWU20" s="160"/>
      <c r="VWV20" s="160"/>
      <c r="VWW20" s="160"/>
      <c r="VWX20" s="160"/>
      <c r="VWY20" s="160"/>
      <c r="VWZ20" s="160"/>
      <c r="VXA20" s="160"/>
      <c r="VXB20" s="160"/>
      <c r="VXC20" s="160"/>
      <c r="VXD20" s="160"/>
      <c r="VXE20" s="160"/>
      <c r="VXF20" s="160"/>
      <c r="VXG20" s="160"/>
      <c r="VXH20" s="160"/>
      <c r="VXI20" s="160"/>
      <c r="VXJ20" s="160"/>
      <c r="VXK20" s="160"/>
      <c r="VXL20" s="160"/>
      <c r="VXM20" s="160"/>
      <c r="VXN20" s="160"/>
      <c r="VXO20" s="160"/>
      <c r="VXP20" s="160"/>
      <c r="VXQ20" s="160"/>
      <c r="VXR20" s="160"/>
      <c r="VXS20" s="160"/>
      <c r="VXT20" s="160"/>
      <c r="VXU20" s="160"/>
      <c r="VXV20" s="160"/>
      <c r="VXW20" s="160"/>
      <c r="VXX20" s="160"/>
      <c r="VXY20" s="160"/>
      <c r="VXZ20" s="160"/>
      <c r="VYA20" s="160"/>
      <c r="VYB20" s="160"/>
      <c r="VYC20" s="160"/>
      <c r="VYD20" s="160"/>
      <c r="VYE20" s="160"/>
      <c r="VYF20" s="160"/>
      <c r="VYG20" s="160"/>
      <c r="VYH20" s="160"/>
      <c r="VYI20" s="160"/>
      <c r="VYJ20" s="160"/>
      <c r="VYK20" s="160"/>
      <c r="VYL20" s="160"/>
      <c r="VYM20" s="160"/>
      <c r="VYN20" s="160"/>
      <c r="VYO20" s="160"/>
      <c r="VYP20" s="160"/>
      <c r="VYQ20" s="160"/>
      <c r="VYR20" s="160"/>
      <c r="VYS20" s="160"/>
      <c r="VYT20" s="160"/>
      <c r="VYU20" s="160"/>
      <c r="VYV20" s="160"/>
      <c r="VYW20" s="160"/>
      <c r="VYX20" s="160"/>
      <c r="VYY20" s="160"/>
      <c r="VYZ20" s="160"/>
      <c r="VZA20" s="160"/>
      <c r="VZB20" s="160"/>
      <c r="VZC20" s="160"/>
      <c r="VZD20" s="160"/>
      <c r="VZE20" s="160"/>
      <c r="VZF20" s="160"/>
      <c r="VZG20" s="160"/>
      <c r="VZH20" s="160"/>
      <c r="VZI20" s="160"/>
      <c r="VZJ20" s="160"/>
      <c r="VZK20" s="160"/>
      <c r="VZL20" s="160"/>
      <c r="VZM20" s="160"/>
      <c r="VZN20" s="160"/>
      <c r="VZO20" s="160"/>
      <c r="VZP20" s="160"/>
      <c r="VZQ20" s="160"/>
      <c r="VZR20" s="160"/>
      <c r="VZS20" s="160"/>
      <c r="VZT20" s="160"/>
      <c r="VZU20" s="160"/>
      <c r="VZV20" s="160"/>
      <c r="VZW20" s="160"/>
      <c r="VZX20" s="160"/>
      <c r="VZY20" s="160"/>
      <c r="VZZ20" s="160"/>
      <c r="WAA20" s="160"/>
      <c r="WAB20" s="160"/>
      <c r="WAC20" s="160"/>
      <c r="WAD20" s="160"/>
      <c r="WAE20" s="160"/>
      <c r="WAF20" s="160"/>
      <c r="WAG20" s="160"/>
      <c r="WAH20" s="160"/>
      <c r="WAI20" s="160"/>
      <c r="WAJ20" s="160"/>
      <c r="WAK20" s="160"/>
      <c r="WAL20" s="160"/>
      <c r="WAM20" s="160"/>
      <c r="WAN20" s="160"/>
      <c r="WAO20" s="160"/>
      <c r="WAP20" s="160"/>
      <c r="WAQ20" s="160"/>
      <c r="WAR20" s="160"/>
      <c r="WAS20" s="160"/>
      <c r="WAT20" s="160"/>
      <c r="WAU20" s="160"/>
      <c r="WAV20" s="160"/>
      <c r="WAW20" s="160"/>
      <c r="WAX20" s="160"/>
      <c r="WAY20" s="160"/>
      <c r="WAZ20" s="160"/>
      <c r="WBA20" s="160"/>
      <c r="WBB20" s="160"/>
      <c r="WBC20" s="160"/>
      <c r="WBD20" s="160"/>
      <c r="WBE20" s="160"/>
      <c r="WBF20" s="160"/>
      <c r="WBG20" s="160"/>
      <c r="WBH20" s="160"/>
      <c r="WBI20" s="160"/>
      <c r="WBJ20" s="160"/>
      <c r="WBK20" s="160"/>
      <c r="WBL20" s="160"/>
      <c r="WBM20" s="160"/>
      <c r="WBN20" s="160"/>
      <c r="WBO20" s="160"/>
      <c r="WBP20" s="160"/>
      <c r="WBQ20" s="160"/>
      <c r="WBR20" s="160"/>
      <c r="WBS20" s="160"/>
      <c r="WBT20" s="160"/>
      <c r="WBU20" s="160"/>
      <c r="WBV20" s="160"/>
      <c r="WBW20" s="160"/>
      <c r="WBX20" s="160"/>
      <c r="WBY20" s="160"/>
      <c r="WBZ20" s="160"/>
      <c r="WCA20" s="160"/>
      <c r="WCB20" s="160"/>
      <c r="WCC20" s="160"/>
      <c r="WCD20" s="160"/>
      <c r="WCE20" s="160"/>
      <c r="WCF20" s="160"/>
      <c r="WCG20" s="160"/>
      <c r="WCH20" s="160"/>
      <c r="WCI20" s="160"/>
      <c r="WCJ20" s="160"/>
      <c r="WCK20" s="160"/>
      <c r="WCL20" s="160"/>
      <c r="WCM20" s="160"/>
      <c r="WCN20" s="160"/>
      <c r="WCO20" s="160"/>
      <c r="WCP20" s="160"/>
      <c r="WCQ20" s="160"/>
      <c r="WCR20" s="160"/>
      <c r="WCS20" s="160"/>
      <c r="WCT20" s="160"/>
      <c r="WCU20" s="160"/>
      <c r="WCV20" s="160"/>
      <c r="WCW20" s="160"/>
      <c r="WCX20" s="160"/>
      <c r="WCY20" s="160"/>
      <c r="WCZ20" s="160"/>
      <c r="WDA20" s="160"/>
      <c r="WDB20" s="160"/>
      <c r="WDC20" s="160"/>
      <c r="WDD20" s="160"/>
      <c r="WDE20" s="160"/>
      <c r="WDF20" s="160"/>
      <c r="WDG20" s="160"/>
      <c r="WDH20" s="160"/>
      <c r="WDI20" s="160"/>
      <c r="WDJ20" s="160"/>
      <c r="WDK20" s="160"/>
      <c r="WDL20" s="160"/>
      <c r="WDM20" s="160"/>
      <c r="WDN20" s="160"/>
      <c r="WDO20" s="160"/>
      <c r="WDP20" s="160"/>
      <c r="WDQ20" s="160"/>
      <c r="WDR20" s="160"/>
      <c r="WDS20" s="160"/>
      <c r="WDT20" s="160"/>
      <c r="WDU20" s="160"/>
      <c r="WDV20" s="160"/>
      <c r="WDW20" s="160"/>
      <c r="WDX20" s="160"/>
      <c r="WDY20" s="160"/>
      <c r="WDZ20" s="160"/>
      <c r="WEA20" s="160"/>
      <c r="WEB20" s="160"/>
      <c r="WEC20" s="160"/>
      <c r="WED20" s="160"/>
      <c r="WEE20" s="160"/>
      <c r="WEF20" s="160"/>
      <c r="WEG20" s="160"/>
      <c r="WEH20" s="160"/>
      <c r="WEI20" s="160"/>
      <c r="WEJ20" s="160"/>
      <c r="WEK20" s="160"/>
      <c r="WEL20" s="160"/>
      <c r="WEM20" s="160"/>
      <c r="WEN20" s="160"/>
      <c r="WEO20" s="160"/>
      <c r="WEP20" s="160"/>
      <c r="WEQ20" s="160"/>
      <c r="WER20" s="160"/>
      <c r="WES20" s="160"/>
      <c r="WET20" s="160"/>
      <c r="WEU20" s="160"/>
      <c r="WEV20" s="160"/>
      <c r="WEW20" s="160"/>
      <c r="WEX20" s="160"/>
      <c r="WEY20" s="160"/>
      <c r="WEZ20" s="160"/>
      <c r="WFA20" s="160"/>
      <c r="WFB20" s="160"/>
      <c r="WFC20" s="160"/>
      <c r="WFD20" s="160"/>
      <c r="WFE20" s="160"/>
      <c r="WFF20" s="160"/>
      <c r="WFG20" s="160"/>
      <c r="WFH20" s="160"/>
      <c r="WFI20" s="160"/>
      <c r="WFJ20" s="160"/>
      <c r="WFK20" s="160"/>
      <c r="WFL20" s="160"/>
      <c r="WFM20" s="160"/>
      <c r="WFN20" s="160"/>
      <c r="WFO20" s="160"/>
      <c r="WFP20" s="160"/>
      <c r="WFQ20" s="160"/>
      <c r="WFR20" s="160"/>
      <c r="WFS20" s="160"/>
      <c r="WFT20" s="160"/>
      <c r="WFU20" s="160"/>
      <c r="WFV20" s="160"/>
      <c r="WFW20" s="160"/>
      <c r="WFX20" s="160"/>
      <c r="WFY20" s="160"/>
      <c r="WFZ20" s="160"/>
      <c r="WGA20" s="160"/>
      <c r="WGB20" s="160"/>
      <c r="WGC20" s="160"/>
      <c r="WGD20" s="160"/>
      <c r="WGE20" s="160"/>
      <c r="WGF20" s="160"/>
      <c r="WGG20" s="160"/>
      <c r="WGH20" s="160"/>
      <c r="WGI20" s="160"/>
      <c r="WGJ20" s="160"/>
      <c r="WGK20" s="160"/>
      <c r="WGL20" s="160"/>
      <c r="WGM20" s="160"/>
      <c r="WGN20" s="160"/>
      <c r="WGO20" s="160"/>
      <c r="WGP20" s="160"/>
      <c r="WGQ20" s="160"/>
      <c r="WGR20" s="160"/>
      <c r="WGS20" s="160"/>
      <c r="WGT20" s="160"/>
      <c r="WGU20" s="160"/>
      <c r="WGV20" s="160"/>
      <c r="WGW20" s="160"/>
      <c r="WGX20" s="160"/>
      <c r="WGY20" s="160"/>
      <c r="WGZ20" s="160"/>
      <c r="WHA20" s="160"/>
      <c r="WHB20" s="160"/>
      <c r="WHC20" s="160"/>
      <c r="WHD20" s="160"/>
      <c r="WHE20" s="160"/>
      <c r="WHF20" s="160"/>
      <c r="WHG20" s="160"/>
      <c r="WHH20" s="160"/>
      <c r="WHI20" s="160"/>
      <c r="WHJ20" s="160"/>
      <c r="WHK20" s="160"/>
      <c r="WHL20" s="160"/>
      <c r="WHM20" s="160"/>
      <c r="WHN20" s="160"/>
      <c r="WHO20" s="160"/>
      <c r="WHP20" s="160"/>
      <c r="WHQ20" s="160"/>
      <c r="WHR20" s="160"/>
      <c r="WHS20" s="160"/>
      <c r="WHT20" s="160"/>
      <c r="WHU20" s="160"/>
      <c r="WHV20" s="160"/>
      <c r="WHW20" s="160"/>
      <c r="WHX20" s="160"/>
      <c r="WHY20" s="160"/>
      <c r="WHZ20" s="160"/>
      <c r="WIA20" s="160"/>
      <c r="WIB20" s="160"/>
      <c r="WIC20" s="160"/>
      <c r="WID20" s="160"/>
      <c r="WIE20" s="160"/>
      <c r="WIF20" s="160"/>
      <c r="WIG20" s="160"/>
      <c r="WIH20" s="160"/>
      <c r="WII20" s="160"/>
      <c r="WIJ20" s="160"/>
      <c r="WIK20" s="160"/>
      <c r="WIL20" s="160"/>
      <c r="WIM20" s="160"/>
      <c r="WIN20" s="160"/>
      <c r="WIO20" s="160"/>
      <c r="WIP20" s="160"/>
      <c r="WIQ20" s="160"/>
      <c r="WIR20" s="160"/>
      <c r="WIS20" s="160"/>
      <c r="WIT20" s="160"/>
      <c r="WIU20" s="160"/>
      <c r="WIV20" s="160"/>
      <c r="WIW20" s="160"/>
      <c r="WIX20" s="160"/>
      <c r="WIY20" s="160"/>
      <c r="WIZ20" s="160"/>
      <c r="WJA20" s="160"/>
      <c r="WJB20" s="160"/>
      <c r="WJC20" s="160"/>
      <c r="WJD20" s="160"/>
      <c r="WJE20" s="160"/>
      <c r="WJF20" s="160"/>
      <c r="WJG20" s="160"/>
      <c r="WJH20" s="160"/>
      <c r="WJI20" s="160"/>
      <c r="WJJ20" s="160"/>
      <c r="WJK20" s="160"/>
      <c r="WJL20" s="160"/>
      <c r="WJM20" s="160"/>
      <c r="WJN20" s="160"/>
      <c r="WJO20" s="160"/>
      <c r="WJP20" s="160"/>
      <c r="WJQ20" s="160"/>
      <c r="WJR20" s="160"/>
      <c r="WJS20" s="160"/>
      <c r="WJT20" s="160"/>
      <c r="WJU20" s="160"/>
      <c r="WJV20" s="160"/>
      <c r="WJW20" s="160"/>
      <c r="WJX20" s="160"/>
      <c r="WJY20" s="160"/>
      <c r="WJZ20" s="160"/>
      <c r="WKA20" s="160"/>
      <c r="WKB20" s="160"/>
      <c r="WKC20" s="160"/>
      <c r="WKD20" s="160"/>
      <c r="WKE20" s="160"/>
      <c r="WKF20" s="160"/>
      <c r="WKG20" s="160"/>
      <c r="WKH20" s="160"/>
      <c r="WKI20" s="160"/>
      <c r="WKJ20" s="160"/>
      <c r="WKK20" s="160"/>
      <c r="WKL20" s="160"/>
      <c r="WKM20" s="160"/>
      <c r="WKN20" s="160"/>
      <c r="WKO20" s="160"/>
      <c r="WKP20" s="160"/>
      <c r="WKQ20" s="160"/>
      <c r="WKR20" s="160"/>
      <c r="WKS20" s="160"/>
      <c r="WKT20" s="160"/>
      <c r="WKU20" s="160"/>
      <c r="WKV20" s="160"/>
      <c r="WKW20" s="160"/>
      <c r="WKX20" s="160"/>
      <c r="WKY20" s="160"/>
      <c r="WKZ20" s="160"/>
      <c r="WLA20" s="160"/>
      <c r="WLB20" s="160"/>
      <c r="WLC20" s="160"/>
      <c r="WLD20" s="160"/>
      <c r="WLE20" s="160"/>
      <c r="WLF20" s="160"/>
      <c r="WLG20" s="160"/>
      <c r="WLH20" s="160"/>
      <c r="WLI20" s="160"/>
      <c r="WLJ20" s="160"/>
      <c r="WLK20" s="160"/>
      <c r="WLL20" s="160"/>
      <c r="WLM20" s="160"/>
      <c r="WLN20" s="160"/>
      <c r="WLO20" s="160"/>
      <c r="WLP20" s="160"/>
      <c r="WLQ20" s="160"/>
      <c r="WLR20" s="160"/>
      <c r="WLS20" s="160"/>
      <c r="WLT20" s="160"/>
      <c r="WLU20" s="160"/>
      <c r="WLV20" s="160"/>
      <c r="WLW20" s="160"/>
      <c r="WLX20" s="160"/>
      <c r="WLY20" s="160"/>
      <c r="WLZ20" s="160"/>
      <c r="WMA20" s="160"/>
      <c r="WMB20" s="160"/>
      <c r="WMC20" s="160"/>
      <c r="WMD20" s="160"/>
      <c r="WME20" s="160"/>
      <c r="WMF20" s="160"/>
      <c r="WMG20" s="160"/>
      <c r="WMH20" s="160"/>
      <c r="WMI20" s="160"/>
      <c r="WMJ20" s="160"/>
      <c r="WMK20" s="160"/>
      <c r="WML20" s="160"/>
      <c r="WMM20" s="160"/>
      <c r="WMN20" s="160"/>
      <c r="WMO20" s="160"/>
      <c r="WMP20" s="160"/>
      <c r="WMQ20" s="160"/>
      <c r="WMR20" s="160"/>
      <c r="WMS20" s="160"/>
      <c r="WMT20" s="160"/>
      <c r="WMU20" s="160"/>
      <c r="WMV20" s="160"/>
      <c r="WMW20" s="160"/>
      <c r="WMX20" s="160"/>
      <c r="WMY20" s="160"/>
      <c r="WMZ20" s="160"/>
      <c r="WNA20" s="160"/>
      <c r="WNB20" s="160"/>
      <c r="WNC20" s="160"/>
      <c r="WND20" s="160"/>
      <c r="WNE20" s="160"/>
      <c r="WNF20" s="160"/>
      <c r="WNG20" s="160"/>
      <c r="WNH20" s="160"/>
      <c r="WNI20" s="160"/>
      <c r="WNJ20" s="160"/>
      <c r="WNK20" s="160"/>
      <c r="WNL20" s="160"/>
      <c r="WNM20" s="160"/>
      <c r="WNN20" s="160"/>
      <c r="WNO20" s="160"/>
      <c r="WNP20" s="160"/>
      <c r="WNQ20" s="160"/>
      <c r="WNR20" s="160"/>
      <c r="WNS20" s="160"/>
      <c r="WNT20" s="160"/>
      <c r="WNU20" s="160"/>
      <c r="WNV20" s="160"/>
      <c r="WNW20" s="160"/>
      <c r="WNX20" s="160"/>
      <c r="WNY20" s="160"/>
      <c r="WNZ20" s="160"/>
      <c r="WOA20" s="160"/>
      <c r="WOB20" s="160"/>
      <c r="WOC20" s="160"/>
      <c r="WOD20" s="160"/>
      <c r="WOE20" s="160"/>
      <c r="WOF20" s="160"/>
      <c r="WOG20" s="160"/>
      <c r="WOH20" s="160"/>
      <c r="WOI20" s="160"/>
      <c r="WOJ20" s="160"/>
      <c r="WOK20" s="160"/>
      <c r="WOL20" s="160"/>
      <c r="WOM20" s="160"/>
      <c r="WON20" s="160"/>
      <c r="WOO20" s="160"/>
      <c r="WOP20" s="160"/>
      <c r="WOQ20" s="160"/>
      <c r="WOR20" s="160"/>
      <c r="WOS20" s="160"/>
      <c r="WOT20" s="160"/>
      <c r="WOU20" s="160"/>
      <c r="WOV20" s="160"/>
      <c r="WOW20" s="160"/>
      <c r="WOX20" s="160"/>
      <c r="WOY20" s="160"/>
      <c r="WOZ20" s="160"/>
      <c r="WPA20" s="160"/>
      <c r="WPB20" s="160"/>
      <c r="WPC20" s="160"/>
      <c r="WPD20" s="160"/>
      <c r="WPE20" s="160"/>
      <c r="WPF20" s="160"/>
      <c r="WPG20" s="160"/>
      <c r="WPH20" s="160"/>
      <c r="WPI20" s="160"/>
      <c r="WPJ20" s="160"/>
      <c r="WPK20" s="160"/>
      <c r="WPL20" s="160"/>
      <c r="WPM20" s="160"/>
      <c r="WPN20" s="160"/>
      <c r="WPO20" s="160"/>
      <c r="WPP20" s="160"/>
      <c r="WPQ20" s="160"/>
      <c r="WPR20" s="160"/>
      <c r="WPS20" s="160"/>
      <c r="WPT20" s="160"/>
      <c r="WPU20" s="160"/>
      <c r="WPV20" s="160"/>
      <c r="WPW20" s="160"/>
      <c r="WPX20" s="160"/>
      <c r="WPY20" s="160"/>
      <c r="WPZ20" s="160"/>
      <c r="WQA20" s="160"/>
      <c r="WQB20" s="160"/>
      <c r="WQC20" s="160"/>
      <c r="WQD20" s="160"/>
      <c r="WQE20" s="160"/>
      <c r="WQF20" s="160"/>
      <c r="WQG20" s="160"/>
      <c r="WQH20" s="160"/>
      <c r="WQI20" s="160"/>
      <c r="WQJ20" s="160"/>
      <c r="WQK20" s="160"/>
      <c r="WQL20" s="160"/>
      <c r="WQM20" s="160"/>
      <c r="WQN20" s="160"/>
      <c r="WQO20" s="160"/>
      <c r="WQP20" s="160"/>
      <c r="WQQ20" s="160"/>
      <c r="WQR20" s="160"/>
      <c r="WQS20" s="160"/>
      <c r="WQT20" s="160"/>
      <c r="WQU20" s="160"/>
      <c r="WQV20" s="160"/>
      <c r="WQW20" s="160"/>
      <c r="WQX20" s="160"/>
      <c r="WQY20" s="160"/>
      <c r="WQZ20" s="160"/>
      <c r="WRA20" s="160"/>
      <c r="WRB20" s="160"/>
      <c r="WRC20" s="160"/>
      <c r="WRD20" s="160"/>
      <c r="WRE20" s="160"/>
      <c r="WRF20" s="160"/>
      <c r="WRG20" s="160"/>
      <c r="WRH20" s="160"/>
      <c r="WRI20" s="160"/>
      <c r="WRJ20" s="160"/>
      <c r="WRK20" s="160"/>
      <c r="WRL20" s="160"/>
      <c r="WRM20" s="160"/>
      <c r="WRN20" s="160"/>
      <c r="WRO20" s="160"/>
      <c r="WRP20" s="160"/>
      <c r="WRQ20" s="160"/>
      <c r="WRR20" s="160"/>
      <c r="WRS20" s="160"/>
      <c r="WRT20" s="160"/>
      <c r="WRU20" s="160"/>
      <c r="WRV20" s="160"/>
      <c r="WRW20" s="160"/>
      <c r="WRX20" s="160"/>
      <c r="WRY20" s="160"/>
      <c r="WRZ20" s="160"/>
      <c r="WSA20" s="160"/>
      <c r="WSB20" s="160"/>
      <c r="WSC20" s="160"/>
      <c r="WSD20" s="160"/>
      <c r="WSE20" s="160"/>
      <c r="WSF20" s="160"/>
      <c r="WSG20" s="160"/>
      <c r="WSH20" s="160"/>
      <c r="WSI20" s="160"/>
      <c r="WSJ20" s="160"/>
      <c r="WSK20" s="160"/>
      <c r="WSL20" s="160"/>
      <c r="WSM20" s="160"/>
      <c r="WSN20" s="160"/>
      <c r="WSO20" s="160"/>
      <c r="WSP20" s="160"/>
      <c r="WSQ20" s="160"/>
      <c r="WSR20" s="160"/>
      <c r="WSS20" s="160"/>
      <c r="WST20" s="160"/>
      <c r="WSU20" s="160"/>
      <c r="WSV20" s="160"/>
      <c r="WSW20" s="160"/>
      <c r="WSX20" s="160"/>
      <c r="WSY20" s="160"/>
      <c r="WSZ20" s="160"/>
      <c r="WTA20" s="160"/>
      <c r="WTB20" s="160"/>
      <c r="WTC20" s="160"/>
      <c r="WTD20" s="160"/>
      <c r="WTE20" s="160"/>
      <c r="WTF20" s="160"/>
      <c r="WTG20" s="160"/>
      <c r="WTH20" s="160"/>
      <c r="WTI20" s="160"/>
      <c r="WTJ20" s="160"/>
      <c r="WTK20" s="160"/>
      <c r="WTL20" s="160"/>
      <c r="WTM20" s="160"/>
      <c r="WTN20" s="160"/>
      <c r="WTO20" s="160"/>
      <c r="WTP20" s="160"/>
      <c r="WTQ20" s="160"/>
      <c r="WTR20" s="160"/>
      <c r="WTS20" s="160"/>
      <c r="WTT20" s="160"/>
      <c r="WTU20" s="160"/>
      <c r="WTV20" s="160"/>
      <c r="WTW20" s="160"/>
      <c r="WTX20" s="160"/>
      <c r="WTY20" s="160"/>
      <c r="WTZ20" s="160"/>
      <c r="WUA20" s="160"/>
      <c r="WUB20" s="160"/>
      <c r="WUC20" s="160"/>
      <c r="WUD20" s="160"/>
      <c r="WUE20" s="160"/>
      <c r="WUF20" s="160"/>
      <c r="WUG20" s="160"/>
      <c r="WUH20" s="160"/>
      <c r="WUI20" s="160"/>
      <c r="WUJ20" s="160"/>
      <c r="WUK20" s="160"/>
      <c r="WUL20" s="160"/>
      <c r="WUM20" s="160"/>
      <c r="WUN20" s="160"/>
      <c r="WUO20" s="160"/>
      <c r="WUP20" s="160"/>
      <c r="WUQ20" s="160"/>
      <c r="WUR20" s="160"/>
      <c r="WUS20" s="160"/>
      <c r="WUT20" s="160"/>
      <c r="WUU20" s="160"/>
      <c r="WUV20" s="160"/>
      <c r="WUW20" s="160"/>
      <c r="WUX20" s="160"/>
      <c r="WUY20" s="160"/>
      <c r="WUZ20" s="160"/>
      <c r="WVA20" s="160"/>
      <c r="WVB20" s="160"/>
      <c r="WVC20" s="160"/>
      <c r="WVD20" s="160"/>
      <c r="WVE20" s="160"/>
      <c r="WVF20" s="160"/>
      <c r="WVG20" s="160"/>
      <c r="WVH20" s="160"/>
      <c r="WVI20" s="160"/>
      <c r="WVJ20" s="160"/>
      <c r="WVK20" s="160"/>
      <c r="WVL20" s="160"/>
      <c r="WVM20" s="160"/>
      <c r="WVN20" s="160"/>
      <c r="WVO20" s="160"/>
      <c r="WVP20" s="160"/>
      <c r="WVQ20" s="160"/>
      <c r="WVR20" s="160"/>
      <c r="WVS20" s="160"/>
      <c r="WVT20" s="160"/>
      <c r="WVU20" s="160"/>
      <c r="WVV20" s="160"/>
      <c r="WVW20" s="160"/>
      <c r="WVX20" s="160"/>
      <c r="WVY20" s="160"/>
      <c r="WVZ20" s="160"/>
      <c r="WWA20" s="160"/>
      <c r="WWB20" s="160"/>
      <c r="WWC20" s="160"/>
      <c r="WWD20" s="160"/>
      <c r="WWE20" s="160"/>
      <c r="WWF20" s="160"/>
      <c r="WWG20" s="160"/>
      <c r="WWH20" s="160"/>
      <c r="WWI20" s="160"/>
      <c r="WWJ20" s="160"/>
      <c r="WWK20" s="160"/>
      <c r="WWL20" s="160"/>
      <c r="WWM20" s="160"/>
      <c r="WWN20" s="160"/>
      <c r="WWO20" s="160"/>
      <c r="WWP20" s="160"/>
      <c r="WWQ20" s="160"/>
      <c r="WWR20" s="160"/>
      <c r="WWS20" s="160"/>
      <c r="WWT20" s="160"/>
      <c r="WWU20" s="160"/>
      <c r="WWV20" s="160"/>
      <c r="WWW20" s="160"/>
      <c r="WWX20" s="160"/>
      <c r="WWY20" s="160"/>
      <c r="WWZ20" s="160"/>
      <c r="WXA20" s="160"/>
      <c r="WXB20" s="160"/>
      <c r="WXC20" s="160"/>
      <c r="WXD20" s="160"/>
      <c r="WXE20" s="160"/>
      <c r="WXF20" s="160"/>
      <c r="WXG20" s="160"/>
      <c r="WXH20" s="160"/>
      <c r="WXI20" s="160"/>
      <c r="WXJ20" s="160"/>
      <c r="WXK20" s="160"/>
      <c r="WXL20" s="160"/>
      <c r="WXM20" s="160"/>
      <c r="WXN20" s="160"/>
      <c r="WXO20" s="160"/>
      <c r="WXP20" s="160"/>
      <c r="WXQ20" s="160"/>
      <c r="WXR20" s="160"/>
      <c r="WXS20" s="160"/>
      <c r="WXT20" s="160"/>
      <c r="WXU20" s="160"/>
      <c r="WXV20" s="160"/>
      <c r="WXW20" s="160"/>
      <c r="WXX20" s="160"/>
      <c r="WXY20" s="160"/>
      <c r="WXZ20" s="160"/>
      <c r="WYA20" s="160"/>
      <c r="WYB20" s="160"/>
      <c r="WYC20" s="160"/>
      <c r="WYD20" s="160"/>
      <c r="WYE20" s="160"/>
      <c r="WYF20" s="160"/>
      <c r="WYG20" s="160"/>
      <c r="WYH20" s="160"/>
      <c r="WYI20" s="160"/>
      <c r="WYJ20" s="160"/>
      <c r="WYK20" s="160"/>
      <c r="WYL20" s="160"/>
      <c r="WYM20" s="160"/>
      <c r="WYN20" s="160"/>
      <c r="WYO20" s="160"/>
      <c r="WYP20" s="160"/>
      <c r="WYQ20" s="160"/>
      <c r="WYR20" s="160"/>
      <c r="WYS20" s="160"/>
      <c r="WYT20" s="160"/>
      <c r="WYU20" s="160"/>
      <c r="WYV20" s="160"/>
      <c r="WYW20" s="160"/>
      <c r="WYX20" s="160"/>
      <c r="WYY20" s="160"/>
      <c r="WYZ20" s="160"/>
      <c r="WZA20" s="160"/>
      <c r="WZB20" s="160"/>
      <c r="WZC20" s="160"/>
      <c r="WZD20" s="160"/>
      <c r="WZE20" s="160"/>
      <c r="WZF20" s="160"/>
      <c r="WZG20" s="160"/>
      <c r="WZH20" s="160"/>
      <c r="WZI20" s="160"/>
      <c r="WZJ20" s="160"/>
      <c r="WZK20" s="160"/>
      <c r="WZL20" s="160"/>
      <c r="WZM20" s="160"/>
      <c r="WZN20" s="160"/>
      <c r="WZO20" s="160"/>
      <c r="WZP20" s="160"/>
      <c r="WZQ20" s="160"/>
      <c r="WZR20" s="160"/>
      <c r="WZS20" s="160"/>
      <c r="WZT20" s="160"/>
      <c r="WZU20" s="160"/>
      <c r="WZV20" s="160"/>
      <c r="WZW20" s="160"/>
      <c r="WZX20" s="160"/>
      <c r="WZY20" s="160"/>
      <c r="WZZ20" s="160"/>
      <c r="XAA20" s="160"/>
      <c r="XAB20" s="160"/>
      <c r="XAC20" s="160"/>
      <c r="XAD20" s="160"/>
      <c r="XAE20" s="160"/>
      <c r="XAF20" s="160"/>
      <c r="XAG20" s="160"/>
      <c r="XAH20" s="160"/>
      <c r="XAI20" s="160"/>
      <c r="XAJ20" s="160"/>
      <c r="XAK20" s="160"/>
      <c r="XAL20" s="160"/>
      <c r="XAM20" s="160"/>
      <c r="XAN20" s="160"/>
      <c r="XAO20" s="160"/>
      <c r="XAP20" s="160"/>
      <c r="XAQ20" s="160"/>
      <c r="XAR20" s="160"/>
      <c r="XAS20" s="160"/>
      <c r="XAT20" s="160"/>
      <c r="XAU20" s="160"/>
      <c r="XAV20" s="160"/>
      <c r="XAW20" s="160"/>
      <c r="XAX20" s="160"/>
      <c r="XAY20" s="160"/>
      <c r="XAZ20" s="160"/>
      <c r="XBA20" s="160"/>
      <c r="XBB20" s="160"/>
      <c r="XBC20" s="160"/>
      <c r="XBD20" s="160"/>
      <c r="XBE20" s="160"/>
      <c r="XBF20" s="160"/>
      <c r="XBG20" s="160"/>
      <c r="XBH20" s="160"/>
      <c r="XBI20" s="160"/>
      <c r="XBJ20" s="160"/>
      <c r="XBK20" s="160"/>
      <c r="XBL20" s="160"/>
      <c r="XBM20" s="160"/>
      <c r="XBN20" s="160"/>
      <c r="XBO20" s="160"/>
      <c r="XBP20" s="160"/>
      <c r="XBQ20" s="160"/>
      <c r="XBR20" s="160"/>
      <c r="XBS20" s="160"/>
      <c r="XBT20" s="160"/>
      <c r="XBU20" s="160"/>
      <c r="XBV20" s="160"/>
      <c r="XBW20" s="160"/>
      <c r="XBX20" s="160"/>
      <c r="XBY20" s="160"/>
      <c r="XBZ20" s="160"/>
      <c r="XCA20" s="160"/>
      <c r="XCB20" s="160"/>
      <c r="XCC20" s="160"/>
      <c r="XCD20" s="160"/>
      <c r="XCE20" s="160"/>
      <c r="XCF20" s="160"/>
      <c r="XCG20" s="160"/>
      <c r="XCH20" s="160"/>
      <c r="XCI20" s="160"/>
      <c r="XCJ20" s="160"/>
      <c r="XCK20" s="160"/>
      <c r="XCL20" s="160"/>
      <c r="XCM20" s="160"/>
      <c r="XCN20" s="160"/>
      <c r="XCO20" s="160"/>
      <c r="XCP20" s="160"/>
      <c r="XCQ20" s="160"/>
      <c r="XCR20" s="160"/>
      <c r="XCS20" s="160"/>
      <c r="XCT20" s="160"/>
      <c r="XCU20" s="160"/>
      <c r="XCV20" s="160"/>
      <c r="XCW20" s="160"/>
      <c r="XCX20" s="160"/>
      <c r="XCY20" s="160"/>
      <c r="XCZ20" s="160"/>
      <c r="XDA20" s="160"/>
      <c r="XDB20" s="160"/>
      <c r="XDC20" s="160"/>
      <c r="XDD20" s="160"/>
      <c r="XDE20" s="160"/>
      <c r="XDF20" s="160"/>
      <c r="XDG20" s="160"/>
      <c r="XDH20" s="160"/>
      <c r="XDI20" s="160"/>
      <c r="XDJ20" s="160"/>
      <c r="XDK20" s="160"/>
      <c r="XDL20" s="160"/>
      <c r="XDM20" s="160"/>
      <c r="XDN20" s="160"/>
      <c r="XDO20" s="160"/>
      <c r="XDP20" s="160"/>
      <c r="XDQ20" s="160"/>
      <c r="XDR20" s="160"/>
      <c r="XDS20" s="160"/>
      <c r="XDT20" s="160"/>
      <c r="XDU20" s="160"/>
      <c r="XDV20" s="160"/>
      <c r="XDW20" s="160"/>
      <c r="XDX20" s="160"/>
      <c r="XDY20" s="160"/>
      <c r="XDZ20" s="160"/>
      <c r="XEA20" s="160"/>
      <c r="XEB20" s="160"/>
      <c r="XEC20" s="160"/>
      <c r="XED20" s="160"/>
      <c r="XEE20" s="160"/>
      <c r="XEF20" s="160"/>
      <c r="XEG20" s="160"/>
      <c r="XEH20" s="160"/>
      <c r="XEI20" s="160"/>
      <c r="XEJ20" s="160"/>
      <c r="XEK20" s="160"/>
      <c r="XEL20" s="160"/>
      <c r="XEM20" s="160"/>
      <c r="XEN20" s="160"/>
      <c r="XEO20" s="160"/>
      <c r="XEP20" s="160"/>
      <c r="XEQ20" s="160"/>
      <c r="XER20" s="160"/>
      <c r="XES20" s="160"/>
      <c r="XET20" s="160"/>
      <c r="XEU20" s="160"/>
      <c r="XEV20" s="160"/>
      <c r="XEW20" s="160"/>
      <c r="XEX20" s="160"/>
      <c r="XEY20" s="160"/>
      <c r="XEZ20" s="160"/>
      <c r="XFA20" s="160"/>
      <c r="XFB20" s="160"/>
    </row>
    <row r="21" spans="1:16382" ht="42.75" customHeight="1">
      <c r="A21" s="596">
        <v>12</v>
      </c>
      <c r="B21" s="211">
        <v>81</v>
      </c>
      <c r="C21" s="192" t="s">
        <v>286</v>
      </c>
      <c r="D21" s="176">
        <v>1</v>
      </c>
      <c r="E21" s="199">
        <v>80000</v>
      </c>
      <c r="F21" s="471">
        <v>80000</v>
      </c>
      <c r="G21" s="259" t="s">
        <v>48</v>
      </c>
      <c r="H21" s="259" t="s">
        <v>20</v>
      </c>
      <c r="I21" s="211" t="s">
        <v>83</v>
      </c>
      <c r="J21" s="546" t="s">
        <v>814</v>
      </c>
      <c r="K21" s="470">
        <v>64400</v>
      </c>
      <c r="L21" s="482" t="s">
        <v>287</v>
      </c>
      <c r="M21" s="469" t="s">
        <v>288</v>
      </c>
    </row>
    <row r="22" spans="1:16382" ht="42.75" customHeight="1">
      <c r="A22" s="596">
        <v>13</v>
      </c>
      <c r="B22" s="456">
        <v>1</v>
      </c>
      <c r="C22" s="479" t="s">
        <v>421</v>
      </c>
      <c r="D22" s="17">
        <v>20</v>
      </c>
      <c r="E22" s="214">
        <v>25000</v>
      </c>
      <c r="F22" s="472">
        <v>500000</v>
      </c>
      <c r="G22" s="264" t="s">
        <v>815</v>
      </c>
      <c r="H22" s="274" t="s">
        <v>396</v>
      </c>
      <c r="I22" s="264" t="s">
        <v>83</v>
      </c>
      <c r="J22" s="546" t="s">
        <v>814</v>
      </c>
      <c r="K22" s="470">
        <v>269000</v>
      </c>
      <c r="L22" s="482" t="s">
        <v>423</v>
      </c>
      <c r="M22" s="469" t="s">
        <v>288</v>
      </c>
    </row>
    <row r="23" spans="1:16382" ht="40.5" customHeight="1">
      <c r="A23" s="596">
        <v>14</v>
      </c>
      <c r="B23" s="276" t="s">
        <v>482</v>
      </c>
      <c r="C23" s="476" t="s">
        <v>483</v>
      </c>
      <c r="D23" s="11">
        <v>1</v>
      </c>
      <c r="E23" s="454">
        <v>500000</v>
      </c>
      <c r="F23" s="473">
        <v>500000</v>
      </c>
      <c r="G23" s="112" t="s">
        <v>89</v>
      </c>
      <c r="H23" s="11" t="s">
        <v>396</v>
      </c>
      <c r="I23" s="11" t="s">
        <v>83</v>
      </c>
      <c r="J23" s="546" t="s">
        <v>814</v>
      </c>
      <c r="K23" s="478">
        <v>189000</v>
      </c>
      <c r="L23" s="73" t="s">
        <v>287</v>
      </c>
      <c r="M23" s="469" t="s">
        <v>288</v>
      </c>
    </row>
    <row r="24" spans="1:16382" ht="38.25" customHeight="1">
      <c r="A24" s="596">
        <v>15</v>
      </c>
      <c r="B24" s="276">
        <v>1</v>
      </c>
      <c r="C24" s="480" t="s">
        <v>544</v>
      </c>
      <c r="D24" s="469">
        <v>1000</v>
      </c>
      <c r="E24" s="470">
        <v>170</v>
      </c>
      <c r="F24" s="474">
        <v>170000</v>
      </c>
      <c r="G24" s="469" t="s">
        <v>42</v>
      </c>
      <c r="H24" s="475" t="s">
        <v>531</v>
      </c>
      <c r="I24" s="469" t="s">
        <v>545</v>
      </c>
      <c r="J24" s="546" t="s">
        <v>814</v>
      </c>
      <c r="K24" s="470">
        <v>81000</v>
      </c>
      <c r="L24" s="482" t="s">
        <v>546</v>
      </c>
      <c r="M24" s="469" t="s">
        <v>288</v>
      </c>
    </row>
    <row r="25" spans="1:16382" ht="30" customHeight="1">
      <c r="A25" s="596">
        <v>1</v>
      </c>
      <c r="B25" s="171">
        <v>64</v>
      </c>
      <c r="C25" s="172" t="s">
        <v>251</v>
      </c>
      <c r="D25" s="173">
        <v>1</v>
      </c>
      <c r="E25" s="174">
        <v>40000</v>
      </c>
      <c r="F25" s="361">
        <v>40000</v>
      </c>
      <c r="G25" s="173" t="s">
        <v>44</v>
      </c>
      <c r="H25" s="179" t="s">
        <v>20</v>
      </c>
      <c r="I25" s="497" t="s">
        <v>83</v>
      </c>
      <c r="J25" s="264" t="s">
        <v>814</v>
      </c>
      <c r="K25" s="488">
        <v>29890</v>
      </c>
      <c r="L25" s="466" t="s">
        <v>252</v>
      </c>
      <c r="M25" s="469" t="s">
        <v>253</v>
      </c>
    </row>
    <row r="26" spans="1:16382" s="366" customFormat="1" ht="30" customHeight="1">
      <c r="A26" s="597">
        <v>2</v>
      </c>
      <c r="B26" s="171">
        <v>65</v>
      </c>
      <c r="C26" s="172" t="s">
        <v>255</v>
      </c>
      <c r="D26" s="173">
        <v>2</v>
      </c>
      <c r="E26" s="174">
        <v>20000</v>
      </c>
      <c r="F26" s="361">
        <v>40000</v>
      </c>
      <c r="G26" s="173" t="s">
        <v>44</v>
      </c>
      <c r="H26" s="179" t="s">
        <v>20</v>
      </c>
      <c r="I26" s="497" t="s">
        <v>83</v>
      </c>
      <c r="J26" s="547" t="s">
        <v>814</v>
      </c>
      <c r="K26" s="488">
        <v>38740</v>
      </c>
      <c r="L26" s="466" t="s">
        <v>252</v>
      </c>
      <c r="M26" s="469" t="s">
        <v>253</v>
      </c>
    </row>
    <row r="27" spans="1:16382" ht="30" customHeight="1">
      <c r="A27" s="596">
        <v>3</v>
      </c>
      <c r="B27" s="171">
        <v>67</v>
      </c>
      <c r="C27" s="172" t="s">
        <v>258</v>
      </c>
      <c r="D27" s="173">
        <v>6</v>
      </c>
      <c r="E27" s="174">
        <v>25000</v>
      </c>
      <c r="F27" s="361">
        <v>150000</v>
      </c>
      <c r="G27" s="173" t="s">
        <v>44</v>
      </c>
      <c r="H27" s="179" t="s">
        <v>259</v>
      </c>
      <c r="I27" s="497" t="s">
        <v>83</v>
      </c>
      <c r="J27" s="547" t="s">
        <v>814</v>
      </c>
      <c r="K27" s="488">
        <v>149280</v>
      </c>
      <c r="L27" s="466" t="s">
        <v>252</v>
      </c>
      <c r="M27" s="469" t="s">
        <v>253</v>
      </c>
    </row>
    <row r="28" spans="1:16382" ht="30" customHeight="1">
      <c r="A28" s="596">
        <v>4</v>
      </c>
      <c r="B28" s="171">
        <v>68</v>
      </c>
      <c r="C28" s="172" t="s">
        <v>261</v>
      </c>
      <c r="D28" s="173">
        <v>2</v>
      </c>
      <c r="E28" s="174">
        <v>40000</v>
      </c>
      <c r="F28" s="361">
        <v>80000</v>
      </c>
      <c r="G28" s="173" t="s">
        <v>44</v>
      </c>
      <c r="H28" s="179" t="s">
        <v>20</v>
      </c>
      <c r="I28" s="497" t="s">
        <v>83</v>
      </c>
      <c r="J28" s="547" t="s">
        <v>814</v>
      </c>
      <c r="K28" s="488">
        <v>53000</v>
      </c>
      <c r="L28" s="466" t="s">
        <v>252</v>
      </c>
      <c r="M28" s="469" t="s">
        <v>253</v>
      </c>
    </row>
    <row r="29" spans="1:16382" ht="30" customHeight="1">
      <c r="A29" s="596">
        <v>5</v>
      </c>
      <c r="B29" s="171">
        <v>69</v>
      </c>
      <c r="C29" s="172" t="s">
        <v>263</v>
      </c>
      <c r="D29" s="173">
        <v>1</v>
      </c>
      <c r="E29" s="174">
        <v>81000</v>
      </c>
      <c r="F29" s="361">
        <v>81000</v>
      </c>
      <c r="G29" s="173" t="s">
        <v>44</v>
      </c>
      <c r="H29" s="179" t="s">
        <v>20</v>
      </c>
      <c r="I29" s="497" t="s">
        <v>83</v>
      </c>
      <c r="J29" s="547" t="s">
        <v>814</v>
      </c>
      <c r="K29" s="488">
        <v>58700</v>
      </c>
      <c r="L29" s="466" t="s">
        <v>264</v>
      </c>
      <c r="M29" s="469" t="s">
        <v>253</v>
      </c>
    </row>
    <row r="30" spans="1:16382" ht="30" customHeight="1">
      <c r="A30" s="596">
        <v>6</v>
      </c>
      <c r="B30" s="171">
        <v>70</v>
      </c>
      <c r="C30" s="172" t="s">
        <v>266</v>
      </c>
      <c r="D30" s="173">
        <v>1</v>
      </c>
      <c r="E30" s="174">
        <v>90000</v>
      </c>
      <c r="F30" s="361">
        <v>90000</v>
      </c>
      <c r="G30" s="173" t="s">
        <v>44</v>
      </c>
      <c r="H30" s="179" t="s">
        <v>20</v>
      </c>
      <c r="I30" s="497" t="s">
        <v>83</v>
      </c>
      <c r="J30" s="547" t="s">
        <v>814</v>
      </c>
      <c r="K30" s="488">
        <v>41900</v>
      </c>
      <c r="L30" s="466" t="s">
        <v>267</v>
      </c>
      <c r="M30" s="469" t="s">
        <v>253</v>
      </c>
    </row>
    <row r="31" spans="1:16382" s="366" customFormat="1" ht="30" customHeight="1">
      <c r="A31" s="596">
        <v>7</v>
      </c>
      <c r="B31" s="171">
        <v>72</v>
      </c>
      <c r="C31" s="172" t="s">
        <v>270</v>
      </c>
      <c r="D31" s="173">
        <v>1</v>
      </c>
      <c r="E31" s="174">
        <v>200000</v>
      </c>
      <c r="F31" s="361">
        <v>200000</v>
      </c>
      <c r="G31" s="173" t="s">
        <v>44</v>
      </c>
      <c r="H31" s="179" t="s">
        <v>20</v>
      </c>
      <c r="I31" s="497" t="s">
        <v>83</v>
      </c>
      <c r="J31" s="547" t="s">
        <v>814</v>
      </c>
      <c r="K31" s="488">
        <v>98800</v>
      </c>
      <c r="L31" s="466" t="s">
        <v>271</v>
      </c>
      <c r="M31" s="469" t="s">
        <v>253</v>
      </c>
    </row>
    <row r="32" spans="1:16382" s="366" customFormat="1" ht="30" customHeight="1">
      <c r="A32" s="596">
        <v>8</v>
      </c>
      <c r="B32" s="171">
        <v>73</v>
      </c>
      <c r="C32" s="172" t="s">
        <v>273</v>
      </c>
      <c r="D32" s="173">
        <v>1</v>
      </c>
      <c r="E32" s="174">
        <v>200000</v>
      </c>
      <c r="F32" s="361">
        <v>200000</v>
      </c>
      <c r="G32" s="173" t="s">
        <v>44</v>
      </c>
      <c r="H32" s="179" t="s">
        <v>20</v>
      </c>
      <c r="I32" s="497" t="s">
        <v>83</v>
      </c>
      <c r="J32" s="547" t="s">
        <v>814</v>
      </c>
      <c r="K32" s="488">
        <v>165275</v>
      </c>
      <c r="L32" s="534" t="s">
        <v>274</v>
      </c>
      <c r="M32" s="469" t="s">
        <v>253</v>
      </c>
    </row>
    <row r="33" spans="1:15" ht="30" customHeight="1">
      <c r="A33" s="596">
        <v>9</v>
      </c>
      <c r="B33" s="238">
        <v>12</v>
      </c>
      <c r="C33" s="239" t="s">
        <v>388</v>
      </c>
      <c r="D33" s="240">
        <v>1</v>
      </c>
      <c r="E33" s="234">
        <v>350000</v>
      </c>
      <c r="F33" s="362">
        <v>350000</v>
      </c>
      <c r="G33" s="241" t="s">
        <v>44</v>
      </c>
      <c r="H33" s="179" t="s">
        <v>27</v>
      </c>
      <c r="I33" s="497" t="s">
        <v>83</v>
      </c>
      <c r="J33" s="547" t="s">
        <v>814</v>
      </c>
      <c r="K33" s="488">
        <v>305000</v>
      </c>
      <c r="L33" s="534" t="s">
        <v>389</v>
      </c>
      <c r="M33" s="469" t="s">
        <v>253</v>
      </c>
    </row>
    <row r="34" spans="1:15" ht="30" customHeight="1">
      <c r="A34" s="596">
        <v>10</v>
      </c>
      <c r="B34" s="252">
        <v>0</v>
      </c>
      <c r="C34" s="172" t="s">
        <v>395</v>
      </c>
      <c r="D34" s="252">
        <v>1</v>
      </c>
      <c r="E34" s="253">
        <v>200000</v>
      </c>
      <c r="F34" s="491">
        <v>200000</v>
      </c>
      <c r="G34" s="252" t="s">
        <v>52</v>
      </c>
      <c r="H34" s="255" t="s">
        <v>396</v>
      </c>
      <c r="I34" s="497" t="s">
        <v>83</v>
      </c>
      <c r="J34" s="547" t="s">
        <v>814</v>
      </c>
      <c r="K34" s="488">
        <v>198500</v>
      </c>
      <c r="L34" s="495" t="s">
        <v>397</v>
      </c>
      <c r="M34" s="469" t="s">
        <v>253</v>
      </c>
    </row>
    <row r="35" spans="1:15" ht="30" customHeight="1">
      <c r="A35" s="596">
        <v>11</v>
      </c>
      <c r="B35" s="288">
        <v>30</v>
      </c>
      <c r="C35" s="262" t="s">
        <v>716</v>
      </c>
      <c r="D35" s="288">
        <v>1</v>
      </c>
      <c r="E35" s="289">
        <v>302000</v>
      </c>
      <c r="F35" s="289">
        <v>302000</v>
      </c>
      <c r="G35" s="288" t="s">
        <v>52</v>
      </c>
      <c r="H35" s="11" t="s">
        <v>531</v>
      </c>
      <c r="I35" s="32" t="s">
        <v>83</v>
      </c>
      <c r="J35" s="547" t="s">
        <v>814</v>
      </c>
      <c r="K35" s="489">
        <v>257240</v>
      </c>
      <c r="L35" s="153" t="s">
        <v>359</v>
      </c>
      <c r="M35" s="469" t="s">
        <v>253</v>
      </c>
    </row>
    <row r="36" spans="1:15" ht="30" customHeight="1">
      <c r="A36" s="596">
        <v>12</v>
      </c>
      <c r="B36" s="211">
        <v>7</v>
      </c>
      <c r="C36" s="10" t="s">
        <v>468</v>
      </c>
      <c r="D36" s="11">
        <v>2</v>
      </c>
      <c r="E36" s="454">
        <v>230000</v>
      </c>
      <c r="F36" s="32">
        <v>460000</v>
      </c>
      <c r="G36" s="11" t="s">
        <v>38</v>
      </c>
      <c r="H36" s="11" t="s">
        <v>396</v>
      </c>
      <c r="I36" s="32" t="s">
        <v>83</v>
      </c>
      <c r="J36" s="475" t="s">
        <v>814</v>
      </c>
      <c r="K36" s="489">
        <v>394000</v>
      </c>
      <c r="L36" s="153" t="s">
        <v>469</v>
      </c>
      <c r="M36" s="469" t="s">
        <v>253</v>
      </c>
      <c r="O36">
        <f>460000*3/100</f>
        <v>13800</v>
      </c>
    </row>
    <row r="37" spans="1:15" ht="30" customHeight="1">
      <c r="A37" s="596">
        <v>13</v>
      </c>
      <c r="B37" s="211">
        <v>9</v>
      </c>
      <c r="C37" s="14" t="s">
        <v>474</v>
      </c>
      <c r="D37" s="11">
        <v>1</v>
      </c>
      <c r="E37" s="454">
        <v>490000</v>
      </c>
      <c r="F37" s="32">
        <v>490000</v>
      </c>
      <c r="G37" s="11" t="s">
        <v>38</v>
      </c>
      <c r="H37" s="11" t="s">
        <v>396</v>
      </c>
      <c r="I37" s="32" t="s">
        <v>83</v>
      </c>
      <c r="J37" s="475" t="s">
        <v>814</v>
      </c>
      <c r="K37" s="489">
        <v>484030</v>
      </c>
      <c r="L37" s="496" t="s">
        <v>475</v>
      </c>
      <c r="M37" s="469" t="s">
        <v>253</v>
      </c>
    </row>
    <row r="38" spans="1:15" ht="30" customHeight="1">
      <c r="A38" s="596">
        <v>14</v>
      </c>
      <c r="B38" s="211">
        <v>11</v>
      </c>
      <c r="C38" s="476" t="s">
        <v>479</v>
      </c>
      <c r="D38" s="11">
        <v>1</v>
      </c>
      <c r="E38" s="454">
        <v>120000</v>
      </c>
      <c r="F38" s="493">
        <v>120000</v>
      </c>
      <c r="G38" s="112" t="s">
        <v>38</v>
      </c>
      <c r="H38" s="11" t="s">
        <v>396</v>
      </c>
      <c r="I38" s="32" t="s">
        <v>83</v>
      </c>
      <c r="J38" s="475" t="s">
        <v>814</v>
      </c>
      <c r="K38" s="489">
        <v>79920</v>
      </c>
      <c r="L38" s="153" t="s">
        <v>480</v>
      </c>
      <c r="M38" s="469" t="s">
        <v>253</v>
      </c>
    </row>
    <row r="39" spans="1:15" ht="30" customHeight="1">
      <c r="A39" s="596">
        <v>15</v>
      </c>
      <c r="B39" s="333">
        <v>0</v>
      </c>
      <c r="C39" s="465" t="s">
        <v>772</v>
      </c>
      <c r="D39" s="276">
        <v>1</v>
      </c>
      <c r="E39" s="260">
        <v>108000</v>
      </c>
      <c r="F39" s="363">
        <v>108000</v>
      </c>
      <c r="G39" s="270" t="s">
        <v>87</v>
      </c>
      <c r="H39" s="11" t="s">
        <v>531</v>
      </c>
      <c r="I39" s="42" t="s">
        <v>83</v>
      </c>
      <c r="J39" s="547" t="s">
        <v>814</v>
      </c>
      <c r="K39" s="489">
        <v>108000</v>
      </c>
      <c r="L39" s="465" t="s">
        <v>774</v>
      </c>
      <c r="M39" s="469" t="s">
        <v>253</v>
      </c>
    </row>
    <row r="40" spans="1:15" s="366" customFormat="1" ht="33.75" customHeight="1">
      <c r="A40" s="596">
        <v>16</v>
      </c>
      <c r="B40" s="211">
        <v>79</v>
      </c>
      <c r="C40" s="262" t="s">
        <v>284</v>
      </c>
      <c r="D40" s="288">
        <v>1</v>
      </c>
      <c r="E40" s="289">
        <v>60000</v>
      </c>
      <c r="F40" s="325">
        <v>60000</v>
      </c>
      <c r="G40" s="215" t="s">
        <v>89</v>
      </c>
      <c r="H40" s="215" t="s">
        <v>20</v>
      </c>
      <c r="I40" s="497" t="s">
        <v>83</v>
      </c>
      <c r="J40" s="547" t="s">
        <v>814</v>
      </c>
      <c r="K40" s="489">
        <v>47700</v>
      </c>
      <c r="L40" s="326" t="s">
        <v>550</v>
      </c>
      <c r="M40" s="469" t="s">
        <v>253</v>
      </c>
    </row>
    <row r="41" spans="1:15" ht="24.95" customHeight="1">
      <c r="A41" s="580">
        <v>1</v>
      </c>
      <c r="B41" s="576">
        <v>8</v>
      </c>
      <c r="C41" s="191" t="s">
        <v>136</v>
      </c>
      <c r="D41" s="186">
        <v>1</v>
      </c>
      <c r="E41" s="591">
        <v>360000</v>
      </c>
      <c r="F41" s="554">
        <v>360000</v>
      </c>
      <c r="G41" s="186" t="s">
        <v>36</v>
      </c>
      <c r="H41" s="179" t="s">
        <v>20</v>
      </c>
      <c r="I41" s="211" t="s">
        <v>83</v>
      </c>
      <c r="J41" s="264" t="s">
        <v>401</v>
      </c>
      <c r="K41" s="553">
        <v>202000</v>
      </c>
      <c r="L41" s="161" t="s">
        <v>137</v>
      </c>
      <c r="M41" s="276" t="s">
        <v>138</v>
      </c>
    </row>
    <row r="42" spans="1:15" ht="24.95" customHeight="1">
      <c r="A42" s="580">
        <f>A41+1</f>
        <v>2</v>
      </c>
      <c r="B42" s="576">
        <v>15</v>
      </c>
      <c r="C42" s="172" t="s">
        <v>151</v>
      </c>
      <c r="D42" s="181">
        <v>1</v>
      </c>
      <c r="E42" s="592">
        <v>200000</v>
      </c>
      <c r="F42" s="554">
        <v>200000</v>
      </c>
      <c r="G42" s="173" t="s">
        <v>37</v>
      </c>
      <c r="H42" s="179" t="s">
        <v>20</v>
      </c>
      <c r="I42" s="211" t="s">
        <v>83</v>
      </c>
      <c r="J42" s="264" t="s">
        <v>401</v>
      </c>
      <c r="K42" s="553">
        <v>131000</v>
      </c>
      <c r="L42" s="276" t="s">
        <v>152</v>
      </c>
      <c r="M42" s="276" t="s">
        <v>138</v>
      </c>
    </row>
    <row r="43" spans="1:15" ht="24.95" customHeight="1">
      <c r="A43" s="580">
        <f>A82+1</f>
        <v>20</v>
      </c>
      <c r="B43" s="577">
        <v>37</v>
      </c>
      <c r="C43" s="180" t="s">
        <v>201</v>
      </c>
      <c r="D43" s="259">
        <v>1</v>
      </c>
      <c r="E43" s="575">
        <v>480000</v>
      </c>
      <c r="F43" s="242">
        <v>480000</v>
      </c>
      <c r="G43" s="259" t="s">
        <v>39</v>
      </c>
      <c r="H43" s="179" t="s">
        <v>20</v>
      </c>
      <c r="I43" s="211" t="s">
        <v>83</v>
      </c>
      <c r="J43" s="264" t="s">
        <v>401</v>
      </c>
      <c r="K43" s="488">
        <v>121400</v>
      </c>
      <c r="L43" s="276" t="s">
        <v>203</v>
      </c>
      <c r="M43" s="276" t="s">
        <v>138</v>
      </c>
    </row>
    <row r="44" spans="1:15" ht="24.95" customHeight="1">
      <c r="A44" s="580">
        <f t="shared" ref="A44:A61" si="0">A43+1</f>
        <v>21</v>
      </c>
      <c r="B44" s="576">
        <v>86</v>
      </c>
      <c r="C44" s="172" t="s">
        <v>297</v>
      </c>
      <c r="D44" s="181">
        <v>1</v>
      </c>
      <c r="E44" s="592">
        <v>490000</v>
      </c>
      <c r="F44" s="554">
        <v>490000</v>
      </c>
      <c r="G44" s="173" t="s">
        <v>48</v>
      </c>
      <c r="H44" s="179" t="s">
        <v>20</v>
      </c>
      <c r="I44" s="211" t="s">
        <v>83</v>
      </c>
      <c r="J44" s="264" t="s">
        <v>401</v>
      </c>
      <c r="K44" s="361">
        <v>169000</v>
      </c>
      <c r="L44" s="161" t="s">
        <v>298</v>
      </c>
      <c r="M44" s="276" t="s">
        <v>138</v>
      </c>
    </row>
    <row r="45" spans="1:15" ht="24.95" customHeight="1">
      <c r="A45" s="580">
        <f t="shared" si="0"/>
        <v>22</v>
      </c>
      <c r="B45" s="576">
        <v>111</v>
      </c>
      <c r="C45" s="172" t="s">
        <v>336</v>
      </c>
      <c r="D45" s="181">
        <v>1</v>
      </c>
      <c r="E45" s="592">
        <v>500000</v>
      </c>
      <c r="F45" s="554">
        <v>500000</v>
      </c>
      <c r="G45" s="173" t="s">
        <v>42</v>
      </c>
      <c r="H45" s="173" t="s">
        <v>20</v>
      </c>
      <c r="I45" s="211" t="s">
        <v>83</v>
      </c>
      <c r="J45" s="264" t="s">
        <v>401</v>
      </c>
      <c r="K45" s="553">
        <v>400000</v>
      </c>
      <c r="L45" s="276" t="s">
        <v>337</v>
      </c>
      <c r="M45" s="276" t="s">
        <v>138</v>
      </c>
    </row>
    <row r="46" spans="1:15" ht="24.95" customHeight="1">
      <c r="A46" s="580">
        <f t="shared" si="0"/>
        <v>23</v>
      </c>
      <c r="B46" s="576">
        <v>112</v>
      </c>
      <c r="C46" s="172" t="s">
        <v>340</v>
      </c>
      <c r="D46" s="181">
        <v>2</v>
      </c>
      <c r="E46" s="592">
        <v>800000</v>
      </c>
      <c r="F46" s="554">
        <v>1600000</v>
      </c>
      <c r="G46" s="173" t="s">
        <v>42</v>
      </c>
      <c r="H46" s="173" t="s">
        <v>20</v>
      </c>
      <c r="I46" s="211" t="s">
        <v>83</v>
      </c>
      <c r="J46" s="264" t="s">
        <v>401</v>
      </c>
      <c r="K46" s="553">
        <v>242787</v>
      </c>
      <c r="L46" s="276" t="s">
        <v>341</v>
      </c>
      <c r="M46" s="276" t="s">
        <v>138</v>
      </c>
    </row>
    <row r="47" spans="1:15" s="607" customFormat="1" ht="24.95" hidden="1" customHeight="1">
      <c r="A47" s="598">
        <f t="shared" si="0"/>
        <v>24</v>
      </c>
      <c r="B47" s="599">
        <v>2</v>
      </c>
      <c r="C47" s="600" t="s">
        <v>425</v>
      </c>
      <c r="D47" s="601">
        <v>9</v>
      </c>
      <c r="E47" s="602">
        <v>55550</v>
      </c>
      <c r="F47" s="603">
        <v>499950</v>
      </c>
      <c r="G47" s="604" t="s">
        <v>88</v>
      </c>
      <c r="H47" s="605" t="s">
        <v>396</v>
      </c>
      <c r="I47" s="605" t="s">
        <v>83</v>
      </c>
      <c r="J47" s="605" t="s">
        <v>34</v>
      </c>
      <c r="K47" s="640">
        <v>0</v>
      </c>
      <c r="L47" s="604" t="s">
        <v>426</v>
      </c>
      <c r="M47" s="604" t="s">
        <v>138</v>
      </c>
      <c r="N47" s="606">
        <v>405000</v>
      </c>
    </row>
    <row r="48" spans="1:15" ht="35.25" customHeight="1">
      <c r="A48" s="580">
        <f t="shared" si="0"/>
        <v>25</v>
      </c>
      <c r="B48" s="514">
        <v>2</v>
      </c>
      <c r="C48" s="10" t="s">
        <v>492</v>
      </c>
      <c r="D48" s="11">
        <v>2</v>
      </c>
      <c r="E48" s="455">
        <v>130000</v>
      </c>
      <c r="F48" s="554">
        <v>260000</v>
      </c>
      <c r="G48" s="11" t="s">
        <v>90</v>
      </c>
      <c r="H48" s="11" t="s">
        <v>396</v>
      </c>
      <c r="I48" s="11" t="s">
        <v>83</v>
      </c>
      <c r="J48" s="264" t="s">
        <v>401</v>
      </c>
      <c r="K48" s="553">
        <v>231766</v>
      </c>
      <c r="L48" s="112" t="s">
        <v>165</v>
      </c>
      <c r="M48" s="276" t="s">
        <v>138</v>
      </c>
    </row>
    <row r="49" spans="1:16382" ht="24.95" customHeight="1">
      <c r="A49" s="580">
        <f t="shared" si="0"/>
        <v>26</v>
      </c>
      <c r="B49" s="514">
        <v>3</v>
      </c>
      <c r="C49" s="14" t="s">
        <v>494</v>
      </c>
      <c r="D49" s="11">
        <v>3</v>
      </c>
      <c r="E49" s="455">
        <v>196500</v>
      </c>
      <c r="F49" s="490">
        <v>589500</v>
      </c>
      <c r="G49" s="11" t="s">
        <v>90</v>
      </c>
      <c r="H49" s="11" t="s">
        <v>396</v>
      </c>
      <c r="I49" s="11" t="s">
        <v>83</v>
      </c>
      <c r="J49" s="264" t="s">
        <v>401</v>
      </c>
      <c r="K49" s="553">
        <v>474414</v>
      </c>
      <c r="L49" s="112" t="s">
        <v>165</v>
      </c>
      <c r="M49" s="276" t="s">
        <v>138</v>
      </c>
    </row>
    <row r="50" spans="1:16382" ht="24.95" customHeight="1">
      <c r="A50" s="580">
        <f t="shared" si="0"/>
        <v>27</v>
      </c>
      <c r="B50" s="514">
        <v>4</v>
      </c>
      <c r="C50" s="14" t="s">
        <v>496</v>
      </c>
      <c r="D50" s="11">
        <v>3</v>
      </c>
      <c r="E50" s="455">
        <v>100000</v>
      </c>
      <c r="F50" s="490">
        <v>300000</v>
      </c>
      <c r="G50" s="11" t="s">
        <v>90</v>
      </c>
      <c r="H50" s="11" t="s">
        <v>396</v>
      </c>
      <c r="I50" s="11" t="s">
        <v>83</v>
      </c>
      <c r="J50" s="264" t="s">
        <v>401</v>
      </c>
      <c r="K50" s="553">
        <v>296403</v>
      </c>
      <c r="L50" s="112" t="s">
        <v>165</v>
      </c>
      <c r="M50" s="276" t="s">
        <v>138</v>
      </c>
    </row>
    <row r="51" spans="1:16382" ht="42.75" customHeight="1">
      <c r="A51" s="580">
        <f t="shared" si="0"/>
        <v>28</v>
      </c>
      <c r="B51" s="514">
        <v>5</v>
      </c>
      <c r="C51" s="14" t="s">
        <v>498</v>
      </c>
      <c r="D51" s="11">
        <v>3</v>
      </c>
      <c r="E51" s="455">
        <v>9000</v>
      </c>
      <c r="F51" s="490">
        <v>27000</v>
      </c>
      <c r="G51" s="11" t="s">
        <v>90</v>
      </c>
      <c r="H51" s="11" t="s">
        <v>396</v>
      </c>
      <c r="I51" s="11" t="s">
        <v>83</v>
      </c>
      <c r="J51" s="264" t="s">
        <v>401</v>
      </c>
      <c r="K51" s="553">
        <v>26214</v>
      </c>
      <c r="L51" s="112" t="s">
        <v>499</v>
      </c>
      <c r="M51" s="276" t="s">
        <v>138</v>
      </c>
    </row>
    <row r="52" spans="1:16382" ht="49.5" customHeight="1">
      <c r="A52" s="580">
        <f t="shared" si="0"/>
        <v>29</v>
      </c>
      <c r="B52" s="514">
        <v>6</v>
      </c>
      <c r="C52" s="10" t="s">
        <v>502</v>
      </c>
      <c r="D52" s="11">
        <v>2</v>
      </c>
      <c r="E52" s="455">
        <v>175000</v>
      </c>
      <c r="F52" s="490">
        <v>350000</v>
      </c>
      <c r="G52" s="11" t="s">
        <v>90</v>
      </c>
      <c r="H52" s="11" t="s">
        <v>396</v>
      </c>
      <c r="I52" s="11" t="s">
        <v>83</v>
      </c>
      <c r="J52" s="264" t="s">
        <v>401</v>
      </c>
      <c r="K52" s="553">
        <v>274912</v>
      </c>
      <c r="L52" s="112" t="s">
        <v>165</v>
      </c>
      <c r="M52" s="276" t="s">
        <v>138</v>
      </c>
    </row>
    <row r="53" spans="1:16382" ht="35.25" customHeight="1">
      <c r="A53" s="580">
        <f t="shared" si="0"/>
        <v>30</v>
      </c>
      <c r="B53" s="514">
        <v>7</v>
      </c>
      <c r="C53" s="10" t="s">
        <v>504</v>
      </c>
      <c r="D53" s="11">
        <v>5</v>
      </c>
      <c r="E53" s="455">
        <v>17500</v>
      </c>
      <c r="F53" s="490">
        <v>87500</v>
      </c>
      <c r="G53" s="11" t="s">
        <v>90</v>
      </c>
      <c r="H53" s="11" t="s">
        <v>396</v>
      </c>
      <c r="I53" s="11" t="s">
        <v>83</v>
      </c>
      <c r="J53" s="264" t="s">
        <v>401</v>
      </c>
      <c r="K53" s="553">
        <v>84010</v>
      </c>
      <c r="L53" s="112" t="s">
        <v>499</v>
      </c>
      <c r="M53" s="276" t="s">
        <v>138</v>
      </c>
    </row>
    <row r="54" spans="1:16382" ht="24.95" customHeight="1">
      <c r="A54" s="580">
        <f t="shared" si="0"/>
        <v>31</v>
      </c>
      <c r="B54" s="514">
        <v>8</v>
      </c>
      <c r="C54" s="10" t="s">
        <v>506</v>
      </c>
      <c r="D54" s="11">
        <v>4</v>
      </c>
      <c r="E54" s="455">
        <v>10000</v>
      </c>
      <c r="F54" s="490">
        <v>40000</v>
      </c>
      <c r="G54" s="11" t="s">
        <v>90</v>
      </c>
      <c r="H54" s="11" t="s">
        <v>396</v>
      </c>
      <c r="I54" s="11" t="s">
        <v>83</v>
      </c>
      <c r="J54" s="264" t="s">
        <v>401</v>
      </c>
      <c r="K54" s="553">
        <v>37328</v>
      </c>
      <c r="L54" s="112" t="s">
        <v>499</v>
      </c>
      <c r="M54" s="276" t="s">
        <v>138</v>
      </c>
    </row>
    <row r="55" spans="1:16382" ht="39.75" customHeight="1">
      <c r="A55" s="580">
        <f t="shared" si="0"/>
        <v>32</v>
      </c>
      <c r="B55" s="514">
        <v>12</v>
      </c>
      <c r="C55" s="10" t="s">
        <v>516</v>
      </c>
      <c r="D55" s="11">
        <v>5</v>
      </c>
      <c r="E55" s="455">
        <v>45000</v>
      </c>
      <c r="F55" s="490">
        <v>225000</v>
      </c>
      <c r="G55" s="11" t="s">
        <v>90</v>
      </c>
      <c r="H55" s="11" t="s">
        <v>396</v>
      </c>
      <c r="I55" s="11" t="s">
        <v>83</v>
      </c>
      <c r="J55" s="264" t="s">
        <v>401</v>
      </c>
      <c r="K55" s="553">
        <v>190000</v>
      </c>
      <c r="L55" s="112" t="s">
        <v>517</v>
      </c>
      <c r="M55" s="276" t="s">
        <v>138</v>
      </c>
    </row>
    <row r="56" spans="1:16382" ht="24.95" customHeight="1">
      <c r="A56" s="580">
        <f t="shared" si="0"/>
        <v>33</v>
      </c>
      <c r="B56" s="514">
        <v>13</v>
      </c>
      <c r="C56" s="10" t="s">
        <v>518</v>
      </c>
      <c r="D56" s="11">
        <v>5</v>
      </c>
      <c r="E56" s="455">
        <v>3500</v>
      </c>
      <c r="F56" s="490">
        <v>17500</v>
      </c>
      <c r="G56" s="11" t="s">
        <v>90</v>
      </c>
      <c r="H56" s="11" t="s">
        <v>396</v>
      </c>
      <c r="I56" s="11" t="s">
        <v>83</v>
      </c>
      <c r="J56" s="264" t="s">
        <v>401</v>
      </c>
      <c r="K56" s="553">
        <v>17230</v>
      </c>
      <c r="L56" s="112" t="s">
        <v>499</v>
      </c>
      <c r="M56" s="276" t="s">
        <v>138</v>
      </c>
    </row>
    <row r="57" spans="1:16382" ht="24.95" customHeight="1">
      <c r="A57" s="580">
        <f t="shared" si="0"/>
        <v>34</v>
      </c>
      <c r="B57" s="514">
        <v>14</v>
      </c>
      <c r="C57" s="14" t="s">
        <v>521</v>
      </c>
      <c r="D57" s="11">
        <v>3</v>
      </c>
      <c r="E57" s="455">
        <v>8500</v>
      </c>
      <c r="F57" s="490">
        <v>25500</v>
      </c>
      <c r="G57" s="11" t="s">
        <v>90</v>
      </c>
      <c r="H57" s="11" t="s">
        <v>396</v>
      </c>
      <c r="I57" s="11" t="s">
        <v>83</v>
      </c>
      <c r="J57" s="264" t="s">
        <v>401</v>
      </c>
      <c r="K57" s="553">
        <v>23973</v>
      </c>
      <c r="L57" s="112" t="s">
        <v>499</v>
      </c>
      <c r="M57" s="276" t="s">
        <v>138</v>
      </c>
    </row>
    <row r="58" spans="1:16382" ht="24.95" customHeight="1">
      <c r="A58" s="580">
        <f t="shared" si="0"/>
        <v>35</v>
      </c>
      <c r="B58" s="514">
        <v>15</v>
      </c>
      <c r="C58" s="14" t="s">
        <v>524</v>
      </c>
      <c r="D58" s="11">
        <v>2</v>
      </c>
      <c r="E58" s="455">
        <v>155000</v>
      </c>
      <c r="F58" s="490">
        <v>310000</v>
      </c>
      <c r="G58" s="11" t="s">
        <v>90</v>
      </c>
      <c r="H58" s="11" t="s">
        <v>396</v>
      </c>
      <c r="I58" s="11" t="s">
        <v>83</v>
      </c>
      <c r="J58" s="264" t="s">
        <v>401</v>
      </c>
      <c r="K58" s="553">
        <v>266992</v>
      </c>
      <c r="L58" s="112" t="s">
        <v>165</v>
      </c>
      <c r="M58" s="276" t="s">
        <v>138</v>
      </c>
    </row>
    <row r="59" spans="1:16382" ht="24.95" customHeight="1">
      <c r="A59" s="580">
        <f t="shared" si="0"/>
        <v>36</v>
      </c>
      <c r="B59" s="514">
        <v>16</v>
      </c>
      <c r="C59" s="14" t="s">
        <v>526</v>
      </c>
      <c r="D59" s="11">
        <v>3</v>
      </c>
      <c r="E59" s="455">
        <v>30000</v>
      </c>
      <c r="F59" s="490">
        <v>90000</v>
      </c>
      <c r="G59" s="11" t="s">
        <v>90</v>
      </c>
      <c r="H59" s="11" t="s">
        <v>396</v>
      </c>
      <c r="I59" s="11" t="s">
        <v>83</v>
      </c>
      <c r="J59" s="264" t="s">
        <v>401</v>
      </c>
      <c r="K59" s="553">
        <v>76500</v>
      </c>
      <c r="L59" s="112" t="s">
        <v>517</v>
      </c>
      <c r="M59" s="276" t="s">
        <v>138</v>
      </c>
    </row>
    <row r="60" spans="1:16382" ht="24.95" customHeight="1">
      <c r="A60" s="580">
        <f t="shared" si="0"/>
        <v>37</v>
      </c>
      <c r="B60" s="578">
        <v>9</v>
      </c>
      <c r="C60" s="14" t="s">
        <v>508</v>
      </c>
      <c r="D60" s="11">
        <v>1</v>
      </c>
      <c r="E60" s="454">
        <v>350000</v>
      </c>
      <c r="F60" s="454">
        <v>350000</v>
      </c>
      <c r="G60" s="11" t="s">
        <v>90</v>
      </c>
      <c r="H60" s="11" t="s">
        <v>396</v>
      </c>
      <c r="I60" s="11" t="s">
        <v>83</v>
      </c>
      <c r="J60" s="264" t="s">
        <v>401</v>
      </c>
      <c r="K60" s="488">
        <v>339470</v>
      </c>
      <c r="L60" s="112" t="s">
        <v>499</v>
      </c>
      <c r="M60" s="556" t="s">
        <v>138</v>
      </c>
      <c r="N60" s="162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  <c r="DG60" s="160"/>
      <c r="DH60" s="160"/>
      <c r="DI60" s="160"/>
      <c r="DJ60" s="160"/>
      <c r="DK60" s="160"/>
      <c r="DL60" s="160"/>
      <c r="DM60" s="160"/>
      <c r="DN60" s="160"/>
      <c r="DO60" s="160"/>
      <c r="DP60" s="160"/>
      <c r="DQ60" s="160"/>
      <c r="DR60" s="160"/>
      <c r="DS60" s="160"/>
      <c r="DT60" s="160"/>
      <c r="DU60" s="160"/>
      <c r="DV60" s="160"/>
      <c r="DW60" s="160"/>
      <c r="DX60" s="160"/>
      <c r="DY60" s="160"/>
      <c r="DZ60" s="160"/>
      <c r="EA60" s="160"/>
      <c r="EB60" s="160"/>
      <c r="EC60" s="160"/>
      <c r="ED60" s="160"/>
      <c r="EE60" s="160"/>
      <c r="EF60" s="160"/>
      <c r="EG60" s="160"/>
      <c r="EH60" s="160"/>
      <c r="EI60" s="160"/>
      <c r="EJ60" s="160"/>
      <c r="EK60" s="160"/>
      <c r="EL60" s="160"/>
      <c r="EM60" s="160"/>
      <c r="EN60" s="160"/>
      <c r="EO60" s="160"/>
      <c r="EP60" s="160"/>
      <c r="EQ60" s="160"/>
      <c r="ER60" s="160"/>
      <c r="ES60" s="160"/>
      <c r="ET60" s="160"/>
      <c r="EU60" s="160"/>
      <c r="EV60" s="160"/>
      <c r="EW60" s="160"/>
      <c r="EX60" s="160"/>
      <c r="EY60" s="160"/>
      <c r="EZ60" s="160"/>
      <c r="FA60" s="160"/>
      <c r="FB60" s="160"/>
      <c r="FC60" s="160"/>
      <c r="FD60" s="160"/>
      <c r="FE60" s="160"/>
      <c r="FF60" s="160"/>
      <c r="FG60" s="160"/>
      <c r="FH60" s="160"/>
      <c r="FI60" s="160"/>
      <c r="FJ60" s="160"/>
      <c r="FK60" s="160"/>
      <c r="FL60" s="160"/>
      <c r="FM60" s="160"/>
      <c r="FN60" s="160"/>
      <c r="FO60" s="160"/>
      <c r="FP60" s="160"/>
      <c r="FQ60" s="160"/>
      <c r="FR60" s="160"/>
      <c r="FS60" s="160"/>
      <c r="FT60" s="160"/>
      <c r="FU60" s="160"/>
      <c r="FV60" s="160"/>
      <c r="FW60" s="160"/>
      <c r="FX60" s="160"/>
      <c r="FY60" s="160"/>
      <c r="FZ60" s="160"/>
      <c r="GA60" s="160"/>
      <c r="GB60" s="160"/>
      <c r="GC60" s="160"/>
      <c r="GD60" s="160"/>
      <c r="GE60" s="160"/>
      <c r="GF60" s="160"/>
      <c r="GG60" s="160"/>
      <c r="GH60" s="160"/>
      <c r="GI60" s="160"/>
      <c r="GJ60" s="160"/>
      <c r="GK60" s="160"/>
      <c r="GL60" s="160"/>
      <c r="GM60" s="160"/>
      <c r="GN60" s="160"/>
      <c r="GO60" s="160"/>
      <c r="GP60" s="160"/>
      <c r="GQ60" s="160"/>
      <c r="GR60" s="160"/>
      <c r="GS60" s="160"/>
      <c r="GT60" s="160"/>
      <c r="GU60" s="160"/>
      <c r="GV60" s="160"/>
      <c r="GW60" s="160"/>
      <c r="GX60" s="160"/>
      <c r="GY60" s="160"/>
      <c r="GZ60" s="160"/>
      <c r="HA60" s="160"/>
      <c r="HB60" s="160"/>
      <c r="HC60" s="160"/>
      <c r="HD60" s="160"/>
      <c r="HE60" s="160"/>
      <c r="HF60" s="160"/>
      <c r="HG60" s="160"/>
      <c r="HH60" s="160"/>
      <c r="HI60" s="160"/>
      <c r="HJ60" s="160"/>
      <c r="HK60" s="160"/>
      <c r="HL60" s="160"/>
      <c r="HM60" s="160"/>
      <c r="HN60" s="160"/>
      <c r="HO60" s="160"/>
      <c r="HP60" s="160"/>
      <c r="HQ60" s="160"/>
      <c r="HR60" s="160"/>
      <c r="HS60" s="160"/>
      <c r="HT60" s="160"/>
      <c r="HU60" s="160"/>
      <c r="HV60" s="160"/>
      <c r="HW60" s="160"/>
      <c r="HX60" s="160"/>
      <c r="HY60" s="160"/>
      <c r="HZ60" s="160"/>
      <c r="IA60" s="160"/>
      <c r="IB60" s="160"/>
      <c r="IC60" s="160"/>
      <c r="ID60" s="160"/>
      <c r="IE60" s="160"/>
      <c r="IF60" s="160"/>
      <c r="IG60" s="160"/>
      <c r="IH60" s="160"/>
      <c r="II60" s="160"/>
      <c r="IJ60" s="160"/>
      <c r="IK60" s="160"/>
      <c r="IL60" s="160"/>
      <c r="IM60" s="160"/>
      <c r="IN60" s="160"/>
      <c r="IO60" s="160"/>
      <c r="IP60" s="160"/>
      <c r="IQ60" s="160"/>
      <c r="IR60" s="160"/>
      <c r="IS60" s="160"/>
      <c r="IT60" s="160"/>
      <c r="IU60" s="160"/>
      <c r="IV60" s="160"/>
      <c r="IW60" s="160"/>
      <c r="IX60" s="160"/>
      <c r="IY60" s="160"/>
      <c r="IZ60" s="160"/>
      <c r="JA60" s="160"/>
      <c r="JB60" s="160"/>
      <c r="JC60" s="160"/>
      <c r="JD60" s="160"/>
      <c r="JE60" s="160"/>
      <c r="JF60" s="160"/>
      <c r="JG60" s="160"/>
      <c r="JH60" s="160"/>
      <c r="JI60" s="160"/>
      <c r="JJ60" s="160"/>
      <c r="JK60" s="160"/>
      <c r="JL60" s="160"/>
      <c r="JM60" s="160"/>
      <c r="JN60" s="160"/>
      <c r="JO60" s="160"/>
      <c r="JP60" s="160"/>
      <c r="JQ60" s="160"/>
      <c r="JR60" s="160"/>
      <c r="JS60" s="160"/>
      <c r="JT60" s="160"/>
      <c r="JU60" s="160"/>
      <c r="JV60" s="160"/>
      <c r="JW60" s="160"/>
      <c r="JX60" s="160"/>
      <c r="JY60" s="160"/>
      <c r="JZ60" s="160"/>
      <c r="KA60" s="160"/>
      <c r="KB60" s="160"/>
      <c r="KC60" s="160"/>
      <c r="KD60" s="160"/>
      <c r="KE60" s="160"/>
      <c r="KF60" s="160"/>
      <c r="KG60" s="160"/>
      <c r="KH60" s="160"/>
      <c r="KI60" s="160"/>
      <c r="KJ60" s="160"/>
      <c r="KK60" s="160"/>
      <c r="KL60" s="160"/>
      <c r="KM60" s="160"/>
      <c r="KN60" s="160"/>
      <c r="KO60" s="160"/>
      <c r="KP60" s="160"/>
      <c r="KQ60" s="160"/>
      <c r="KR60" s="160"/>
      <c r="KS60" s="160"/>
      <c r="KT60" s="160"/>
      <c r="KU60" s="160"/>
      <c r="KV60" s="160"/>
      <c r="KW60" s="160"/>
      <c r="KX60" s="160"/>
      <c r="KY60" s="160"/>
      <c r="KZ60" s="160"/>
      <c r="LA60" s="160"/>
      <c r="LB60" s="160"/>
      <c r="LC60" s="160"/>
      <c r="LD60" s="160"/>
      <c r="LE60" s="160"/>
      <c r="LF60" s="160"/>
      <c r="LG60" s="160"/>
      <c r="LH60" s="160"/>
      <c r="LI60" s="160"/>
      <c r="LJ60" s="160"/>
      <c r="LK60" s="160"/>
      <c r="LL60" s="160"/>
      <c r="LM60" s="160"/>
      <c r="LN60" s="160"/>
      <c r="LO60" s="160"/>
      <c r="LP60" s="160"/>
      <c r="LQ60" s="160"/>
      <c r="LR60" s="160"/>
      <c r="LS60" s="160"/>
      <c r="LT60" s="160"/>
      <c r="LU60" s="160"/>
      <c r="LV60" s="160"/>
      <c r="LW60" s="160"/>
      <c r="LX60" s="160"/>
      <c r="LY60" s="160"/>
      <c r="LZ60" s="160"/>
      <c r="MA60" s="160"/>
      <c r="MB60" s="160"/>
      <c r="MC60" s="160"/>
      <c r="MD60" s="160"/>
      <c r="ME60" s="160"/>
      <c r="MF60" s="160"/>
      <c r="MG60" s="160"/>
      <c r="MH60" s="160"/>
      <c r="MI60" s="160"/>
      <c r="MJ60" s="160"/>
      <c r="MK60" s="160"/>
      <c r="ML60" s="160"/>
      <c r="MM60" s="160"/>
      <c r="MN60" s="160"/>
      <c r="MO60" s="160"/>
      <c r="MP60" s="160"/>
      <c r="MQ60" s="160"/>
      <c r="MR60" s="160"/>
      <c r="MS60" s="160"/>
      <c r="MT60" s="160"/>
      <c r="MU60" s="160"/>
      <c r="MV60" s="160"/>
      <c r="MW60" s="160"/>
      <c r="MX60" s="160"/>
      <c r="MY60" s="160"/>
      <c r="MZ60" s="160"/>
      <c r="NA60" s="160"/>
      <c r="NB60" s="160"/>
      <c r="NC60" s="160"/>
      <c r="ND60" s="160"/>
      <c r="NE60" s="160"/>
      <c r="NF60" s="160"/>
      <c r="NG60" s="160"/>
      <c r="NH60" s="160"/>
      <c r="NI60" s="160"/>
      <c r="NJ60" s="160"/>
      <c r="NK60" s="160"/>
      <c r="NL60" s="160"/>
      <c r="NM60" s="160"/>
      <c r="NN60" s="160"/>
      <c r="NO60" s="160"/>
      <c r="NP60" s="160"/>
      <c r="NQ60" s="160"/>
      <c r="NR60" s="160"/>
      <c r="NS60" s="160"/>
      <c r="NT60" s="160"/>
      <c r="NU60" s="160"/>
      <c r="NV60" s="160"/>
      <c r="NW60" s="160"/>
      <c r="NX60" s="160"/>
      <c r="NY60" s="160"/>
      <c r="NZ60" s="160"/>
      <c r="OA60" s="160"/>
      <c r="OB60" s="160"/>
      <c r="OC60" s="160"/>
      <c r="OD60" s="160"/>
      <c r="OE60" s="160"/>
      <c r="OF60" s="160"/>
      <c r="OG60" s="160"/>
      <c r="OH60" s="160"/>
      <c r="OI60" s="160"/>
      <c r="OJ60" s="160"/>
      <c r="OK60" s="160"/>
      <c r="OL60" s="160"/>
      <c r="OM60" s="160"/>
      <c r="ON60" s="160"/>
      <c r="OO60" s="160"/>
      <c r="OP60" s="160"/>
      <c r="OQ60" s="160"/>
      <c r="OR60" s="160"/>
      <c r="OS60" s="160"/>
      <c r="OT60" s="160"/>
      <c r="OU60" s="160"/>
      <c r="OV60" s="160"/>
      <c r="OW60" s="160"/>
      <c r="OX60" s="160"/>
      <c r="OY60" s="160"/>
      <c r="OZ60" s="160"/>
      <c r="PA60" s="160"/>
      <c r="PB60" s="160"/>
      <c r="PC60" s="160"/>
      <c r="PD60" s="160"/>
      <c r="PE60" s="160"/>
      <c r="PF60" s="160"/>
      <c r="PG60" s="160"/>
      <c r="PH60" s="160"/>
      <c r="PI60" s="160"/>
      <c r="PJ60" s="160"/>
      <c r="PK60" s="160"/>
      <c r="PL60" s="160"/>
      <c r="PM60" s="160"/>
      <c r="PN60" s="160"/>
      <c r="PO60" s="160"/>
      <c r="PP60" s="160"/>
      <c r="PQ60" s="160"/>
      <c r="PR60" s="160"/>
      <c r="PS60" s="160"/>
      <c r="PT60" s="160"/>
      <c r="PU60" s="160"/>
      <c r="PV60" s="160"/>
      <c r="PW60" s="160"/>
      <c r="PX60" s="160"/>
      <c r="PY60" s="160"/>
      <c r="PZ60" s="160"/>
      <c r="QA60" s="160"/>
      <c r="QB60" s="160"/>
      <c r="QC60" s="160"/>
      <c r="QD60" s="160"/>
      <c r="QE60" s="160"/>
      <c r="QF60" s="160"/>
      <c r="QG60" s="160"/>
      <c r="QH60" s="160"/>
      <c r="QI60" s="160"/>
      <c r="QJ60" s="160"/>
      <c r="QK60" s="160"/>
      <c r="QL60" s="160"/>
      <c r="QM60" s="160"/>
      <c r="QN60" s="160"/>
      <c r="QO60" s="160"/>
      <c r="QP60" s="160"/>
      <c r="QQ60" s="160"/>
      <c r="QR60" s="160"/>
      <c r="QS60" s="160"/>
      <c r="QT60" s="160"/>
      <c r="QU60" s="160"/>
      <c r="QV60" s="160"/>
      <c r="QW60" s="160"/>
      <c r="QX60" s="160"/>
      <c r="QY60" s="160"/>
      <c r="QZ60" s="160"/>
      <c r="RA60" s="160"/>
      <c r="RB60" s="160"/>
      <c r="RC60" s="160"/>
      <c r="RD60" s="160"/>
      <c r="RE60" s="160"/>
      <c r="RF60" s="160"/>
      <c r="RG60" s="160"/>
      <c r="RH60" s="160"/>
      <c r="RI60" s="160"/>
      <c r="RJ60" s="160"/>
      <c r="RK60" s="160"/>
      <c r="RL60" s="160"/>
      <c r="RM60" s="160"/>
      <c r="RN60" s="160"/>
      <c r="RO60" s="160"/>
      <c r="RP60" s="160"/>
      <c r="RQ60" s="160"/>
      <c r="RR60" s="160"/>
      <c r="RS60" s="160"/>
      <c r="RT60" s="160"/>
      <c r="RU60" s="160"/>
      <c r="RV60" s="160"/>
      <c r="RW60" s="160"/>
      <c r="RX60" s="160"/>
      <c r="RY60" s="160"/>
      <c r="RZ60" s="160"/>
      <c r="SA60" s="160"/>
      <c r="SB60" s="160"/>
      <c r="SC60" s="160"/>
      <c r="SD60" s="160"/>
      <c r="SE60" s="160"/>
      <c r="SF60" s="160"/>
      <c r="SG60" s="160"/>
      <c r="SH60" s="160"/>
      <c r="SI60" s="160"/>
      <c r="SJ60" s="160"/>
      <c r="SK60" s="160"/>
      <c r="SL60" s="160"/>
      <c r="SM60" s="160"/>
      <c r="SN60" s="160"/>
      <c r="SO60" s="160"/>
      <c r="SP60" s="160"/>
      <c r="SQ60" s="160"/>
      <c r="SR60" s="160"/>
      <c r="SS60" s="160"/>
      <c r="ST60" s="160"/>
      <c r="SU60" s="160"/>
      <c r="SV60" s="160"/>
      <c r="SW60" s="160"/>
      <c r="SX60" s="160"/>
      <c r="SY60" s="160"/>
      <c r="SZ60" s="160"/>
      <c r="TA60" s="160"/>
      <c r="TB60" s="160"/>
      <c r="TC60" s="160"/>
      <c r="TD60" s="160"/>
      <c r="TE60" s="160"/>
      <c r="TF60" s="160"/>
      <c r="TG60" s="160"/>
      <c r="TH60" s="160"/>
      <c r="TI60" s="160"/>
      <c r="TJ60" s="160"/>
      <c r="TK60" s="160"/>
      <c r="TL60" s="160"/>
      <c r="TM60" s="160"/>
      <c r="TN60" s="160"/>
      <c r="TO60" s="160"/>
      <c r="TP60" s="160"/>
      <c r="TQ60" s="160"/>
      <c r="TR60" s="160"/>
      <c r="TS60" s="160"/>
      <c r="TT60" s="160"/>
      <c r="TU60" s="160"/>
      <c r="TV60" s="160"/>
      <c r="TW60" s="160"/>
      <c r="TX60" s="160"/>
      <c r="TY60" s="160"/>
      <c r="TZ60" s="160"/>
      <c r="UA60" s="160"/>
      <c r="UB60" s="160"/>
      <c r="UC60" s="160"/>
      <c r="UD60" s="160"/>
      <c r="UE60" s="160"/>
      <c r="UF60" s="160"/>
      <c r="UG60" s="160"/>
      <c r="UH60" s="160"/>
      <c r="UI60" s="160"/>
      <c r="UJ60" s="160"/>
      <c r="UK60" s="160"/>
      <c r="UL60" s="160"/>
      <c r="UM60" s="160"/>
      <c r="UN60" s="160"/>
      <c r="UO60" s="160"/>
      <c r="UP60" s="160"/>
      <c r="UQ60" s="160"/>
      <c r="UR60" s="160"/>
      <c r="US60" s="160"/>
      <c r="UT60" s="160"/>
      <c r="UU60" s="160"/>
      <c r="UV60" s="160"/>
      <c r="UW60" s="160"/>
      <c r="UX60" s="160"/>
      <c r="UY60" s="160"/>
      <c r="UZ60" s="160"/>
      <c r="VA60" s="160"/>
      <c r="VB60" s="160"/>
      <c r="VC60" s="160"/>
      <c r="VD60" s="160"/>
      <c r="VE60" s="160"/>
      <c r="VF60" s="160"/>
      <c r="VG60" s="160"/>
      <c r="VH60" s="160"/>
      <c r="VI60" s="160"/>
      <c r="VJ60" s="160"/>
      <c r="VK60" s="160"/>
      <c r="VL60" s="160"/>
      <c r="VM60" s="160"/>
      <c r="VN60" s="160"/>
      <c r="VO60" s="160"/>
      <c r="VP60" s="160"/>
      <c r="VQ60" s="160"/>
      <c r="VR60" s="160"/>
      <c r="VS60" s="160"/>
      <c r="VT60" s="160"/>
      <c r="VU60" s="160"/>
      <c r="VV60" s="160"/>
      <c r="VW60" s="160"/>
      <c r="VX60" s="160"/>
      <c r="VY60" s="160"/>
      <c r="VZ60" s="160"/>
      <c r="WA60" s="160"/>
      <c r="WB60" s="160"/>
      <c r="WC60" s="160"/>
      <c r="WD60" s="160"/>
      <c r="WE60" s="160"/>
      <c r="WF60" s="160"/>
      <c r="WG60" s="160"/>
      <c r="WH60" s="160"/>
      <c r="WI60" s="160"/>
      <c r="WJ60" s="160"/>
      <c r="WK60" s="160"/>
      <c r="WL60" s="160"/>
      <c r="WM60" s="160"/>
      <c r="WN60" s="160"/>
      <c r="WO60" s="160"/>
      <c r="WP60" s="160"/>
      <c r="WQ60" s="160"/>
      <c r="WR60" s="160"/>
      <c r="WS60" s="160"/>
      <c r="WT60" s="160"/>
      <c r="WU60" s="160"/>
      <c r="WV60" s="160"/>
      <c r="WW60" s="160"/>
      <c r="WX60" s="160"/>
      <c r="WY60" s="160"/>
      <c r="WZ60" s="160"/>
      <c r="XA60" s="160"/>
      <c r="XB60" s="160"/>
      <c r="XC60" s="160"/>
      <c r="XD60" s="160"/>
      <c r="XE60" s="160"/>
      <c r="XF60" s="160"/>
      <c r="XG60" s="160"/>
      <c r="XH60" s="160"/>
      <c r="XI60" s="160"/>
      <c r="XJ60" s="160"/>
      <c r="XK60" s="160"/>
      <c r="XL60" s="160"/>
      <c r="XM60" s="160"/>
      <c r="XN60" s="160"/>
      <c r="XO60" s="160"/>
      <c r="XP60" s="160"/>
      <c r="XQ60" s="160"/>
      <c r="XR60" s="160"/>
      <c r="XS60" s="160"/>
      <c r="XT60" s="160"/>
      <c r="XU60" s="160"/>
      <c r="XV60" s="160"/>
      <c r="XW60" s="160"/>
      <c r="XX60" s="160"/>
      <c r="XY60" s="160"/>
      <c r="XZ60" s="160"/>
      <c r="YA60" s="160"/>
      <c r="YB60" s="160"/>
      <c r="YC60" s="160"/>
      <c r="YD60" s="160"/>
      <c r="YE60" s="160"/>
      <c r="YF60" s="160"/>
      <c r="YG60" s="160"/>
      <c r="YH60" s="160"/>
      <c r="YI60" s="160"/>
      <c r="YJ60" s="160"/>
      <c r="YK60" s="160"/>
      <c r="YL60" s="160"/>
      <c r="YM60" s="160"/>
      <c r="YN60" s="160"/>
      <c r="YO60" s="160"/>
      <c r="YP60" s="160"/>
      <c r="YQ60" s="160"/>
      <c r="YR60" s="160"/>
      <c r="YS60" s="160"/>
      <c r="YT60" s="160"/>
      <c r="YU60" s="160"/>
      <c r="YV60" s="160"/>
      <c r="YW60" s="160"/>
      <c r="YX60" s="160"/>
      <c r="YY60" s="160"/>
      <c r="YZ60" s="160"/>
      <c r="ZA60" s="160"/>
      <c r="ZB60" s="160"/>
      <c r="ZC60" s="160"/>
      <c r="ZD60" s="160"/>
      <c r="ZE60" s="160"/>
      <c r="ZF60" s="160"/>
      <c r="ZG60" s="160"/>
      <c r="ZH60" s="160"/>
      <c r="ZI60" s="160"/>
      <c r="ZJ60" s="160"/>
      <c r="ZK60" s="160"/>
      <c r="ZL60" s="160"/>
      <c r="ZM60" s="160"/>
      <c r="ZN60" s="160"/>
      <c r="ZO60" s="160"/>
      <c r="ZP60" s="160"/>
      <c r="ZQ60" s="160"/>
      <c r="ZR60" s="160"/>
      <c r="ZS60" s="160"/>
      <c r="ZT60" s="160"/>
      <c r="ZU60" s="160"/>
      <c r="ZV60" s="160"/>
      <c r="ZW60" s="160"/>
      <c r="ZX60" s="160"/>
      <c r="ZY60" s="160"/>
      <c r="ZZ60" s="160"/>
      <c r="AAA60" s="160"/>
      <c r="AAB60" s="160"/>
      <c r="AAC60" s="160"/>
      <c r="AAD60" s="160"/>
      <c r="AAE60" s="160"/>
      <c r="AAF60" s="160"/>
      <c r="AAG60" s="160"/>
      <c r="AAH60" s="160"/>
      <c r="AAI60" s="160"/>
      <c r="AAJ60" s="160"/>
      <c r="AAK60" s="160"/>
      <c r="AAL60" s="160"/>
      <c r="AAM60" s="160"/>
      <c r="AAN60" s="160"/>
      <c r="AAO60" s="160"/>
      <c r="AAP60" s="160"/>
      <c r="AAQ60" s="160"/>
      <c r="AAR60" s="160"/>
      <c r="AAS60" s="160"/>
      <c r="AAT60" s="160"/>
      <c r="AAU60" s="160"/>
      <c r="AAV60" s="160"/>
      <c r="AAW60" s="160"/>
      <c r="AAX60" s="160"/>
      <c r="AAY60" s="160"/>
      <c r="AAZ60" s="160"/>
      <c r="ABA60" s="160"/>
      <c r="ABB60" s="160"/>
      <c r="ABC60" s="160"/>
      <c r="ABD60" s="160"/>
      <c r="ABE60" s="160"/>
      <c r="ABF60" s="160"/>
      <c r="ABG60" s="160"/>
      <c r="ABH60" s="160"/>
      <c r="ABI60" s="160"/>
      <c r="ABJ60" s="160"/>
      <c r="ABK60" s="160"/>
      <c r="ABL60" s="160"/>
      <c r="ABM60" s="160"/>
      <c r="ABN60" s="160"/>
      <c r="ABO60" s="160"/>
      <c r="ABP60" s="160"/>
      <c r="ABQ60" s="160"/>
      <c r="ABR60" s="160"/>
      <c r="ABS60" s="160"/>
      <c r="ABT60" s="160"/>
      <c r="ABU60" s="160"/>
      <c r="ABV60" s="160"/>
      <c r="ABW60" s="160"/>
      <c r="ABX60" s="160"/>
      <c r="ABY60" s="160"/>
      <c r="ABZ60" s="160"/>
      <c r="ACA60" s="160"/>
      <c r="ACB60" s="160"/>
      <c r="ACC60" s="160"/>
      <c r="ACD60" s="160"/>
      <c r="ACE60" s="160"/>
      <c r="ACF60" s="160"/>
      <c r="ACG60" s="160"/>
      <c r="ACH60" s="160"/>
      <c r="ACI60" s="160"/>
      <c r="ACJ60" s="160"/>
      <c r="ACK60" s="160"/>
      <c r="ACL60" s="160"/>
      <c r="ACM60" s="160"/>
      <c r="ACN60" s="160"/>
      <c r="ACO60" s="160"/>
      <c r="ACP60" s="160"/>
      <c r="ACQ60" s="160"/>
      <c r="ACR60" s="160"/>
      <c r="ACS60" s="160"/>
      <c r="ACT60" s="160"/>
      <c r="ACU60" s="160"/>
      <c r="ACV60" s="160"/>
      <c r="ACW60" s="160"/>
      <c r="ACX60" s="160"/>
      <c r="ACY60" s="160"/>
      <c r="ACZ60" s="160"/>
      <c r="ADA60" s="160"/>
      <c r="ADB60" s="160"/>
      <c r="ADC60" s="160"/>
      <c r="ADD60" s="160"/>
      <c r="ADE60" s="160"/>
      <c r="ADF60" s="160"/>
      <c r="ADG60" s="160"/>
      <c r="ADH60" s="160"/>
      <c r="ADI60" s="160"/>
      <c r="ADJ60" s="160"/>
      <c r="ADK60" s="160"/>
      <c r="ADL60" s="160"/>
      <c r="ADM60" s="160"/>
      <c r="ADN60" s="160"/>
      <c r="ADO60" s="160"/>
      <c r="ADP60" s="160"/>
      <c r="ADQ60" s="160"/>
      <c r="ADR60" s="160"/>
      <c r="ADS60" s="160"/>
      <c r="ADT60" s="160"/>
      <c r="ADU60" s="160"/>
      <c r="ADV60" s="160"/>
      <c r="ADW60" s="160"/>
      <c r="ADX60" s="160"/>
      <c r="ADY60" s="160"/>
      <c r="ADZ60" s="160"/>
      <c r="AEA60" s="160"/>
      <c r="AEB60" s="160"/>
      <c r="AEC60" s="160"/>
      <c r="AED60" s="160"/>
      <c r="AEE60" s="160"/>
      <c r="AEF60" s="160"/>
      <c r="AEG60" s="160"/>
      <c r="AEH60" s="160"/>
      <c r="AEI60" s="160"/>
      <c r="AEJ60" s="160"/>
      <c r="AEK60" s="160"/>
      <c r="AEL60" s="160"/>
      <c r="AEM60" s="160"/>
      <c r="AEN60" s="160"/>
      <c r="AEO60" s="160"/>
      <c r="AEP60" s="160"/>
      <c r="AEQ60" s="160"/>
      <c r="AER60" s="160"/>
      <c r="AES60" s="160"/>
      <c r="AET60" s="160"/>
      <c r="AEU60" s="160"/>
      <c r="AEV60" s="160"/>
      <c r="AEW60" s="160"/>
      <c r="AEX60" s="160"/>
      <c r="AEY60" s="160"/>
      <c r="AEZ60" s="160"/>
      <c r="AFA60" s="160"/>
      <c r="AFB60" s="160"/>
      <c r="AFC60" s="160"/>
      <c r="AFD60" s="160"/>
      <c r="AFE60" s="160"/>
      <c r="AFF60" s="160"/>
      <c r="AFG60" s="160"/>
      <c r="AFH60" s="160"/>
      <c r="AFI60" s="160"/>
      <c r="AFJ60" s="160"/>
      <c r="AFK60" s="160"/>
      <c r="AFL60" s="160"/>
      <c r="AFM60" s="160"/>
      <c r="AFN60" s="160"/>
      <c r="AFO60" s="160"/>
      <c r="AFP60" s="160"/>
      <c r="AFQ60" s="160"/>
      <c r="AFR60" s="160"/>
      <c r="AFS60" s="160"/>
      <c r="AFT60" s="160"/>
      <c r="AFU60" s="160"/>
      <c r="AFV60" s="160"/>
      <c r="AFW60" s="160"/>
      <c r="AFX60" s="160"/>
      <c r="AFY60" s="160"/>
      <c r="AFZ60" s="160"/>
      <c r="AGA60" s="160"/>
      <c r="AGB60" s="160"/>
      <c r="AGC60" s="160"/>
      <c r="AGD60" s="160"/>
      <c r="AGE60" s="160"/>
      <c r="AGF60" s="160"/>
      <c r="AGG60" s="160"/>
      <c r="AGH60" s="160"/>
      <c r="AGI60" s="160"/>
      <c r="AGJ60" s="160"/>
      <c r="AGK60" s="160"/>
      <c r="AGL60" s="160"/>
      <c r="AGM60" s="160"/>
      <c r="AGN60" s="160"/>
      <c r="AGO60" s="160"/>
      <c r="AGP60" s="160"/>
      <c r="AGQ60" s="160"/>
      <c r="AGR60" s="160"/>
      <c r="AGS60" s="160"/>
      <c r="AGT60" s="160"/>
      <c r="AGU60" s="160"/>
      <c r="AGV60" s="160"/>
      <c r="AGW60" s="160"/>
      <c r="AGX60" s="160"/>
      <c r="AGY60" s="160"/>
      <c r="AGZ60" s="160"/>
      <c r="AHA60" s="160"/>
      <c r="AHB60" s="160"/>
      <c r="AHC60" s="160"/>
      <c r="AHD60" s="160"/>
      <c r="AHE60" s="160"/>
      <c r="AHF60" s="160"/>
      <c r="AHG60" s="160"/>
      <c r="AHH60" s="160"/>
      <c r="AHI60" s="160"/>
      <c r="AHJ60" s="160"/>
      <c r="AHK60" s="160"/>
      <c r="AHL60" s="160"/>
      <c r="AHM60" s="160"/>
      <c r="AHN60" s="160"/>
      <c r="AHO60" s="160"/>
      <c r="AHP60" s="160"/>
      <c r="AHQ60" s="160"/>
      <c r="AHR60" s="160"/>
      <c r="AHS60" s="160"/>
      <c r="AHT60" s="160"/>
      <c r="AHU60" s="160"/>
      <c r="AHV60" s="160"/>
      <c r="AHW60" s="160"/>
      <c r="AHX60" s="160"/>
      <c r="AHY60" s="160"/>
      <c r="AHZ60" s="160"/>
      <c r="AIA60" s="160"/>
      <c r="AIB60" s="160"/>
      <c r="AIC60" s="160"/>
      <c r="AID60" s="160"/>
      <c r="AIE60" s="160"/>
      <c r="AIF60" s="160"/>
      <c r="AIG60" s="160"/>
      <c r="AIH60" s="160"/>
      <c r="AII60" s="160"/>
      <c r="AIJ60" s="160"/>
      <c r="AIK60" s="160"/>
      <c r="AIL60" s="160"/>
      <c r="AIM60" s="160"/>
      <c r="AIN60" s="160"/>
      <c r="AIO60" s="160"/>
      <c r="AIP60" s="160"/>
      <c r="AIQ60" s="160"/>
      <c r="AIR60" s="160"/>
      <c r="AIS60" s="160"/>
      <c r="AIT60" s="160"/>
      <c r="AIU60" s="160"/>
      <c r="AIV60" s="160"/>
      <c r="AIW60" s="160"/>
      <c r="AIX60" s="160"/>
      <c r="AIY60" s="160"/>
      <c r="AIZ60" s="160"/>
      <c r="AJA60" s="160"/>
      <c r="AJB60" s="160"/>
      <c r="AJC60" s="160"/>
      <c r="AJD60" s="160"/>
      <c r="AJE60" s="160"/>
      <c r="AJF60" s="160"/>
      <c r="AJG60" s="160"/>
      <c r="AJH60" s="160"/>
      <c r="AJI60" s="160"/>
      <c r="AJJ60" s="160"/>
      <c r="AJK60" s="160"/>
      <c r="AJL60" s="160"/>
      <c r="AJM60" s="160"/>
      <c r="AJN60" s="160"/>
      <c r="AJO60" s="160"/>
      <c r="AJP60" s="160"/>
      <c r="AJQ60" s="160"/>
      <c r="AJR60" s="160"/>
      <c r="AJS60" s="160"/>
      <c r="AJT60" s="160"/>
      <c r="AJU60" s="160"/>
      <c r="AJV60" s="160"/>
      <c r="AJW60" s="160"/>
      <c r="AJX60" s="160"/>
      <c r="AJY60" s="160"/>
      <c r="AJZ60" s="160"/>
      <c r="AKA60" s="160"/>
      <c r="AKB60" s="160"/>
      <c r="AKC60" s="160"/>
      <c r="AKD60" s="160"/>
      <c r="AKE60" s="160"/>
      <c r="AKF60" s="160"/>
      <c r="AKG60" s="160"/>
      <c r="AKH60" s="160"/>
      <c r="AKI60" s="160"/>
      <c r="AKJ60" s="160"/>
      <c r="AKK60" s="160"/>
      <c r="AKL60" s="160"/>
      <c r="AKM60" s="160"/>
      <c r="AKN60" s="160"/>
      <c r="AKO60" s="160"/>
      <c r="AKP60" s="160"/>
      <c r="AKQ60" s="160"/>
      <c r="AKR60" s="160"/>
      <c r="AKS60" s="160"/>
      <c r="AKT60" s="160"/>
      <c r="AKU60" s="160"/>
      <c r="AKV60" s="160"/>
      <c r="AKW60" s="160"/>
      <c r="AKX60" s="160"/>
      <c r="AKY60" s="160"/>
      <c r="AKZ60" s="160"/>
      <c r="ALA60" s="160"/>
      <c r="ALB60" s="160"/>
      <c r="ALC60" s="160"/>
      <c r="ALD60" s="160"/>
      <c r="ALE60" s="160"/>
      <c r="ALF60" s="160"/>
      <c r="ALG60" s="160"/>
      <c r="ALH60" s="160"/>
      <c r="ALI60" s="160"/>
      <c r="ALJ60" s="160"/>
      <c r="ALK60" s="160"/>
      <c r="ALL60" s="160"/>
      <c r="ALM60" s="160"/>
      <c r="ALN60" s="160"/>
      <c r="ALO60" s="160"/>
      <c r="ALP60" s="160"/>
      <c r="ALQ60" s="160"/>
      <c r="ALR60" s="160"/>
      <c r="ALS60" s="160"/>
      <c r="ALT60" s="160"/>
      <c r="ALU60" s="160"/>
      <c r="ALV60" s="160"/>
      <c r="ALW60" s="160"/>
      <c r="ALX60" s="160"/>
      <c r="ALY60" s="160"/>
      <c r="ALZ60" s="160"/>
      <c r="AMA60" s="160"/>
      <c r="AMB60" s="160"/>
      <c r="AMC60" s="160"/>
      <c r="AMD60" s="160"/>
      <c r="AME60" s="160"/>
      <c r="AMF60" s="160"/>
      <c r="AMG60" s="160"/>
      <c r="AMH60" s="160"/>
      <c r="AMI60" s="160"/>
      <c r="AMJ60" s="160"/>
      <c r="AMK60" s="160"/>
      <c r="AML60" s="160"/>
      <c r="AMM60" s="160"/>
      <c r="AMN60" s="160"/>
      <c r="AMO60" s="160"/>
      <c r="AMP60" s="160"/>
      <c r="AMQ60" s="160"/>
      <c r="AMR60" s="160"/>
      <c r="AMS60" s="160"/>
      <c r="AMT60" s="160"/>
      <c r="AMU60" s="160"/>
      <c r="AMV60" s="160"/>
      <c r="AMW60" s="160"/>
      <c r="AMX60" s="160"/>
      <c r="AMY60" s="160"/>
      <c r="AMZ60" s="160"/>
      <c r="ANA60" s="160"/>
      <c r="ANB60" s="160"/>
      <c r="ANC60" s="160"/>
      <c r="AND60" s="160"/>
      <c r="ANE60" s="160"/>
      <c r="ANF60" s="160"/>
      <c r="ANG60" s="160"/>
      <c r="ANH60" s="160"/>
      <c r="ANI60" s="160"/>
      <c r="ANJ60" s="160"/>
      <c r="ANK60" s="160"/>
      <c r="ANL60" s="160"/>
      <c r="ANM60" s="160"/>
      <c r="ANN60" s="160"/>
      <c r="ANO60" s="160"/>
      <c r="ANP60" s="160"/>
      <c r="ANQ60" s="160"/>
      <c r="ANR60" s="160"/>
      <c r="ANS60" s="160"/>
      <c r="ANT60" s="160"/>
      <c r="ANU60" s="160"/>
      <c r="ANV60" s="160"/>
      <c r="ANW60" s="160"/>
      <c r="ANX60" s="160"/>
      <c r="ANY60" s="160"/>
      <c r="ANZ60" s="160"/>
      <c r="AOA60" s="160"/>
      <c r="AOB60" s="160"/>
      <c r="AOC60" s="160"/>
      <c r="AOD60" s="160"/>
      <c r="AOE60" s="160"/>
      <c r="AOF60" s="160"/>
      <c r="AOG60" s="160"/>
      <c r="AOH60" s="160"/>
      <c r="AOI60" s="160"/>
      <c r="AOJ60" s="160"/>
      <c r="AOK60" s="160"/>
      <c r="AOL60" s="160"/>
      <c r="AOM60" s="160"/>
      <c r="AON60" s="160"/>
      <c r="AOO60" s="160"/>
      <c r="AOP60" s="160"/>
      <c r="AOQ60" s="160"/>
      <c r="AOR60" s="160"/>
      <c r="AOS60" s="160"/>
      <c r="AOT60" s="160"/>
      <c r="AOU60" s="160"/>
      <c r="AOV60" s="160"/>
      <c r="AOW60" s="160"/>
      <c r="AOX60" s="160"/>
      <c r="AOY60" s="160"/>
      <c r="AOZ60" s="160"/>
      <c r="APA60" s="160"/>
      <c r="APB60" s="160"/>
      <c r="APC60" s="160"/>
      <c r="APD60" s="160"/>
      <c r="APE60" s="160"/>
      <c r="APF60" s="160"/>
      <c r="APG60" s="160"/>
      <c r="APH60" s="160"/>
      <c r="API60" s="160"/>
      <c r="APJ60" s="160"/>
      <c r="APK60" s="160"/>
      <c r="APL60" s="160"/>
      <c r="APM60" s="160"/>
      <c r="APN60" s="160"/>
      <c r="APO60" s="160"/>
      <c r="APP60" s="160"/>
      <c r="APQ60" s="160"/>
      <c r="APR60" s="160"/>
      <c r="APS60" s="160"/>
      <c r="APT60" s="160"/>
      <c r="APU60" s="160"/>
      <c r="APV60" s="160"/>
      <c r="APW60" s="160"/>
      <c r="APX60" s="160"/>
      <c r="APY60" s="160"/>
      <c r="APZ60" s="160"/>
      <c r="AQA60" s="160"/>
      <c r="AQB60" s="160"/>
      <c r="AQC60" s="160"/>
      <c r="AQD60" s="160"/>
      <c r="AQE60" s="160"/>
      <c r="AQF60" s="160"/>
      <c r="AQG60" s="160"/>
      <c r="AQH60" s="160"/>
      <c r="AQI60" s="160"/>
      <c r="AQJ60" s="160"/>
      <c r="AQK60" s="160"/>
      <c r="AQL60" s="160"/>
      <c r="AQM60" s="160"/>
      <c r="AQN60" s="160"/>
      <c r="AQO60" s="160"/>
      <c r="AQP60" s="160"/>
      <c r="AQQ60" s="160"/>
      <c r="AQR60" s="160"/>
      <c r="AQS60" s="160"/>
      <c r="AQT60" s="160"/>
      <c r="AQU60" s="160"/>
      <c r="AQV60" s="160"/>
      <c r="AQW60" s="160"/>
      <c r="AQX60" s="160"/>
      <c r="AQY60" s="160"/>
      <c r="AQZ60" s="160"/>
      <c r="ARA60" s="160"/>
      <c r="ARB60" s="160"/>
      <c r="ARC60" s="160"/>
      <c r="ARD60" s="160"/>
      <c r="ARE60" s="160"/>
      <c r="ARF60" s="160"/>
      <c r="ARG60" s="160"/>
      <c r="ARH60" s="160"/>
      <c r="ARI60" s="160"/>
      <c r="ARJ60" s="160"/>
      <c r="ARK60" s="160"/>
      <c r="ARL60" s="160"/>
      <c r="ARM60" s="160"/>
      <c r="ARN60" s="160"/>
      <c r="ARO60" s="160"/>
      <c r="ARP60" s="160"/>
      <c r="ARQ60" s="160"/>
      <c r="ARR60" s="160"/>
      <c r="ARS60" s="160"/>
      <c r="ART60" s="160"/>
      <c r="ARU60" s="160"/>
      <c r="ARV60" s="160"/>
      <c r="ARW60" s="160"/>
      <c r="ARX60" s="160"/>
      <c r="ARY60" s="160"/>
      <c r="ARZ60" s="160"/>
      <c r="ASA60" s="160"/>
      <c r="ASB60" s="160"/>
      <c r="ASC60" s="160"/>
      <c r="ASD60" s="160"/>
      <c r="ASE60" s="160"/>
      <c r="ASF60" s="160"/>
      <c r="ASG60" s="160"/>
      <c r="ASH60" s="160"/>
      <c r="ASI60" s="160"/>
      <c r="ASJ60" s="160"/>
      <c r="ASK60" s="160"/>
      <c r="ASL60" s="160"/>
      <c r="ASM60" s="160"/>
      <c r="ASN60" s="160"/>
      <c r="ASO60" s="160"/>
      <c r="ASP60" s="160"/>
      <c r="ASQ60" s="160"/>
      <c r="ASR60" s="160"/>
      <c r="ASS60" s="160"/>
      <c r="AST60" s="160"/>
      <c r="ASU60" s="160"/>
      <c r="ASV60" s="160"/>
      <c r="ASW60" s="160"/>
      <c r="ASX60" s="160"/>
      <c r="ASY60" s="160"/>
      <c r="ASZ60" s="160"/>
      <c r="ATA60" s="160"/>
      <c r="ATB60" s="160"/>
      <c r="ATC60" s="160"/>
      <c r="ATD60" s="160"/>
      <c r="ATE60" s="160"/>
      <c r="ATF60" s="160"/>
      <c r="ATG60" s="160"/>
      <c r="ATH60" s="160"/>
      <c r="ATI60" s="160"/>
      <c r="ATJ60" s="160"/>
      <c r="ATK60" s="160"/>
      <c r="ATL60" s="160"/>
      <c r="ATM60" s="160"/>
      <c r="ATN60" s="160"/>
      <c r="ATO60" s="160"/>
      <c r="ATP60" s="160"/>
      <c r="ATQ60" s="160"/>
      <c r="ATR60" s="160"/>
      <c r="ATS60" s="160"/>
      <c r="ATT60" s="160"/>
      <c r="ATU60" s="160"/>
      <c r="ATV60" s="160"/>
      <c r="ATW60" s="160"/>
      <c r="ATX60" s="160"/>
      <c r="ATY60" s="160"/>
      <c r="ATZ60" s="160"/>
      <c r="AUA60" s="160"/>
      <c r="AUB60" s="160"/>
      <c r="AUC60" s="160"/>
      <c r="AUD60" s="160"/>
      <c r="AUE60" s="160"/>
      <c r="AUF60" s="160"/>
      <c r="AUG60" s="160"/>
      <c r="AUH60" s="160"/>
      <c r="AUI60" s="160"/>
      <c r="AUJ60" s="160"/>
      <c r="AUK60" s="160"/>
      <c r="AUL60" s="160"/>
      <c r="AUM60" s="160"/>
      <c r="AUN60" s="160"/>
      <c r="AUO60" s="160"/>
      <c r="AUP60" s="160"/>
      <c r="AUQ60" s="160"/>
      <c r="AUR60" s="160"/>
      <c r="AUS60" s="160"/>
      <c r="AUT60" s="160"/>
      <c r="AUU60" s="160"/>
      <c r="AUV60" s="160"/>
      <c r="AUW60" s="160"/>
      <c r="AUX60" s="160"/>
      <c r="AUY60" s="160"/>
      <c r="AUZ60" s="160"/>
      <c r="AVA60" s="160"/>
      <c r="AVB60" s="160"/>
      <c r="AVC60" s="160"/>
      <c r="AVD60" s="160"/>
      <c r="AVE60" s="160"/>
      <c r="AVF60" s="160"/>
      <c r="AVG60" s="160"/>
      <c r="AVH60" s="160"/>
      <c r="AVI60" s="160"/>
      <c r="AVJ60" s="160"/>
      <c r="AVK60" s="160"/>
      <c r="AVL60" s="160"/>
      <c r="AVM60" s="160"/>
      <c r="AVN60" s="160"/>
      <c r="AVO60" s="160"/>
      <c r="AVP60" s="160"/>
      <c r="AVQ60" s="160"/>
      <c r="AVR60" s="160"/>
      <c r="AVS60" s="160"/>
      <c r="AVT60" s="160"/>
      <c r="AVU60" s="160"/>
      <c r="AVV60" s="160"/>
      <c r="AVW60" s="160"/>
      <c r="AVX60" s="160"/>
      <c r="AVY60" s="160"/>
      <c r="AVZ60" s="160"/>
      <c r="AWA60" s="160"/>
      <c r="AWB60" s="160"/>
      <c r="AWC60" s="160"/>
      <c r="AWD60" s="160"/>
      <c r="AWE60" s="160"/>
      <c r="AWF60" s="160"/>
      <c r="AWG60" s="160"/>
      <c r="AWH60" s="160"/>
      <c r="AWI60" s="160"/>
      <c r="AWJ60" s="160"/>
      <c r="AWK60" s="160"/>
      <c r="AWL60" s="160"/>
      <c r="AWM60" s="160"/>
      <c r="AWN60" s="160"/>
      <c r="AWO60" s="160"/>
      <c r="AWP60" s="160"/>
      <c r="AWQ60" s="160"/>
      <c r="AWR60" s="160"/>
      <c r="AWS60" s="160"/>
      <c r="AWT60" s="160"/>
      <c r="AWU60" s="160"/>
      <c r="AWV60" s="160"/>
      <c r="AWW60" s="160"/>
      <c r="AWX60" s="160"/>
      <c r="AWY60" s="160"/>
      <c r="AWZ60" s="160"/>
      <c r="AXA60" s="160"/>
      <c r="AXB60" s="160"/>
      <c r="AXC60" s="160"/>
      <c r="AXD60" s="160"/>
      <c r="AXE60" s="160"/>
      <c r="AXF60" s="160"/>
      <c r="AXG60" s="160"/>
      <c r="AXH60" s="160"/>
      <c r="AXI60" s="160"/>
      <c r="AXJ60" s="160"/>
      <c r="AXK60" s="160"/>
      <c r="AXL60" s="160"/>
      <c r="AXM60" s="160"/>
      <c r="AXN60" s="160"/>
      <c r="AXO60" s="160"/>
      <c r="AXP60" s="160"/>
      <c r="AXQ60" s="160"/>
      <c r="AXR60" s="160"/>
      <c r="AXS60" s="160"/>
      <c r="AXT60" s="160"/>
      <c r="AXU60" s="160"/>
      <c r="AXV60" s="160"/>
      <c r="AXW60" s="160"/>
      <c r="AXX60" s="160"/>
      <c r="AXY60" s="160"/>
      <c r="AXZ60" s="160"/>
      <c r="AYA60" s="160"/>
      <c r="AYB60" s="160"/>
      <c r="AYC60" s="160"/>
      <c r="AYD60" s="160"/>
      <c r="AYE60" s="160"/>
      <c r="AYF60" s="160"/>
      <c r="AYG60" s="160"/>
      <c r="AYH60" s="160"/>
      <c r="AYI60" s="160"/>
      <c r="AYJ60" s="160"/>
      <c r="AYK60" s="160"/>
      <c r="AYL60" s="160"/>
      <c r="AYM60" s="160"/>
      <c r="AYN60" s="160"/>
      <c r="AYO60" s="160"/>
      <c r="AYP60" s="160"/>
      <c r="AYQ60" s="160"/>
      <c r="AYR60" s="160"/>
      <c r="AYS60" s="160"/>
      <c r="AYT60" s="160"/>
      <c r="AYU60" s="160"/>
      <c r="AYV60" s="160"/>
      <c r="AYW60" s="160"/>
      <c r="AYX60" s="160"/>
      <c r="AYY60" s="160"/>
      <c r="AYZ60" s="160"/>
      <c r="AZA60" s="160"/>
      <c r="AZB60" s="160"/>
      <c r="AZC60" s="160"/>
      <c r="AZD60" s="160"/>
      <c r="AZE60" s="160"/>
      <c r="AZF60" s="160"/>
      <c r="AZG60" s="160"/>
      <c r="AZH60" s="160"/>
      <c r="AZI60" s="160"/>
      <c r="AZJ60" s="160"/>
      <c r="AZK60" s="160"/>
      <c r="AZL60" s="160"/>
      <c r="AZM60" s="160"/>
      <c r="AZN60" s="160"/>
      <c r="AZO60" s="160"/>
      <c r="AZP60" s="160"/>
      <c r="AZQ60" s="160"/>
      <c r="AZR60" s="160"/>
      <c r="AZS60" s="160"/>
      <c r="AZT60" s="160"/>
      <c r="AZU60" s="160"/>
      <c r="AZV60" s="160"/>
      <c r="AZW60" s="160"/>
      <c r="AZX60" s="160"/>
      <c r="AZY60" s="160"/>
      <c r="AZZ60" s="160"/>
      <c r="BAA60" s="160"/>
      <c r="BAB60" s="160"/>
      <c r="BAC60" s="160"/>
      <c r="BAD60" s="160"/>
      <c r="BAE60" s="160"/>
      <c r="BAF60" s="160"/>
      <c r="BAG60" s="160"/>
      <c r="BAH60" s="160"/>
      <c r="BAI60" s="160"/>
      <c r="BAJ60" s="160"/>
      <c r="BAK60" s="160"/>
      <c r="BAL60" s="160"/>
      <c r="BAM60" s="160"/>
      <c r="BAN60" s="160"/>
      <c r="BAO60" s="160"/>
      <c r="BAP60" s="160"/>
      <c r="BAQ60" s="160"/>
      <c r="BAR60" s="160"/>
      <c r="BAS60" s="160"/>
      <c r="BAT60" s="160"/>
      <c r="BAU60" s="160"/>
      <c r="BAV60" s="160"/>
      <c r="BAW60" s="160"/>
      <c r="BAX60" s="160"/>
      <c r="BAY60" s="160"/>
      <c r="BAZ60" s="160"/>
      <c r="BBA60" s="160"/>
      <c r="BBB60" s="160"/>
      <c r="BBC60" s="160"/>
      <c r="BBD60" s="160"/>
      <c r="BBE60" s="160"/>
      <c r="BBF60" s="160"/>
      <c r="BBG60" s="160"/>
      <c r="BBH60" s="160"/>
      <c r="BBI60" s="160"/>
      <c r="BBJ60" s="160"/>
      <c r="BBK60" s="160"/>
      <c r="BBL60" s="160"/>
      <c r="BBM60" s="160"/>
      <c r="BBN60" s="160"/>
      <c r="BBO60" s="160"/>
      <c r="BBP60" s="160"/>
      <c r="BBQ60" s="160"/>
      <c r="BBR60" s="160"/>
      <c r="BBS60" s="160"/>
      <c r="BBT60" s="160"/>
      <c r="BBU60" s="160"/>
      <c r="BBV60" s="160"/>
      <c r="BBW60" s="160"/>
      <c r="BBX60" s="160"/>
      <c r="BBY60" s="160"/>
      <c r="BBZ60" s="160"/>
      <c r="BCA60" s="160"/>
      <c r="BCB60" s="160"/>
      <c r="BCC60" s="160"/>
      <c r="BCD60" s="160"/>
      <c r="BCE60" s="160"/>
      <c r="BCF60" s="160"/>
      <c r="BCG60" s="160"/>
      <c r="BCH60" s="160"/>
      <c r="BCI60" s="160"/>
      <c r="BCJ60" s="160"/>
      <c r="BCK60" s="160"/>
      <c r="BCL60" s="160"/>
      <c r="BCM60" s="160"/>
      <c r="BCN60" s="160"/>
      <c r="BCO60" s="160"/>
      <c r="BCP60" s="160"/>
      <c r="BCQ60" s="160"/>
      <c r="BCR60" s="160"/>
      <c r="BCS60" s="160"/>
      <c r="BCT60" s="160"/>
      <c r="BCU60" s="160"/>
      <c r="BCV60" s="160"/>
      <c r="BCW60" s="160"/>
      <c r="BCX60" s="160"/>
      <c r="BCY60" s="160"/>
      <c r="BCZ60" s="160"/>
      <c r="BDA60" s="160"/>
      <c r="BDB60" s="160"/>
      <c r="BDC60" s="160"/>
      <c r="BDD60" s="160"/>
      <c r="BDE60" s="160"/>
      <c r="BDF60" s="160"/>
      <c r="BDG60" s="160"/>
      <c r="BDH60" s="160"/>
      <c r="BDI60" s="160"/>
      <c r="BDJ60" s="160"/>
      <c r="BDK60" s="160"/>
      <c r="BDL60" s="160"/>
      <c r="BDM60" s="160"/>
      <c r="BDN60" s="160"/>
      <c r="BDO60" s="160"/>
      <c r="BDP60" s="160"/>
      <c r="BDQ60" s="160"/>
      <c r="BDR60" s="160"/>
      <c r="BDS60" s="160"/>
      <c r="BDT60" s="160"/>
      <c r="BDU60" s="160"/>
      <c r="BDV60" s="160"/>
      <c r="BDW60" s="160"/>
      <c r="BDX60" s="160"/>
      <c r="BDY60" s="160"/>
      <c r="BDZ60" s="160"/>
      <c r="BEA60" s="160"/>
      <c r="BEB60" s="160"/>
      <c r="BEC60" s="160"/>
      <c r="BED60" s="160"/>
      <c r="BEE60" s="160"/>
      <c r="BEF60" s="160"/>
      <c r="BEG60" s="160"/>
      <c r="BEH60" s="160"/>
      <c r="BEI60" s="160"/>
      <c r="BEJ60" s="160"/>
      <c r="BEK60" s="160"/>
      <c r="BEL60" s="160"/>
      <c r="BEM60" s="160"/>
      <c r="BEN60" s="160"/>
      <c r="BEO60" s="160"/>
      <c r="BEP60" s="160"/>
      <c r="BEQ60" s="160"/>
      <c r="BER60" s="160"/>
      <c r="BES60" s="160"/>
      <c r="BET60" s="160"/>
      <c r="BEU60" s="160"/>
      <c r="BEV60" s="160"/>
      <c r="BEW60" s="160"/>
      <c r="BEX60" s="160"/>
      <c r="BEY60" s="160"/>
      <c r="BEZ60" s="160"/>
      <c r="BFA60" s="160"/>
      <c r="BFB60" s="160"/>
      <c r="BFC60" s="160"/>
      <c r="BFD60" s="160"/>
      <c r="BFE60" s="160"/>
      <c r="BFF60" s="160"/>
      <c r="BFG60" s="160"/>
      <c r="BFH60" s="160"/>
      <c r="BFI60" s="160"/>
      <c r="BFJ60" s="160"/>
      <c r="BFK60" s="160"/>
      <c r="BFL60" s="160"/>
      <c r="BFM60" s="160"/>
      <c r="BFN60" s="160"/>
      <c r="BFO60" s="160"/>
      <c r="BFP60" s="160"/>
      <c r="BFQ60" s="160"/>
      <c r="BFR60" s="160"/>
      <c r="BFS60" s="160"/>
      <c r="BFT60" s="160"/>
      <c r="BFU60" s="160"/>
      <c r="BFV60" s="160"/>
      <c r="BFW60" s="160"/>
      <c r="BFX60" s="160"/>
      <c r="BFY60" s="160"/>
      <c r="BFZ60" s="160"/>
      <c r="BGA60" s="160"/>
      <c r="BGB60" s="160"/>
      <c r="BGC60" s="160"/>
      <c r="BGD60" s="160"/>
      <c r="BGE60" s="160"/>
      <c r="BGF60" s="160"/>
      <c r="BGG60" s="160"/>
      <c r="BGH60" s="160"/>
      <c r="BGI60" s="160"/>
      <c r="BGJ60" s="160"/>
      <c r="BGK60" s="160"/>
      <c r="BGL60" s="160"/>
      <c r="BGM60" s="160"/>
      <c r="BGN60" s="160"/>
      <c r="BGO60" s="160"/>
      <c r="BGP60" s="160"/>
      <c r="BGQ60" s="160"/>
      <c r="BGR60" s="160"/>
      <c r="BGS60" s="160"/>
      <c r="BGT60" s="160"/>
      <c r="BGU60" s="160"/>
      <c r="BGV60" s="160"/>
      <c r="BGW60" s="160"/>
      <c r="BGX60" s="160"/>
      <c r="BGY60" s="160"/>
      <c r="BGZ60" s="160"/>
      <c r="BHA60" s="160"/>
      <c r="BHB60" s="160"/>
      <c r="BHC60" s="160"/>
      <c r="BHD60" s="160"/>
      <c r="BHE60" s="160"/>
      <c r="BHF60" s="160"/>
      <c r="BHG60" s="160"/>
      <c r="BHH60" s="160"/>
      <c r="BHI60" s="160"/>
      <c r="BHJ60" s="160"/>
      <c r="BHK60" s="160"/>
      <c r="BHL60" s="160"/>
      <c r="BHM60" s="160"/>
      <c r="BHN60" s="160"/>
      <c r="BHO60" s="160"/>
      <c r="BHP60" s="160"/>
      <c r="BHQ60" s="160"/>
      <c r="BHR60" s="160"/>
      <c r="BHS60" s="160"/>
      <c r="BHT60" s="160"/>
      <c r="BHU60" s="160"/>
      <c r="BHV60" s="160"/>
      <c r="BHW60" s="160"/>
      <c r="BHX60" s="160"/>
      <c r="BHY60" s="160"/>
      <c r="BHZ60" s="160"/>
      <c r="BIA60" s="160"/>
      <c r="BIB60" s="160"/>
      <c r="BIC60" s="160"/>
      <c r="BID60" s="160"/>
      <c r="BIE60" s="160"/>
      <c r="BIF60" s="160"/>
      <c r="BIG60" s="160"/>
      <c r="BIH60" s="160"/>
      <c r="BII60" s="160"/>
      <c r="BIJ60" s="160"/>
      <c r="BIK60" s="160"/>
      <c r="BIL60" s="160"/>
      <c r="BIM60" s="160"/>
      <c r="BIN60" s="160"/>
      <c r="BIO60" s="160"/>
      <c r="BIP60" s="160"/>
      <c r="BIQ60" s="160"/>
      <c r="BIR60" s="160"/>
      <c r="BIS60" s="160"/>
      <c r="BIT60" s="160"/>
      <c r="BIU60" s="160"/>
      <c r="BIV60" s="160"/>
      <c r="BIW60" s="160"/>
      <c r="BIX60" s="160"/>
      <c r="BIY60" s="160"/>
      <c r="BIZ60" s="160"/>
      <c r="BJA60" s="160"/>
      <c r="BJB60" s="160"/>
      <c r="BJC60" s="160"/>
      <c r="BJD60" s="160"/>
      <c r="BJE60" s="160"/>
      <c r="BJF60" s="160"/>
      <c r="BJG60" s="160"/>
      <c r="BJH60" s="160"/>
      <c r="BJI60" s="160"/>
      <c r="BJJ60" s="160"/>
      <c r="BJK60" s="160"/>
      <c r="BJL60" s="160"/>
      <c r="BJM60" s="160"/>
      <c r="BJN60" s="160"/>
      <c r="BJO60" s="160"/>
      <c r="BJP60" s="160"/>
      <c r="BJQ60" s="160"/>
      <c r="BJR60" s="160"/>
      <c r="BJS60" s="160"/>
      <c r="BJT60" s="160"/>
      <c r="BJU60" s="160"/>
      <c r="BJV60" s="160"/>
      <c r="BJW60" s="160"/>
      <c r="BJX60" s="160"/>
      <c r="BJY60" s="160"/>
      <c r="BJZ60" s="160"/>
      <c r="BKA60" s="160"/>
      <c r="BKB60" s="160"/>
      <c r="BKC60" s="160"/>
      <c r="BKD60" s="160"/>
      <c r="BKE60" s="160"/>
      <c r="BKF60" s="160"/>
      <c r="BKG60" s="160"/>
      <c r="BKH60" s="160"/>
      <c r="BKI60" s="160"/>
      <c r="BKJ60" s="160"/>
      <c r="BKK60" s="160"/>
      <c r="BKL60" s="160"/>
      <c r="BKM60" s="160"/>
      <c r="BKN60" s="160"/>
      <c r="BKO60" s="160"/>
      <c r="BKP60" s="160"/>
      <c r="BKQ60" s="160"/>
      <c r="BKR60" s="160"/>
      <c r="BKS60" s="160"/>
      <c r="BKT60" s="160"/>
      <c r="BKU60" s="160"/>
      <c r="BKV60" s="160"/>
      <c r="BKW60" s="160"/>
      <c r="BKX60" s="160"/>
      <c r="BKY60" s="160"/>
      <c r="BKZ60" s="160"/>
      <c r="BLA60" s="160"/>
      <c r="BLB60" s="160"/>
      <c r="BLC60" s="160"/>
      <c r="BLD60" s="160"/>
      <c r="BLE60" s="160"/>
      <c r="BLF60" s="160"/>
      <c r="BLG60" s="160"/>
      <c r="BLH60" s="160"/>
      <c r="BLI60" s="160"/>
      <c r="BLJ60" s="160"/>
      <c r="BLK60" s="160"/>
      <c r="BLL60" s="160"/>
      <c r="BLM60" s="160"/>
      <c r="BLN60" s="160"/>
      <c r="BLO60" s="160"/>
      <c r="BLP60" s="160"/>
      <c r="BLQ60" s="160"/>
      <c r="BLR60" s="160"/>
      <c r="BLS60" s="160"/>
      <c r="BLT60" s="160"/>
      <c r="BLU60" s="160"/>
      <c r="BLV60" s="160"/>
      <c r="BLW60" s="160"/>
      <c r="BLX60" s="160"/>
      <c r="BLY60" s="160"/>
      <c r="BLZ60" s="160"/>
      <c r="BMA60" s="160"/>
      <c r="BMB60" s="160"/>
      <c r="BMC60" s="160"/>
      <c r="BMD60" s="160"/>
      <c r="BME60" s="160"/>
      <c r="BMF60" s="160"/>
      <c r="BMG60" s="160"/>
      <c r="BMH60" s="160"/>
      <c r="BMI60" s="160"/>
      <c r="BMJ60" s="160"/>
      <c r="BMK60" s="160"/>
      <c r="BML60" s="160"/>
      <c r="BMM60" s="160"/>
      <c r="BMN60" s="160"/>
      <c r="BMO60" s="160"/>
      <c r="BMP60" s="160"/>
      <c r="BMQ60" s="160"/>
      <c r="BMR60" s="160"/>
      <c r="BMS60" s="160"/>
      <c r="BMT60" s="160"/>
      <c r="BMU60" s="160"/>
      <c r="BMV60" s="160"/>
      <c r="BMW60" s="160"/>
      <c r="BMX60" s="160"/>
      <c r="BMY60" s="160"/>
      <c r="BMZ60" s="160"/>
      <c r="BNA60" s="160"/>
      <c r="BNB60" s="160"/>
      <c r="BNC60" s="160"/>
      <c r="BND60" s="160"/>
      <c r="BNE60" s="160"/>
      <c r="BNF60" s="160"/>
      <c r="BNG60" s="160"/>
      <c r="BNH60" s="160"/>
      <c r="BNI60" s="160"/>
      <c r="BNJ60" s="160"/>
      <c r="BNK60" s="160"/>
      <c r="BNL60" s="160"/>
      <c r="BNM60" s="160"/>
      <c r="BNN60" s="160"/>
      <c r="BNO60" s="160"/>
      <c r="BNP60" s="160"/>
      <c r="BNQ60" s="160"/>
      <c r="BNR60" s="160"/>
      <c r="BNS60" s="160"/>
      <c r="BNT60" s="160"/>
      <c r="BNU60" s="160"/>
      <c r="BNV60" s="160"/>
      <c r="BNW60" s="160"/>
      <c r="BNX60" s="160"/>
      <c r="BNY60" s="160"/>
      <c r="BNZ60" s="160"/>
      <c r="BOA60" s="160"/>
      <c r="BOB60" s="160"/>
      <c r="BOC60" s="160"/>
      <c r="BOD60" s="160"/>
      <c r="BOE60" s="160"/>
      <c r="BOF60" s="160"/>
      <c r="BOG60" s="160"/>
      <c r="BOH60" s="160"/>
      <c r="BOI60" s="160"/>
      <c r="BOJ60" s="160"/>
      <c r="BOK60" s="160"/>
      <c r="BOL60" s="160"/>
      <c r="BOM60" s="160"/>
      <c r="BON60" s="160"/>
      <c r="BOO60" s="160"/>
      <c r="BOP60" s="160"/>
      <c r="BOQ60" s="160"/>
      <c r="BOR60" s="160"/>
      <c r="BOS60" s="160"/>
      <c r="BOT60" s="160"/>
      <c r="BOU60" s="160"/>
      <c r="BOV60" s="160"/>
      <c r="BOW60" s="160"/>
      <c r="BOX60" s="160"/>
      <c r="BOY60" s="160"/>
      <c r="BOZ60" s="160"/>
      <c r="BPA60" s="160"/>
      <c r="BPB60" s="160"/>
      <c r="BPC60" s="160"/>
      <c r="BPD60" s="160"/>
      <c r="BPE60" s="160"/>
      <c r="BPF60" s="160"/>
      <c r="BPG60" s="160"/>
      <c r="BPH60" s="160"/>
      <c r="BPI60" s="160"/>
      <c r="BPJ60" s="160"/>
      <c r="BPK60" s="160"/>
      <c r="BPL60" s="160"/>
      <c r="BPM60" s="160"/>
      <c r="BPN60" s="160"/>
      <c r="BPO60" s="160"/>
      <c r="BPP60" s="160"/>
      <c r="BPQ60" s="160"/>
      <c r="BPR60" s="160"/>
      <c r="BPS60" s="160"/>
      <c r="BPT60" s="160"/>
      <c r="BPU60" s="160"/>
      <c r="BPV60" s="160"/>
      <c r="BPW60" s="160"/>
      <c r="BPX60" s="160"/>
      <c r="BPY60" s="160"/>
      <c r="BPZ60" s="160"/>
      <c r="BQA60" s="160"/>
      <c r="BQB60" s="160"/>
      <c r="BQC60" s="160"/>
      <c r="BQD60" s="160"/>
      <c r="BQE60" s="160"/>
      <c r="BQF60" s="160"/>
      <c r="BQG60" s="160"/>
      <c r="BQH60" s="160"/>
      <c r="BQI60" s="160"/>
      <c r="BQJ60" s="160"/>
      <c r="BQK60" s="160"/>
      <c r="BQL60" s="160"/>
      <c r="BQM60" s="160"/>
      <c r="BQN60" s="160"/>
      <c r="BQO60" s="160"/>
      <c r="BQP60" s="160"/>
      <c r="BQQ60" s="160"/>
      <c r="BQR60" s="160"/>
      <c r="BQS60" s="160"/>
      <c r="BQT60" s="160"/>
      <c r="BQU60" s="160"/>
      <c r="BQV60" s="160"/>
      <c r="BQW60" s="160"/>
      <c r="BQX60" s="160"/>
      <c r="BQY60" s="160"/>
      <c r="BQZ60" s="160"/>
      <c r="BRA60" s="160"/>
      <c r="BRB60" s="160"/>
      <c r="BRC60" s="160"/>
      <c r="BRD60" s="160"/>
      <c r="BRE60" s="160"/>
      <c r="BRF60" s="160"/>
      <c r="BRG60" s="160"/>
      <c r="BRH60" s="160"/>
      <c r="BRI60" s="160"/>
      <c r="BRJ60" s="160"/>
      <c r="BRK60" s="160"/>
      <c r="BRL60" s="160"/>
      <c r="BRM60" s="160"/>
      <c r="BRN60" s="160"/>
      <c r="BRO60" s="160"/>
      <c r="BRP60" s="160"/>
      <c r="BRQ60" s="160"/>
      <c r="BRR60" s="160"/>
      <c r="BRS60" s="160"/>
      <c r="BRT60" s="160"/>
      <c r="BRU60" s="160"/>
      <c r="BRV60" s="160"/>
      <c r="BRW60" s="160"/>
      <c r="BRX60" s="160"/>
      <c r="BRY60" s="160"/>
      <c r="BRZ60" s="160"/>
      <c r="BSA60" s="160"/>
      <c r="BSB60" s="160"/>
      <c r="BSC60" s="160"/>
      <c r="BSD60" s="160"/>
      <c r="BSE60" s="160"/>
      <c r="BSF60" s="160"/>
      <c r="BSG60" s="160"/>
      <c r="BSH60" s="160"/>
      <c r="BSI60" s="160"/>
      <c r="BSJ60" s="160"/>
      <c r="BSK60" s="160"/>
      <c r="BSL60" s="160"/>
      <c r="BSM60" s="160"/>
      <c r="BSN60" s="160"/>
      <c r="BSO60" s="160"/>
      <c r="BSP60" s="160"/>
      <c r="BSQ60" s="160"/>
      <c r="BSR60" s="160"/>
      <c r="BSS60" s="160"/>
      <c r="BST60" s="160"/>
      <c r="BSU60" s="160"/>
      <c r="BSV60" s="160"/>
      <c r="BSW60" s="160"/>
      <c r="BSX60" s="160"/>
      <c r="BSY60" s="160"/>
      <c r="BSZ60" s="160"/>
      <c r="BTA60" s="160"/>
      <c r="BTB60" s="160"/>
      <c r="BTC60" s="160"/>
      <c r="BTD60" s="160"/>
      <c r="BTE60" s="160"/>
      <c r="BTF60" s="160"/>
      <c r="BTG60" s="160"/>
      <c r="BTH60" s="160"/>
      <c r="BTI60" s="160"/>
      <c r="BTJ60" s="160"/>
      <c r="BTK60" s="160"/>
      <c r="BTL60" s="160"/>
      <c r="BTM60" s="160"/>
      <c r="BTN60" s="160"/>
      <c r="BTO60" s="160"/>
      <c r="BTP60" s="160"/>
      <c r="BTQ60" s="160"/>
      <c r="BTR60" s="160"/>
      <c r="BTS60" s="160"/>
      <c r="BTT60" s="160"/>
      <c r="BTU60" s="160"/>
      <c r="BTV60" s="160"/>
      <c r="BTW60" s="160"/>
      <c r="BTX60" s="160"/>
      <c r="BTY60" s="160"/>
      <c r="BTZ60" s="160"/>
      <c r="BUA60" s="160"/>
      <c r="BUB60" s="160"/>
      <c r="BUC60" s="160"/>
      <c r="BUD60" s="160"/>
      <c r="BUE60" s="160"/>
      <c r="BUF60" s="160"/>
      <c r="BUG60" s="160"/>
      <c r="BUH60" s="160"/>
      <c r="BUI60" s="160"/>
      <c r="BUJ60" s="160"/>
      <c r="BUK60" s="160"/>
      <c r="BUL60" s="160"/>
      <c r="BUM60" s="160"/>
      <c r="BUN60" s="160"/>
      <c r="BUO60" s="160"/>
      <c r="BUP60" s="160"/>
      <c r="BUQ60" s="160"/>
      <c r="BUR60" s="160"/>
      <c r="BUS60" s="160"/>
      <c r="BUT60" s="160"/>
      <c r="BUU60" s="160"/>
      <c r="BUV60" s="160"/>
      <c r="BUW60" s="160"/>
      <c r="BUX60" s="160"/>
      <c r="BUY60" s="160"/>
      <c r="BUZ60" s="160"/>
      <c r="BVA60" s="160"/>
      <c r="BVB60" s="160"/>
      <c r="BVC60" s="160"/>
      <c r="BVD60" s="160"/>
      <c r="BVE60" s="160"/>
      <c r="BVF60" s="160"/>
      <c r="BVG60" s="160"/>
      <c r="BVH60" s="160"/>
      <c r="BVI60" s="160"/>
      <c r="BVJ60" s="160"/>
      <c r="BVK60" s="160"/>
      <c r="BVL60" s="160"/>
      <c r="BVM60" s="160"/>
      <c r="BVN60" s="160"/>
      <c r="BVO60" s="160"/>
      <c r="BVP60" s="160"/>
      <c r="BVQ60" s="160"/>
      <c r="BVR60" s="160"/>
      <c r="BVS60" s="160"/>
      <c r="BVT60" s="160"/>
      <c r="BVU60" s="160"/>
      <c r="BVV60" s="160"/>
      <c r="BVW60" s="160"/>
      <c r="BVX60" s="160"/>
      <c r="BVY60" s="160"/>
      <c r="BVZ60" s="160"/>
      <c r="BWA60" s="160"/>
      <c r="BWB60" s="160"/>
      <c r="BWC60" s="160"/>
      <c r="BWD60" s="160"/>
      <c r="BWE60" s="160"/>
      <c r="BWF60" s="160"/>
      <c r="BWG60" s="160"/>
      <c r="BWH60" s="160"/>
      <c r="BWI60" s="160"/>
      <c r="BWJ60" s="160"/>
      <c r="BWK60" s="160"/>
      <c r="BWL60" s="160"/>
      <c r="BWM60" s="160"/>
      <c r="BWN60" s="160"/>
      <c r="BWO60" s="160"/>
      <c r="BWP60" s="160"/>
      <c r="BWQ60" s="160"/>
      <c r="BWR60" s="160"/>
      <c r="BWS60" s="160"/>
      <c r="BWT60" s="160"/>
      <c r="BWU60" s="160"/>
      <c r="BWV60" s="160"/>
      <c r="BWW60" s="160"/>
      <c r="BWX60" s="160"/>
      <c r="BWY60" s="160"/>
      <c r="BWZ60" s="160"/>
      <c r="BXA60" s="160"/>
      <c r="BXB60" s="160"/>
      <c r="BXC60" s="160"/>
      <c r="BXD60" s="160"/>
      <c r="BXE60" s="160"/>
      <c r="BXF60" s="160"/>
      <c r="BXG60" s="160"/>
      <c r="BXH60" s="160"/>
      <c r="BXI60" s="160"/>
      <c r="BXJ60" s="160"/>
      <c r="BXK60" s="160"/>
      <c r="BXL60" s="160"/>
      <c r="BXM60" s="160"/>
      <c r="BXN60" s="160"/>
      <c r="BXO60" s="160"/>
      <c r="BXP60" s="160"/>
      <c r="BXQ60" s="160"/>
      <c r="BXR60" s="160"/>
      <c r="BXS60" s="160"/>
      <c r="BXT60" s="160"/>
      <c r="BXU60" s="160"/>
      <c r="BXV60" s="160"/>
      <c r="BXW60" s="160"/>
      <c r="BXX60" s="160"/>
      <c r="BXY60" s="160"/>
      <c r="BXZ60" s="160"/>
      <c r="BYA60" s="160"/>
      <c r="BYB60" s="160"/>
      <c r="BYC60" s="160"/>
      <c r="BYD60" s="160"/>
      <c r="BYE60" s="160"/>
      <c r="BYF60" s="160"/>
      <c r="BYG60" s="160"/>
      <c r="BYH60" s="160"/>
      <c r="BYI60" s="160"/>
      <c r="BYJ60" s="160"/>
      <c r="BYK60" s="160"/>
      <c r="BYL60" s="160"/>
      <c r="BYM60" s="160"/>
      <c r="BYN60" s="160"/>
      <c r="BYO60" s="160"/>
      <c r="BYP60" s="160"/>
      <c r="BYQ60" s="160"/>
      <c r="BYR60" s="160"/>
      <c r="BYS60" s="160"/>
      <c r="BYT60" s="160"/>
      <c r="BYU60" s="160"/>
      <c r="BYV60" s="160"/>
      <c r="BYW60" s="160"/>
      <c r="BYX60" s="160"/>
      <c r="BYY60" s="160"/>
      <c r="BYZ60" s="160"/>
      <c r="BZA60" s="160"/>
      <c r="BZB60" s="160"/>
      <c r="BZC60" s="160"/>
      <c r="BZD60" s="160"/>
      <c r="BZE60" s="160"/>
      <c r="BZF60" s="160"/>
      <c r="BZG60" s="160"/>
      <c r="BZH60" s="160"/>
      <c r="BZI60" s="160"/>
      <c r="BZJ60" s="160"/>
      <c r="BZK60" s="160"/>
      <c r="BZL60" s="160"/>
      <c r="BZM60" s="160"/>
      <c r="BZN60" s="160"/>
      <c r="BZO60" s="160"/>
      <c r="BZP60" s="160"/>
      <c r="BZQ60" s="160"/>
      <c r="BZR60" s="160"/>
      <c r="BZS60" s="160"/>
      <c r="BZT60" s="160"/>
      <c r="BZU60" s="160"/>
      <c r="BZV60" s="160"/>
      <c r="BZW60" s="160"/>
      <c r="BZX60" s="160"/>
      <c r="BZY60" s="160"/>
      <c r="BZZ60" s="160"/>
      <c r="CAA60" s="160"/>
      <c r="CAB60" s="160"/>
      <c r="CAC60" s="160"/>
      <c r="CAD60" s="160"/>
      <c r="CAE60" s="160"/>
      <c r="CAF60" s="160"/>
      <c r="CAG60" s="160"/>
      <c r="CAH60" s="160"/>
      <c r="CAI60" s="160"/>
      <c r="CAJ60" s="160"/>
      <c r="CAK60" s="160"/>
      <c r="CAL60" s="160"/>
      <c r="CAM60" s="160"/>
      <c r="CAN60" s="160"/>
      <c r="CAO60" s="160"/>
      <c r="CAP60" s="160"/>
      <c r="CAQ60" s="160"/>
      <c r="CAR60" s="160"/>
      <c r="CAS60" s="160"/>
      <c r="CAT60" s="160"/>
      <c r="CAU60" s="160"/>
      <c r="CAV60" s="160"/>
      <c r="CAW60" s="160"/>
      <c r="CAX60" s="160"/>
      <c r="CAY60" s="160"/>
      <c r="CAZ60" s="160"/>
      <c r="CBA60" s="160"/>
      <c r="CBB60" s="160"/>
      <c r="CBC60" s="160"/>
      <c r="CBD60" s="160"/>
      <c r="CBE60" s="160"/>
      <c r="CBF60" s="160"/>
      <c r="CBG60" s="160"/>
      <c r="CBH60" s="160"/>
      <c r="CBI60" s="160"/>
      <c r="CBJ60" s="160"/>
      <c r="CBK60" s="160"/>
      <c r="CBL60" s="160"/>
      <c r="CBM60" s="160"/>
      <c r="CBN60" s="160"/>
      <c r="CBO60" s="160"/>
      <c r="CBP60" s="160"/>
      <c r="CBQ60" s="160"/>
      <c r="CBR60" s="160"/>
      <c r="CBS60" s="160"/>
      <c r="CBT60" s="160"/>
      <c r="CBU60" s="160"/>
      <c r="CBV60" s="160"/>
      <c r="CBW60" s="160"/>
      <c r="CBX60" s="160"/>
      <c r="CBY60" s="160"/>
      <c r="CBZ60" s="160"/>
      <c r="CCA60" s="160"/>
      <c r="CCB60" s="160"/>
      <c r="CCC60" s="160"/>
      <c r="CCD60" s="160"/>
      <c r="CCE60" s="160"/>
      <c r="CCF60" s="160"/>
      <c r="CCG60" s="160"/>
      <c r="CCH60" s="160"/>
      <c r="CCI60" s="160"/>
      <c r="CCJ60" s="160"/>
      <c r="CCK60" s="160"/>
      <c r="CCL60" s="160"/>
      <c r="CCM60" s="160"/>
      <c r="CCN60" s="160"/>
      <c r="CCO60" s="160"/>
      <c r="CCP60" s="160"/>
      <c r="CCQ60" s="160"/>
      <c r="CCR60" s="160"/>
      <c r="CCS60" s="160"/>
      <c r="CCT60" s="160"/>
      <c r="CCU60" s="160"/>
      <c r="CCV60" s="160"/>
      <c r="CCW60" s="160"/>
      <c r="CCX60" s="160"/>
      <c r="CCY60" s="160"/>
      <c r="CCZ60" s="160"/>
      <c r="CDA60" s="160"/>
      <c r="CDB60" s="160"/>
      <c r="CDC60" s="160"/>
      <c r="CDD60" s="160"/>
      <c r="CDE60" s="160"/>
      <c r="CDF60" s="160"/>
      <c r="CDG60" s="160"/>
      <c r="CDH60" s="160"/>
      <c r="CDI60" s="160"/>
      <c r="CDJ60" s="160"/>
      <c r="CDK60" s="160"/>
      <c r="CDL60" s="160"/>
      <c r="CDM60" s="160"/>
      <c r="CDN60" s="160"/>
      <c r="CDO60" s="160"/>
      <c r="CDP60" s="160"/>
      <c r="CDQ60" s="160"/>
      <c r="CDR60" s="160"/>
      <c r="CDS60" s="160"/>
      <c r="CDT60" s="160"/>
      <c r="CDU60" s="160"/>
      <c r="CDV60" s="160"/>
      <c r="CDW60" s="160"/>
      <c r="CDX60" s="160"/>
      <c r="CDY60" s="160"/>
      <c r="CDZ60" s="160"/>
      <c r="CEA60" s="160"/>
      <c r="CEB60" s="160"/>
      <c r="CEC60" s="160"/>
      <c r="CED60" s="160"/>
      <c r="CEE60" s="160"/>
      <c r="CEF60" s="160"/>
      <c r="CEG60" s="160"/>
      <c r="CEH60" s="160"/>
      <c r="CEI60" s="160"/>
      <c r="CEJ60" s="160"/>
      <c r="CEK60" s="160"/>
      <c r="CEL60" s="160"/>
      <c r="CEM60" s="160"/>
      <c r="CEN60" s="160"/>
      <c r="CEO60" s="160"/>
      <c r="CEP60" s="160"/>
      <c r="CEQ60" s="160"/>
      <c r="CER60" s="160"/>
      <c r="CES60" s="160"/>
      <c r="CET60" s="160"/>
      <c r="CEU60" s="160"/>
      <c r="CEV60" s="160"/>
      <c r="CEW60" s="160"/>
      <c r="CEX60" s="160"/>
      <c r="CEY60" s="160"/>
      <c r="CEZ60" s="160"/>
      <c r="CFA60" s="160"/>
      <c r="CFB60" s="160"/>
      <c r="CFC60" s="160"/>
      <c r="CFD60" s="160"/>
      <c r="CFE60" s="160"/>
      <c r="CFF60" s="160"/>
      <c r="CFG60" s="160"/>
      <c r="CFH60" s="160"/>
      <c r="CFI60" s="160"/>
      <c r="CFJ60" s="160"/>
      <c r="CFK60" s="160"/>
      <c r="CFL60" s="160"/>
      <c r="CFM60" s="160"/>
      <c r="CFN60" s="160"/>
      <c r="CFO60" s="160"/>
      <c r="CFP60" s="160"/>
      <c r="CFQ60" s="160"/>
      <c r="CFR60" s="160"/>
      <c r="CFS60" s="160"/>
      <c r="CFT60" s="160"/>
      <c r="CFU60" s="160"/>
      <c r="CFV60" s="160"/>
      <c r="CFW60" s="160"/>
      <c r="CFX60" s="160"/>
      <c r="CFY60" s="160"/>
      <c r="CFZ60" s="160"/>
      <c r="CGA60" s="160"/>
      <c r="CGB60" s="160"/>
      <c r="CGC60" s="160"/>
      <c r="CGD60" s="160"/>
      <c r="CGE60" s="160"/>
      <c r="CGF60" s="160"/>
      <c r="CGG60" s="160"/>
      <c r="CGH60" s="160"/>
      <c r="CGI60" s="160"/>
      <c r="CGJ60" s="160"/>
      <c r="CGK60" s="160"/>
      <c r="CGL60" s="160"/>
      <c r="CGM60" s="160"/>
      <c r="CGN60" s="160"/>
      <c r="CGO60" s="160"/>
      <c r="CGP60" s="160"/>
      <c r="CGQ60" s="160"/>
      <c r="CGR60" s="160"/>
      <c r="CGS60" s="160"/>
      <c r="CGT60" s="160"/>
      <c r="CGU60" s="160"/>
      <c r="CGV60" s="160"/>
      <c r="CGW60" s="160"/>
      <c r="CGX60" s="160"/>
      <c r="CGY60" s="160"/>
      <c r="CGZ60" s="160"/>
      <c r="CHA60" s="160"/>
      <c r="CHB60" s="160"/>
      <c r="CHC60" s="160"/>
      <c r="CHD60" s="160"/>
      <c r="CHE60" s="160"/>
      <c r="CHF60" s="160"/>
      <c r="CHG60" s="160"/>
      <c r="CHH60" s="160"/>
      <c r="CHI60" s="160"/>
      <c r="CHJ60" s="160"/>
      <c r="CHK60" s="160"/>
      <c r="CHL60" s="160"/>
      <c r="CHM60" s="160"/>
      <c r="CHN60" s="160"/>
      <c r="CHO60" s="160"/>
      <c r="CHP60" s="160"/>
      <c r="CHQ60" s="160"/>
      <c r="CHR60" s="160"/>
      <c r="CHS60" s="160"/>
      <c r="CHT60" s="160"/>
      <c r="CHU60" s="160"/>
      <c r="CHV60" s="160"/>
      <c r="CHW60" s="160"/>
      <c r="CHX60" s="160"/>
      <c r="CHY60" s="160"/>
      <c r="CHZ60" s="160"/>
      <c r="CIA60" s="160"/>
      <c r="CIB60" s="160"/>
      <c r="CIC60" s="160"/>
      <c r="CID60" s="160"/>
      <c r="CIE60" s="160"/>
      <c r="CIF60" s="160"/>
      <c r="CIG60" s="160"/>
      <c r="CIH60" s="160"/>
      <c r="CII60" s="160"/>
      <c r="CIJ60" s="160"/>
      <c r="CIK60" s="160"/>
      <c r="CIL60" s="160"/>
      <c r="CIM60" s="160"/>
      <c r="CIN60" s="160"/>
      <c r="CIO60" s="160"/>
      <c r="CIP60" s="160"/>
      <c r="CIQ60" s="160"/>
      <c r="CIR60" s="160"/>
      <c r="CIS60" s="160"/>
      <c r="CIT60" s="160"/>
      <c r="CIU60" s="160"/>
      <c r="CIV60" s="160"/>
      <c r="CIW60" s="160"/>
      <c r="CIX60" s="160"/>
      <c r="CIY60" s="160"/>
      <c r="CIZ60" s="160"/>
      <c r="CJA60" s="160"/>
      <c r="CJB60" s="160"/>
      <c r="CJC60" s="160"/>
      <c r="CJD60" s="160"/>
      <c r="CJE60" s="160"/>
      <c r="CJF60" s="160"/>
      <c r="CJG60" s="160"/>
      <c r="CJH60" s="160"/>
      <c r="CJI60" s="160"/>
      <c r="CJJ60" s="160"/>
      <c r="CJK60" s="160"/>
      <c r="CJL60" s="160"/>
      <c r="CJM60" s="160"/>
      <c r="CJN60" s="160"/>
      <c r="CJO60" s="160"/>
      <c r="CJP60" s="160"/>
      <c r="CJQ60" s="160"/>
      <c r="CJR60" s="160"/>
      <c r="CJS60" s="160"/>
      <c r="CJT60" s="160"/>
      <c r="CJU60" s="160"/>
      <c r="CJV60" s="160"/>
      <c r="CJW60" s="160"/>
      <c r="CJX60" s="160"/>
      <c r="CJY60" s="160"/>
      <c r="CJZ60" s="160"/>
      <c r="CKA60" s="160"/>
      <c r="CKB60" s="160"/>
      <c r="CKC60" s="160"/>
      <c r="CKD60" s="160"/>
      <c r="CKE60" s="160"/>
      <c r="CKF60" s="160"/>
      <c r="CKG60" s="160"/>
      <c r="CKH60" s="160"/>
      <c r="CKI60" s="160"/>
      <c r="CKJ60" s="160"/>
      <c r="CKK60" s="160"/>
      <c r="CKL60" s="160"/>
      <c r="CKM60" s="160"/>
      <c r="CKN60" s="160"/>
      <c r="CKO60" s="160"/>
      <c r="CKP60" s="160"/>
      <c r="CKQ60" s="160"/>
      <c r="CKR60" s="160"/>
      <c r="CKS60" s="160"/>
      <c r="CKT60" s="160"/>
      <c r="CKU60" s="160"/>
      <c r="CKV60" s="160"/>
      <c r="CKW60" s="160"/>
      <c r="CKX60" s="160"/>
      <c r="CKY60" s="160"/>
      <c r="CKZ60" s="160"/>
      <c r="CLA60" s="160"/>
      <c r="CLB60" s="160"/>
      <c r="CLC60" s="160"/>
      <c r="CLD60" s="160"/>
      <c r="CLE60" s="160"/>
      <c r="CLF60" s="160"/>
      <c r="CLG60" s="160"/>
      <c r="CLH60" s="160"/>
      <c r="CLI60" s="160"/>
      <c r="CLJ60" s="160"/>
      <c r="CLK60" s="160"/>
      <c r="CLL60" s="160"/>
      <c r="CLM60" s="160"/>
      <c r="CLN60" s="160"/>
      <c r="CLO60" s="160"/>
      <c r="CLP60" s="160"/>
      <c r="CLQ60" s="160"/>
      <c r="CLR60" s="160"/>
      <c r="CLS60" s="160"/>
      <c r="CLT60" s="160"/>
      <c r="CLU60" s="160"/>
      <c r="CLV60" s="160"/>
      <c r="CLW60" s="160"/>
      <c r="CLX60" s="160"/>
      <c r="CLY60" s="160"/>
      <c r="CLZ60" s="160"/>
      <c r="CMA60" s="160"/>
      <c r="CMB60" s="160"/>
      <c r="CMC60" s="160"/>
      <c r="CMD60" s="160"/>
      <c r="CME60" s="160"/>
      <c r="CMF60" s="160"/>
      <c r="CMG60" s="160"/>
      <c r="CMH60" s="160"/>
      <c r="CMI60" s="160"/>
      <c r="CMJ60" s="160"/>
      <c r="CMK60" s="160"/>
      <c r="CML60" s="160"/>
      <c r="CMM60" s="160"/>
      <c r="CMN60" s="160"/>
      <c r="CMO60" s="160"/>
      <c r="CMP60" s="160"/>
      <c r="CMQ60" s="160"/>
      <c r="CMR60" s="160"/>
      <c r="CMS60" s="160"/>
      <c r="CMT60" s="160"/>
      <c r="CMU60" s="160"/>
      <c r="CMV60" s="160"/>
      <c r="CMW60" s="160"/>
      <c r="CMX60" s="160"/>
      <c r="CMY60" s="160"/>
      <c r="CMZ60" s="160"/>
      <c r="CNA60" s="160"/>
      <c r="CNB60" s="160"/>
      <c r="CNC60" s="160"/>
      <c r="CND60" s="160"/>
      <c r="CNE60" s="160"/>
      <c r="CNF60" s="160"/>
      <c r="CNG60" s="160"/>
      <c r="CNH60" s="160"/>
      <c r="CNI60" s="160"/>
      <c r="CNJ60" s="160"/>
      <c r="CNK60" s="160"/>
      <c r="CNL60" s="160"/>
      <c r="CNM60" s="160"/>
      <c r="CNN60" s="160"/>
      <c r="CNO60" s="160"/>
      <c r="CNP60" s="160"/>
      <c r="CNQ60" s="160"/>
      <c r="CNR60" s="160"/>
      <c r="CNS60" s="160"/>
      <c r="CNT60" s="160"/>
      <c r="CNU60" s="160"/>
      <c r="CNV60" s="160"/>
      <c r="CNW60" s="160"/>
      <c r="CNX60" s="160"/>
      <c r="CNY60" s="160"/>
      <c r="CNZ60" s="160"/>
      <c r="COA60" s="160"/>
      <c r="COB60" s="160"/>
      <c r="COC60" s="160"/>
      <c r="COD60" s="160"/>
      <c r="COE60" s="160"/>
      <c r="COF60" s="160"/>
      <c r="COG60" s="160"/>
      <c r="COH60" s="160"/>
      <c r="COI60" s="160"/>
      <c r="COJ60" s="160"/>
      <c r="COK60" s="160"/>
      <c r="COL60" s="160"/>
      <c r="COM60" s="160"/>
      <c r="CON60" s="160"/>
      <c r="COO60" s="160"/>
      <c r="COP60" s="160"/>
      <c r="COQ60" s="160"/>
      <c r="COR60" s="160"/>
      <c r="COS60" s="160"/>
      <c r="COT60" s="160"/>
      <c r="COU60" s="160"/>
      <c r="COV60" s="160"/>
      <c r="COW60" s="160"/>
      <c r="COX60" s="160"/>
      <c r="COY60" s="160"/>
      <c r="COZ60" s="160"/>
      <c r="CPA60" s="160"/>
      <c r="CPB60" s="160"/>
      <c r="CPC60" s="160"/>
      <c r="CPD60" s="160"/>
      <c r="CPE60" s="160"/>
      <c r="CPF60" s="160"/>
      <c r="CPG60" s="160"/>
      <c r="CPH60" s="160"/>
      <c r="CPI60" s="160"/>
      <c r="CPJ60" s="160"/>
      <c r="CPK60" s="160"/>
      <c r="CPL60" s="160"/>
      <c r="CPM60" s="160"/>
      <c r="CPN60" s="160"/>
      <c r="CPO60" s="160"/>
      <c r="CPP60" s="160"/>
      <c r="CPQ60" s="160"/>
      <c r="CPR60" s="160"/>
      <c r="CPS60" s="160"/>
      <c r="CPT60" s="160"/>
      <c r="CPU60" s="160"/>
      <c r="CPV60" s="160"/>
      <c r="CPW60" s="160"/>
      <c r="CPX60" s="160"/>
      <c r="CPY60" s="160"/>
      <c r="CPZ60" s="160"/>
      <c r="CQA60" s="160"/>
      <c r="CQB60" s="160"/>
      <c r="CQC60" s="160"/>
      <c r="CQD60" s="160"/>
      <c r="CQE60" s="160"/>
      <c r="CQF60" s="160"/>
      <c r="CQG60" s="160"/>
      <c r="CQH60" s="160"/>
      <c r="CQI60" s="160"/>
      <c r="CQJ60" s="160"/>
      <c r="CQK60" s="160"/>
      <c r="CQL60" s="160"/>
      <c r="CQM60" s="160"/>
      <c r="CQN60" s="160"/>
      <c r="CQO60" s="160"/>
      <c r="CQP60" s="160"/>
      <c r="CQQ60" s="160"/>
      <c r="CQR60" s="160"/>
      <c r="CQS60" s="160"/>
      <c r="CQT60" s="160"/>
      <c r="CQU60" s="160"/>
      <c r="CQV60" s="160"/>
      <c r="CQW60" s="160"/>
      <c r="CQX60" s="160"/>
      <c r="CQY60" s="160"/>
      <c r="CQZ60" s="160"/>
      <c r="CRA60" s="160"/>
      <c r="CRB60" s="160"/>
      <c r="CRC60" s="160"/>
      <c r="CRD60" s="160"/>
      <c r="CRE60" s="160"/>
      <c r="CRF60" s="160"/>
      <c r="CRG60" s="160"/>
      <c r="CRH60" s="160"/>
      <c r="CRI60" s="160"/>
      <c r="CRJ60" s="160"/>
      <c r="CRK60" s="160"/>
      <c r="CRL60" s="160"/>
      <c r="CRM60" s="160"/>
      <c r="CRN60" s="160"/>
      <c r="CRO60" s="160"/>
      <c r="CRP60" s="160"/>
      <c r="CRQ60" s="160"/>
      <c r="CRR60" s="160"/>
      <c r="CRS60" s="160"/>
      <c r="CRT60" s="160"/>
      <c r="CRU60" s="160"/>
      <c r="CRV60" s="160"/>
      <c r="CRW60" s="160"/>
      <c r="CRX60" s="160"/>
      <c r="CRY60" s="160"/>
      <c r="CRZ60" s="160"/>
      <c r="CSA60" s="160"/>
      <c r="CSB60" s="160"/>
      <c r="CSC60" s="160"/>
      <c r="CSD60" s="160"/>
      <c r="CSE60" s="160"/>
      <c r="CSF60" s="160"/>
      <c r="CSG60" s="160"/>
      <c r="CSH60" s="160"/>
      <c r="CSI60" s="160"/>
      <c r="CSJ60" s="160"/>
      <c r="CSK60" s="160"/>
      <c r="CSL60" s="160"/>
      <c r="CSM60" s="160"/>
      <c r="CSN60" s="160"/>
      <c r="CSO60" s="160"/>
      <c r="CSP60" s="160"/>
      <c r="CSQ60" s="160"/>
      <c r="CSR60" s="160"/>
      <c r="CSS60" s="160"/>
      <c r="CST60" s="160"/>
      <c r="CSU60" s="160"/>
      <c r="CSV60" s="160"/>
      <c r="CSW60" s="160"/>
      <c r="CSX60" s="160"/>
      <c r="CSY60" s="160"/>
      <c r="CSZ60" s="160"/>
      <c r="CTA60" s="160"/>
      <c r="CTB60" s="160"/>
      <c r="CTC60" s="160"/>
      <c r="CTD60" s="160"/>
      <c r="CTE60" s="160"/>
      <c r="CTF60" s="160"/>
      <c r="CTG60" s="160"/>
      <c r="CTH60" s="160"/>
      <c r="CTI60" s="160"/>
      <c r="CTJ60" s="160"/>
      <c r="CTK60" s="160"/>
      <c r="CTL60" s="160"/>
      <c r="CTM60" s="160"/>
      <c r="CTN60" s="160"/>
      <c r="CTO60" s="160"/>
      <c r="CTP60" s="160"/>
      <c r="CTQ60" s="160"/>
      <c r="CTR60" s="160"/>
      <c r="CTS60" s="160"/>
      <c r="CTT60" s="160"/>
      <c r="CTU60" s="160"/>
      <c r="CTV60" s="160"/>
      <c r="CTW60" s="160"/>
      <c r="CTX60" s="160"/>
      <c r="CTY60" s="160"/>
      <c r="CTZ60" s="160"/>
      <c r="CUA60" s="160"/>
      <c r="CUB60" s="160"/>
      <c r="CUC60" s="160"/>
      <c r="CUD60" s="160"/>
      <c r="CUE60" s="160"/>
      <c r="CUF60" s="160"/>
      <c r="CUG60" s="160"/>
      <c r="CUH60" s="160"/>
      <c r="CUI60" s="160"/>
      <c r="CUJ60" s="160"/>
      <c r="CUK60" s="160"/>
      <c r="CUL60" s="160"/>
      <c r="CUM60" s="160"/>
      <c r="CUN60" s="160"/>
      <c r="CUO60" s="160"/>
      <c r="CUP60" s="160"/>
      <c r="CUQ60" s="160"/>
      <c r="CUR60" s="160"/>
      <c r="CUS60" s="160"/>
      <c r="CUT60" s="160"/>
      <c r="CUU60" s="160"/>
      <c r="CUV60" s="160"/>
      <c r="CUW60" s="160"/>
      <c r="CUX60" s="160"/>
      <c r="CUY60" s="160"/>
      <c r="CUZ60" s="160"/>
      <c r="CVA60" s="160"/>
      <c r="CVB60" s="160"/>
      <c r="CVC60" s="160"/>
      <c r="CVD60" s="160"/>
      <c r="CVE60" s="160"/>
      <c r="CVF60" s="160"/>
      <c r="CVG60" s="160"/>
      <c r="CVH60" s="160"/>
      <c r="CVI60" s="160"/>
      <c r="CVJ60" s="160"/>
      <c r="CVK60" s="160"/>
      <c r="CVL60" s="160"/>
      <c r="CVM60" s="160"/>
      <c r="CVN60" s="160"/>
      <c r="CVO60" s="160"/>
      <c r="CVP60" s="160"/>
      <c r="CVQ60" s="160"/>
      <c r="CVR60" s="160"/>
      <c r="CVS60" s="160"/>
      <c r="CVT60" s="160"/>
      <c r="CVU60" s="160"/>
      <c r="CVV60" s="160"/>
      <c r="CVW60" s="160"/>
      <c r="CVX60" s="160"/>
      <c r="CVY60" s="160"/>
      <c r="CVZ60" s="160"/>
      <c r="CWA60" s="160"/>
      <c r="CWB60" s="160"/>
      <c r="CWC60" s="160"/>
      <c r="CWD60" s="160"/>
      <c r="CWE60" s="160"/>
      <c r="CWF60" s="160"/>
      <c r="CWG60" s="160"/>
      <c r="CWH60" s="160"/>
      <c r="CWI60" s="160"/>
      <c r="CWJ60" s="160"/>
      <c r="CWK60" s="160"/>
      <c r="CWL60" s="160"/>
      <c r="CWM60" s="160"/>
      <c r="CWN60" s="160"/>
      <c r="CWO60" s="160"/>
      <c r="CWP60" s="160"/>
      <c r="CWQ60" s="160"/>
      <c r="CWR60" s="160"/>
      <c r="CWS60" s="160"/>
      <c r="CWT60" s="160"/>
      <c r="CWU60" s="160"/>
      <c r="CWV60" s="160"/>
      <c r="CWW60" s="160"/>
      <c r="CWX60" s="160"/>
      <c r="CWY60" s="160"/>
      <c r="CWZ60" s="160"/>
      <c r="CXA60" s="160"/>
      <c r="CXB60" s="160"/>
      <c r="CXC60" s="160"/>
      <c r="CXD60" s="160"/>
      <c r="CXE60" s="160"/>
      <c r="CXF60" s="160"/>
      <c r="CXG60" s="160"/>
      <c r="CXH60" s="160"/>
      <c r="CXI60" s="160"/>
      <c r="CXJ60" s="160"/>
      <c r="CXK60" s="160"/>
      <c r="CXL60" s="160"/>
      <c r="CXM60" s="160"/>
      <c r="CXN60" s="160"/>
      <c r="CXO60" s="160"/>
      <c r="CXP60" s="160"/>
      <c r="CXQ60" s="160"/>
      <c r="CXR60" s="160"/>
      <c r="CXS60" s="160"/>
      <c r="CXT60" s="160"/>
      <c r="CXU60" s="160"/>
      <c r="CXV60" s="160"/>
      <c r="CXW60" s="160"/>
      <c r="CXX60" s="160"/>
      <c r="CXY60" s="160"/>
      <c r="CXZ60" s="160"/>
      <c r="CYA60" s="160"/>
      <c r="CYB60" s="160"/>
      <c r="CYC60" s="160"/>
      <c r="CYD60" s="160"/>
      <c r="CYE60" s="160"/>
      <c r="CYF60" s="160"/>
      <c r="CYG60" s="160"/>
      <c r="CYH60" s="160"/>
      <c r="CYI60" s="160"/>
      <c r="CYJ60" s="160"/>
      <c r="CYK60" s="160"/>
      <c r="CYL60" s="160"/>
      <c r="CYM60" s="160"/>
      <c r="CYN60" s="160"/>
      <c r="CYO60" s="160"/>
      <c r="CYP60" s="160"/>
      <c r="CYQ60" s="160"/>
      <c r="CYR60" s="160"/>
      <c r="CYS60" s="160"/>
      <c r="CYT60" s="160"/>
      <c r="CYU60" s="160"/>
      <c r="CYV60" s="160"/>
      <c r="CYW60" s="160"/>
      <c r="CYX60" s="160"/>
      <c r="CYY60" s="160"/>
      <c r="CYZ60" s="160"/>
      <c r="CZA60" s="160"/>
      <c r="CZB60" s="160"/>
      <c r="CZC60" s="160"/>
      <c r="CZD60" s="160"/>
      <c r="CZE60" s="160"/>
      <c r="CZF60" s="160"/>
      <c r="CZG60" s="160"/>
      <c r="CZH60" s="160"/>
      <c r="CZI60" s="160"/>
      <c r="CZJ60" s="160"/>
      <c r="CZK60" s="160"/>
      <c r="CZL60" s="160"/>
      <c r="CZM60" s="160"/>
      <c r="CZN60" s="160"/>
      <c r="CZO60" s="160"/>
      <c r="CZP60" s="160"/>
      <c r="CZQ60" s="160"/>
      <c r="CZR60" s="160"/>
      <c r="CZS60" s="160"/>
      <c r="CZT60" s="160"/>
      <c r="CZU60" s="160"/>
      <c r="CZV60" s="160"/>
      <c r="CZW60" s="160"/>
      <c r="CZX60" s="160"/>
      <c r="CZY60" s="160"/>
      <c r="CZZ60" s="160"/>
      <c r="DAA60" s="160"/>
      <c r="DAB60" s="160"/>
      <c r="DAC60" s="160"/>
      <c r="DAD60" s="160"/>
      <c r="DAE60" s="160"/>
      <c r="DAF60" s="160"/>
      <c r="DAG60" s="160"/>
      <c r="DAH60" s="160"/>
      <c r="DAI60" s="160"/>
      <c r="DAJ60" s="160"/>
      <c r="DAK60" s="160"/>
      <c r="DAL60" s="160"/>
      <c r="DAM60" s="160"/>
      <c r="DAN60" s="160"/>
      <c r="DAO60" s="160"/>
      <c r="DAP60" s="160"/>
      <c r="DAQ60" s="160"/>
      <c r="DAR60" s="160"/>
      <c r="DAS60" s="160"/>
      <c r="DAT60" s="160"/>
      <c r="DAU60" s="160"/>
      <c r="DAV60" s="160"/>
      <c r="DAW60" s="160"/>
      <c r="DAX60" s="160"/>
      <c r="DAY60" s="160"/>
      <c r="DAZ60" s="160"/>
      <c r="DBA60" s="160"/>
      <c r="DBB60" s="160"/>
      <c r="DBC60" s="160"/>
      <c r="DBD60" s="160"/>
      <c r="DBE60" s="160"/>
      <c r="DBF60" s="160"/>
      <c r="DBG60" s="160"/>
      <c r="DBH60" s="160"/>
      <c r="DBI60" s="160"/>
      <c r="DBJ60" s="160"/>
      <c r="DBK60" s="160"/>
      <c r="DBL60" s="160"/>
      <c r="DBM60" s="160"/>
      <c r="DBN60" s="160"/>
      <c r="DBO60" s="160"/>
      <c r="DBP60" s="160"/>
      <c r="DBQ60" s="160"/>
      <c r="DBR60" s="160"/>
      <c r="DBS60" s="160"/>
      <c r="DBT60" s="160"/>
      <c r="DBU60" s="160"/>
      <c r="DBV60" s="160"/>
      <c r="DBW60" s="160"/>
      <c r="DBX60" s="160"/>
      <c r="DBY60" s="160"/>
      <c r="DBZ60" s="160"/>
      <c r="DCA60" s="160"/>
      <c r="DCB60" s="160"/>
      <c r="DCC60" s="160"/>
      <c r="DCD60" s="160"/>
      <c r="DCE60" s="160"/>
      <c r="DCF60" s="160"/>
      <c r="DCG60" s="160"/>
      <c r="DCH60" s="160"/>
      <c r="DCI60" s="160"/>
      <c r="DCJ60" s="160"/>
      <c r="DCK60" s="160"/>
      <c r="DCL60" s="160"/>
      <c r="DCM60" s="160"/>
      <c r="DCN60" s="160"/>
      <c r="DCO60" s="160"/>
      <c r="DCP60" s="160"/>
      <c r="DCQ60" s="160"/>
      <c r="DCR60" s="160"/>
      <c r="DCS60" s="160"/>
      <c r="DCT60" s="160"/>
      <c r="DCU60" s="160"/>
      <c r="DCV60" s="160"/>
      <c r="DCW60" s="160"/>
      <c r="DCX60" s="160"/>
      <c r="DCY60" s="160"/>
      <c r="DCZ60" s="160"/>
      <c r="DDA60" s="160"/>
      <c r="DDB60" s="160"/>
      <c r="DDC60" s="160"/>
      <c r="DDD60" s="160"/>
      <c r="DDE60" s="160"/>
      <c r="DDF60" s="160"/>
      <c r="DDG60" s="160"/>
      <c r="DDH60" s="160"/>
      <c r="DDI60" s="160"/>
      <c r="DDJ60" s="160"/>
      <c r="DDK60" s="160"/>
      <c r="DDL60" s="160"/>
      <c r="DDM60" s="160"/>
      <c r="DDN60" s="160"/>
      <c r="DDO60" s="160"/>
      <c r="DDP60" s="160"/>
      <c r="DDQ60" s="160"/>
      <c r="DDR60" s="160"/>
      <c r="DDS60" s="160"/>
      <c r="DDT60" s="160"/>
      <c r="DDU60" s="160"/>
      <c r="DDV60" s="160"/>
      <c r="DDW60" s="160"/>
      <c r="DDX60" s="160"/>
      <c r="DDY60" s="160"/>
      <c r="DDZ60" s="160"/>
      <c r="DEA60" s="160"/>
      <c r="DEB60" s="160"/>
      <c r="DEC60" s="160"/>
      <c r="DED60" s="160"/>
      <c r="DEE60" s="160"/>
      <c r="DEF60" s="160"/>
      <c r="DEG60" s="160"/>
      <c r="DEH60" s="160"/>
      <c r="DEI60" s="160"/>
      <c r="DEJ60" s="160"/>
      <c r="DEK60" s="160"/>
      <c r="DEL60" s="160"/>
      <c r="DEM60" s="160"/>
      <c r="DEN60" s="160"/>
      <c r="DEO60" s="160"/>
      <c r="DEP60" s="160"/>
      <c r="DEQ60" s="160"/>
      <c r="DER60" s="160"/>
      <c r="DES60" s="160"/>
      <c r="DET60" s="160"/>
      <c r="DEU60" s="160"/>
      <c r="DEV60" s="160"/>
      <c r="DEW60" s="160"/>
      <c r="DEX60" s="160"/>
      <c r="DEY60" s="160"/>
      <c r="DEZ60" s="160"/>
      <c r="DFA60" s="160"/>
      <c r="DFB60" s="160"/>
      <c r="DFC60" s="160"/>
      <c r="DFD60" s="160"/>
      <c r="DFE60" s="160"/>
      <c r="DFF60" s="160"/>
      <c r="DFG60" s="160"/>
      <c r="DFH60" s="160"/>
      <c r="DFI60" s="160"/>
      <c r="DFJ60" s="160"/>
      <c r="DFK60" s="160"/>
      <c r="DFL60" s="160"/>
      <c r="DFM60" s="160"/>
      <c r="DFN60" s="160"/>
      <c r="DFO60" s="160"/>
      <c r="DFP60" s="160"/>
      <c r="DFQ60" s="160"/>
      <c r="DFR60" s="160"/>
      <c r="DFS60" s="160"/>
      <c r="DFT60" s="160"/>
      <c r="DFU60" s="160"/>
      <c r="DFV60" s="160"/>
      <c r="DFW60" s="160"/>
      <c r="DFX60" s="160"/>
      <c r="DFY60" s="160"/>
      <c r="DFZ60" s="160"/>
      <c r="DGA60" s="160"/>
      <c r="DGB60" s="160"/>
      <c r="DGC60" s="160"/>
      <c r="DGD60" s="160"/>
      <c r="DGE60" s="160"/>
      <c r="DGF60" s="160"/>
      <c r="DGG60" s="160"/>
      <c r="DGH60" s="160"/>
      <c r="DGI60" s="160"/>
      <c r="DGJ60" s="160"/>
      <c r="DGK60" s="160"/>
      <c r="DGL60" s="160"/>
      <c r="DGM60" s="160"/>
      <c r="DGN60" s="160"/>
      <c r="DGO60" s="160"/>
      <c r="DGP60" s="160"/>
      <c r="DGQ60" s="160"/>
      <c r="DGR60" s="160"/>
      <c r="DGS60" s="160"/>
      <c r="DGT60" s="160"/>
      <c r="DGU60" s="160"/>
      <c r="DGV60" s="160"/>
      <c r="DGW60" s="160"/>
      <c r="DGX60" s="160"/>
      <c r="DGY60" s="160"/>
      <c r="DGZ60" s="160"/>
      <c r="DHA60" s="160"/>
      <c r="DHB60" s="160"/>
      <c r="DHC60" s="160"/>
      <c r="DHD60" s="160"/>
      <c r="DHE60" s="160"/>
      <c r="DHF60" s="160"/>
      <c r="DHG60" s="160"/>
      <c r="DHH60" s="160"/>
      <c r="DHI60" s="160"/>
      <c r="DHJ60" s="160"/>
      <c r="DHK60" s="160"/>
      <c r="DHL60" s="160"/>
      <c r="DHM60" s="160"/>
      <c r="DHN60" s="160"/>
      <c r="DHO60" s="160"/>
      <c r="DHP60" s="160"/>
      <c r="DHQ60" s="160"/>
      <c r="DHR60" s="160"/>
      <c r="DHS60" s="160"/>
      <c r="DHT60" s="160"/>
      <c r="DHU60" s="160"/>
      <c r="DHV60" s="160"/>
      <c r="DHW60" s="160"/>
      <c r="DHX60" s="160"/>
      <c r="DHY60" s="160"/>
      <c r="DHZ60" s="160"/>
      <c r="DIA60" s="160"/>
      <c r="DIB60" s="160"/>
      <c r="DIC60" s="160"/>
      <c r="DID60" s="160"/>
      <c r="DIE60" s="160"/>
      <c r="DIF60" s="160"/>
      <c r="DIG60" s="160"/>
      <c r="DIH60" s="160"/>
      <c r="DII60" s="160"/>
      <c r="DIJ60" s="160"/>
      <c r="DIK60" s="160"/>
      <c r="DIL60" s="160"/>
      <c r="DIM60" s="160"/>
      <c r="DIN60" s="160"/>
      <c r="DIO60" s="160"/>
      <c r="DIP60" s="160"/>
      <c r="DIQ60" s="160"/>
      <c r="DIR60" s="160"/>
      <c r="DIS60" s="160"/>
      <c r="DIT60" s="160"/>
      <c r="DIU60" s="160"/>
      <c r="DIV60" s="160"/>
      <c r="DIW60" s="160"/>
      <c r="DIX60" s="160"/>
      <c r="DIY60" s="160"/>
      <c r="DIZ60" s="160"/>
      <c r="DJA60" s="160"/>
      <c r="DJB60" s="160"/>
      <c r="DJC60" s="160"/>
      <c r="DJD60" s="160"/>
      <c r="DJE60" s="160"/>
      <c r="DJF60" s="160"/>
      <c r="DJG60" s="160"/>
      <c r="DJH60" s="160"/>
      <c r="DJI60" s="160"/>
      <c r="DJJ60" s="160"/>
      <c r="DJK60" s="160"/>
      <c r="DJL60" s="160"/>
      <c r="DJM60" s="160"/>
      <c r="DJN60" s="160"/>
      <c r="DJO60" s="160"/>
      <c r="DJP60" s="160"/>
      <c r="DJQ60" s="160"/>
      <c r="DJR60" s="160"/>
      <c r="DJS60" s="160"/>
      <c r="DJT60" s="160"/>
      <c r="DJU60" s="160"/>
      <c r="DJV60" s="160"/>
      <c r="DJW60" s="160"/>
      <c r="DJX60" s="160"/>
      <c r="DJY60" s="160"/>
      <c r="DJZ60" s="160"/>
      <c r="DKA60" s="160"/>
      <c r="DKB60" s="160"/>
      <c r="DKC60" s="160"/>
      <c r="DKD60" s="160"/>
      <c r="DKE60" s="160"/>
      <c r="DKF60" s="160"/>
      <c r="DKG60" s="160"/>
      <c r="DKH60" s="160"/>
      <c r="DKI60" s="160"/>
      <c r="DKJ60" s="160"/>
      <c r="DKK60" s="160"/>
      <c r="DKL60" s="160"/>
      <c r="DKM60" s="160"/>
      <c r="DKN60" s="160"/>
      <c r="DKO60" s="160"/>
      <c r="DKP60" s="160"/>
      <c r="DKQ60" s="160"/>
      <c r="DKR60" s="160"/>
      <c r="DKS60" s="160"/>
      <c r="DKT60" s="160"/>
      <c r="DKU60" s="160"/>
      <c r="DKV60" s="160"/>
      <c r="DKW60" s="160"/>
      <c r="DKX60" s="160"/>
      <c r="DKY60" s="160"/>
      <c r="DKZ60" s="160"/>
      <c r="DLA60" s="160"/>
      <c r="DLB60" s="160"/>
      <c r="DLC60" s="160"/>
      <c r="DLD60" s="160"/>
      <c r="DLE60" s="160"/>
      <c r="DLF60" s="160"/>
      <c r="DLG60" s="160"/>
      <c r="DLH60" s="160"/>
      <c r="DLI60" s="160"/>
      <c r="DLJ60" s="160"/>
      <c r="DLK60" s="160"/>
      <c r="DLL60" s="160"/>
      <c r="DLM60" s="160"/>
      <c r="DLN60" s="160"/>
      <c r="DLO60" s="160"/>
      <c r="DLP60" s="160"/>
      <c r="DLQ60" s="160"/>
      <c r="DLR60" s="160"/>
      <c r="DLS60" s="160"/>
      <c r="DLT60" s="160"/>
      <c r="DLU60" s="160"/>
      <c r="DLV60" s="160"/>
      <c r="DLW60" s="160"/>
      <c r="DLX60" s="160"/>
      <c r="DLY60" s="160"/>
      <c r="DLZ60" s="160"/>
      <c r="DMA60" s="160"/>
      <c r="DMB60" s="160"/>
      <c r="DMC60" s="160"/>
      <c r="DMD60" s="160"/>
      <c r="DME60" s="160"/>
      <c r="DMF60" s="160"/>
      <c r="DMG60" s="160"/>
      <c r="DMH60" s="160"/>
      <c r="DMI60" s="160"/>
      <c r="DMJ60" s="160"/>
      <c r="DMK60" s="160"/>
      <c r="DML60" s="160"/>
      <c r="DMM60" s="160"/>
      <c r="DMN60" s="160"/>
      <c r="DMO60" s="160"/>
      <c r="DMP60" s="160"/>
      <c r="DMQ60" s="160"/>
      <c r="DMR60" s="160"/>
      <c r="DMS60" s="160"/>
      <c r="DMT60" s="160"/>
      <c r="DMU60" s="160"/>
      <c r="DMV60" s="160"/>
      <c r="DMW60" s="160"/>
      <c r="DMX60" s="160"/>
      <c r="DMY60" s="160"/>
      <c r="DMZ60" s="160"/>
      <c r="DNA60" s="160"/>
      <c r="DNB60" s="160"/>
      <c r="DNC60" s="160"/>
      <c r="DND60" s="160"/>
      <c r="DNE60" s="160"/>
      <c r="DNF60" s="160"/>
      <c r="DNG60" s="160"/>
      <c r="DNH60" s="160"/>
      <c r="DNI60" s="160"/>
      <c r="DNJ60" s="160"/>
      <c r="DNK60" s="160"/>
      <c r="DNL60" s="160"/>
      <c r="DNM60" s="160"/>
      <c r="DNN60" s="160"/>
      <c r="DNO60" s="160"/>
      <c r="DNP60" s="160"/>
      <c r="DNQ60" s="160"/>
      <c r="DNR60" s="160"/>
      <c r="DNS60" s="160"/>
      <c r="DNT60" s="160"/>
      <c r="DNU60" s="160"/>
      <c r="DNV60" s="160"/>
      <c r="DNW60" s="160"/>
      <c r="DNX60" s="160"/>
      <c r="DNY60" s="160"/>
      <c r="DNZ60" s="160"/>
      <c r="DOA60" s="160"/>
      <c r="DOB60" s="160"/>
      <c r="DOC60" s="160"/>
      <c r="DOD60" s="160"/>
      <c r="DOE60" s="160"/>
      <c r="DOF60" s="160"/>
      <c r="DOG60" s="160"/>
      <c r="DOH60" s="160"/>
      <c r="DOI60" s="160"/>
      <c r="DOJ60" s="160"/>
      <c r="DOK60" s="160"/>
      <c r="DOL60" s="160"/>
      <c r="DOM60" s="160"/>
      <c r="DON60" s="160"/>
      <c r="DOO60" s="160"/>
      <c r="DOP60" s="160"/>
      <c r="DOQ60" s="160"/>
      <c r="DOR60" s="160"/>
      <c r="DOS60" s="160"/>
      <c r="DOT60" s="160"/>
      <c r="DOU60" s="160"/>
      <c r="DOV60" s="160"/>
      <c r="DOW60" s="160"/>
      <c r="DOX60" s="160"/>
      <c r="DOY60" s="160"/>
      <c r="DOZ60" s="160"/>
      <c r="DPA60" s="160"/>
      <c r="DPB60" s="160"/>
      <c r="DPC60" s="160"/>
      <c r="DPD60" s="160"/>
      <c r="DPE60" s="160"/>
      <c r="DPF60" s="160"/>
      <c r="DPG60" s="160"/>
      <c r="DPH60" s="160"/>
      <c r="DPI60" s="160"/>
      <c r="DPJ60" s="160"/>
      <c r="DPK60" s="160"/>
      <c r="DPL60" s="160"/>
      <c r="DPM60" s="160"/>
      <c r="DPN60" s="160"/>
      <c r="DPO60" s="160"/>
      <c r="DPP60" s="160"/>
      <c r="DPQ60" s="160"/>
      <c r="DPR60" s="160"/>
      <c r="DPS60" s="160"/>
      <c r="DPT60" s="160"/>
      <c r="DPU60" s="160"/>
      <c r="DPV60" s="160"/>
      <c r="DPW60" s="160"/>
      <c r="DPX60" s="160"/>
      <c r="DPY60" s="160"/>
      <c r="DPZ60" s="160"/>
      <c r="DQA60" s="160"/>
      <c r="DQB60" s="160"/>
      <c r="DQC60" s="160"/>
      <c r="DQD60" s="160"/>
      <c r="DQE60" s="160"/>
      <c r="DQF60" s="160"/>
      <c r="DQG60" s="160"/>
      <c r="DQH60" s="160"/>
      <c r="DQI60" s="160"/>
      <c r="DQJ60" s="160"/>
      <c r="DQK60" s="160"/>
      <c r="DQL60" s="160"/>
      <c r="DQM60" s="160"/>
      <c r="DQN60" s="160"/>
      <c r="DQO60" s="160"/>
      <c r="DQP60" s="160"/>
      <c r="DQQ60" s="160"/>
      <c r="DQR60" s="160"/>
      <c r="DQS60" s="160"/>
      <c r="DQT60" s="160"/>
      <c r="DQU60" s="160"/>
      <c r="DQV60" s="160"/>
      <c r="DQW60" s="160"/>
      <c r="DQX60" s="160"/>
      <c r="DQY60" s="160"/>
      <c r="DQZ60" s="160"/>
      <c r="DRA60" s="160"/>
      <c r="DRB60" s="160"/>
      <c r="DRC60" s="160"/>
      <c r="DRD60" s="160"/>
      <c r="DRE60" s="160"/>
      <c r="DRF60" s="160"/>
      <c r="DRG60" s="160"/>
      <c r="DRH60" s="160"/>
      <c r="DRI60" s="160"/>
      <c r="DRJ60" s="160"/>
      <c r="DRK60" s="160"/>
      <c r="DRL60" s="160"/>
      <c r="DRM60" s="160"/>
      <c r="DRN60" s="160"/>
      <c r="DRO60" s="160"/>
      <c r="DRP60" s="160"/>
      <c r="DRQ60" s="160"/>
      <c r="DRR60" s="160"/>
      <c r="DRS60" s="160"/>
      <c r="DRT60" s="160"/>
      <c r="DRU60" s="160"/>
      <c r="DRV60" s="160"/>
      <c r="DRW60" s="160"/>
      <c r="DRX60" s="160"/>
      <c r="DRY60" s="160"/>
      <c r="DRZ60" s="160"/>
      <c r="DSA60" s="160"/>
      <c r="DSB60" s="160"/>
      <c r="DSC60" s="160"/>
      <c r="DSD60" s="160"/>
      <c r="DSE60" s="160"/>
      <c r="DSF60" s="160"/>
      <c r="DSG60" s="160"/>
      <c r="DSH60" s="160"/>
      <c r="DSI60" s="160"/>
      <c r="DSJ60" s="160"/>
      <c r="DSK60" s="160"/>
      <c r="DSL60" s="160"/>
      <c r="DSM60" s="160"/>
      <c r="DSN60" s="160"/>
      <c r="DSO60" s="160"/>
      <c r="DSP60" s="160"/>
      <c r="DSQ60" s="160"/>
      <c r="DSR60" s="160"/>
      <c r="DSS60" s="160"/>
      <c r="DST60" s="160"/>
      <c r="DSU60" s="160"/>
      <c r="DSV60" s="160"/>
      <c r="DSW60" s="160"/>
      <c r="DSX60" s="160"/>
      <c r="DSY60" s="160"/>
      <c r="DSZ60" s="160"/>
      <c r="DTA60" s="160"/>
      <c r="DTB60" s="160"/>
      <c r="DTC60" s="160"/>
      <c r="DTD60" s="160"/>
      <c r="DTE60" s="160"/>
      <c r="DTF60" s="160"/>
      <c r="DTG60" s="160"/>
      <c r="DTH60" s="160"/>
      <c r="DTI60" s="160"/>
      <c r="DTJ60" s="160"/>
      <c r="DTK60" s="160"/>
      <c r="DTL60" s="160"/>
      <c r="DTM60" s="160"/>
      <c r="DTN60" s="160"/>
      <c r="DTO60" s="160"/>
      <c r="DTP60" s="160"/>
      <c r="DTQ60" s="160"/>
      <c r="DTR60" s="160"/>
      <c r="DTS60" s="160"/>
      <c r="DTT60" s="160"/>
      <c r="DTU60" s="160"/>
      <c r="DTV60" s="160"/>
      <c r="DTW60" s="160"/>
      <c r="DTX60" s="160"/>
      <c r="DTY60" s="160"/>
      <c r="DTZ60" s="160"/>
      <c r="DUA60" s="160"/>
      <c r="DUB60" s="160"/>
      <c r="DUC60" s="160"/>
      <c r="DUD60" s="160"/>
      <c r="DUE60" s="160"/>
      <c r="DUF60" s="160"/>
      <c r="DUG60" s="160"/>
      <c r="DUH60" s="160"/>
      <c r="DUI60" s="160"/>
      <c r="DUJ60" s="160"/>
      <c r="DUK60" s="160"/>
      <c r="DUL60" s="160"/>
      <c r="DUM60" s="160"/>
      <c r="DUN60" s="160"/>
      <c r="DUO60" s="160"/>
      <c r="DUP60" s="160"/>
      <c r="DUQ60" s="160"/>
      <c r="DUR60" s="160"/>
      <c r="DUS60" s="160"/>
      <c r="DUT60" s="160"/>
      <c r="DUU60" s="160"/>
      <c r="DUV60" s="160"/>
      <c r="DUW60" s="160"/>
      <c r="DUX60" s="160"/>
      <c r="DUY60" s="160"/>
      <c r="DUZ60" s="160"/>
      <c r="DVA60" s="160"/>
      <c r="DVB60" s="160"/>
      <c r="DVC60" s="160"/>
      <c r="DVD60" s="160"/>
      <c r="DVE60" s="160"/>
      <c r="DVF60" s="160"/>
      <c r="DVG60" s="160"/>
      <c r="DVH60" s="160"/>
      <c r="DVI60" s="160"/>
      <c r="DVJ60" s="160"/>
      <c r="DVK60" s="160"/>
      <c r="DVL60" s="160"/>
      <c r="DVM60" s="160"/>
      <c r="DVN60" s="160"/>
      <c r="DVO60" s="160"/>
      <c r="DVP60" s="160"/>
      <c r="DVQ60" s="160"/>
      <c r="DVR60" s="160"/>
      <c r="DVS60" s="160"/>
      <c r="DVT60" s="160"/>
      <c r="DVU60" s="160"/>
      <c r="DVV60" s="160"/>
      <c r="DVW60" s="160"/>
      <c r="DVX60" s="160"/>
      <c r="DVY60" s="160"/>
      <c r="DVZ60" s="160"/>
      <c r="DWA60" s="160"/>
      <c r="DWB60" s="160"/>
      <c r="DWC60" s="160"/>
      <c r="DWD60" s="160"/>
      <c r="DWE60" s="160"/>
      <c r="DWF60" s="160"/>
      <c r="DWG60" s="160"/>
      <c r="DWH60" s="160"/>
      <c r="DWI60" s="160"/>
      <c r="DWJ60" s="160"/>
      <c r="DWK60" s="160"/>
      <c r="DWL60" s="160"/>
      <c r="DWM60" s="160"/>
      <c r="DWN60" s="160"/>
      <c r="DWO60" s="160"/>
      <c r="DWP60" s="160"/>
      <c r="DWQ60" s="160"/>
      <c r="DWR60" s="160"/>
      <c r="DWS60" s="160"/>
      <c r="DWT60" s="160"/>
      <c r="DWU60" s="160"/>
      <c r="DWV60" s="160"/>
      <c r="DWW60" s="160"/>
      <c r="DWX60" s="160"/>
      <c r="DWY60" s="160"/>
      <c r="DWZ60" s="160"/>
      <c r="DXA60" s="160"/>
      <c r="DXB60" s="160"/>
      <c r="DXC60" s="160"/>
      <c r="DXD60" s="160"/>
      <c r="DXE60" s="160"/>
      <c r="DXF60" s="160"/>
      <c r="DXG60" s="160"/>
      <c r="DXH60" s="160"/>
      <c r="DXI60" s="160"/>
      <c r="DXJ60" s="160"/>
      <c r="DXK60" s="160"/>
      <c r="DXL60" s="160"/>
      <c r="DXM60" s="160"/>
      <c r="DXN60" s="160"/>
      <c r="DXO60" s="160"/>
      <c r="DXP60" s="160"/>
      <c r="DXQ60" s="160"/>
      <c r="DXR60" s="160"/>
      <c r="DXS60" s="160"/>
      <c r="DXT60" s="160"/>
      <c r="DXU60" s="160"/>
      <c r="DXV60" s="160"/>
      <c r="DXW60" s="160"/>
      <c r="DXX60" s="160"/>
      <c r="DXY60" s="160"/>
      <c r="DXZ60" s="160"/>
      <c r="DYA60" s="160"/>
      <c r="DYB60" s="160"/>
      <c r="DYC60" s="160"/>
      <c r="DYD60" s="160"/>
      <c r="DYE60" s="160"/>
      <c r="DYF60" s="160"/>
      <c r="DYG60" s="160"/>
      <c r="DYH60" s="160"/>
      <c r="DYI60" s="160"/>
      <c r="DYJ60" s="160"/>
      <c r="DYK60" s="160"/>
      <c r="DYL60" s="160"/>
      <c r="DYM60" s="160"/>
      <c r="DYN60" s="160"/>
      <c r="DYO60" s="160"/>
      <c r="DYP60" s="160"/>
      <c r="DYQ60" s="160"/>
      <c r="DYR60" s="160"/>
      <c r="DYS60" s="160"/>
      <c r="DYT60" s="160"/>
      <c r="DYU60" s="160"/>
      <c r="DYV60" s="160"/>
      <c r="DYW60" s="160"/>
      <c r="DYX60" s="160"/>
      <c r="DYY60" s="160"/>
      <c r="DYZ60" s="160"/>
      <c r="DZA60" s="160"/>
      <c r="DZB60" s="160"/>
      <c r="DZC60" s="160"/>
      <c r="DZD60" s="160"/>
      <c r="DZE60" s="160"/>
      <c r="DZF60" s="160"/>
      <c r="DZG60" s="160"/>
      <c r="DZH60" s="160"/>
      <c r="DZI60" s="160"/>
      <c r="DZJ60" s="160"/>
      <c r="DZK60" s="160"/>
      <c r="DZL60" s="160"/>
      <c r="DZM60" s="160"/>
      <c r="DZN60" s="160"/>
      <c r="DZO60" s="160"/>
      <c r="DZP60" s="160"/>
      <c r="DZQ60" s="160"/>
      <c r="DZR60" s="160"/>
      <c r="DZS60" s="160"/>
      <c r="DZT60" s="160"/>
      <c r="DZU60" s="160"/>
      <c r="DZV60" s="160"/>
      <c r="DZW60" s="160"/>
      <c r="DZX60" s="160"/>
      <c r="DZY60" s="160"/>
      <c r="DZZ60" s="160"/>
      <c r="EAA60" s="160"/>
      <c r="EAB60" s="160"/>
      <c r="EAC60" s="160"/>
      <c r="EAD60" s="160"/>
      <c r="EAE60" s="160"/>
      <c r="EAF60" s="160"/>
      <c r="EAG60" s="160"/>
      <c r="EAH60" s="160"/>
      <c r="EAI60" s="160"/>
      <c r="EAJ60" s="160"/>
      <c r="EAK60" s="160"/>
      <c r="EAL60" s="160"/>
      <c r="EAM60" s="160"/>
      <c r="EAN60" s="160"/>
      <c r="EAO60" s="160"/>
      <c r="EAP60" s="160"/>
      <c r="EAQ60" s="160"/>
      <c r="EAR60" s="160"/>
      <c r="EAS60" s="160"/>
      <c r="EAT60" s="160"/>
      <c r="EAU60" s="160"/>
      <c r="EAV60" s="160"/>
      <c r="EAW60" s="160"/>
      <c r="EAX60" s="160"/>
      <c r="EAY60" s="160"/>
      <c r="EAZ60" s="160"/>
      <c r="EBA60" s="160"/>
      <c r="EBB60" s="160"/>
      <c r="EBC60" s="160"/>
      <c r="EBD60" s="160"/>
      <c r="EBE60" s="160"/>
      <c r="EBF60" s="160"/>
      <c r="EBG60" s="160"/>
      <c r="EBH60" s="160"/>
      <c r="EBI60" s="160"/>
      <c r="EBJ60" s="160"/>
      <c r="EBK60" s="160"/>
      <c r="EBL60" s="160"/>
      <c r="EBM60" s="160"/>
      <c r="EBN60" s="160"/>
      <c r="EBO60" s="160"/>
      <c r="EBP60" s="160"/>
      <c r="EBQ60" s="160"/>
      <c r="EBR60" s="160"/>
      <c r="EBS60" s="160"/>
      <c r="EBT60" s="160"/>
      <c r="EBU60" s="160"/>
      <c r="EBV60" s="160"/>
      <c r="EBW60" s="160"/>
      <c r="EBX60" s="160"/>
      <c r="EBY60" s="160"/>
      <c r="EBZ60" s="160"/>
      <c r="ECA60" s="160"/>
      <c r="ECB60" s="160"/>
      <c r="ECC60" s="160"/>
      <c r="ECD60" s="160"/>
      <c r="ECE60" s="160"/>
      <c r="ECF60" s="160"/>
      <c r="ECG60" s="160"/>
      <c r="ECH60" s="160"/>
      <c r="ECI60" s="160"/>
      <c r="ECJ60" s="160"/>
      <c r="ECK60" s="160"/>
      <c r="ECL60" s="160"/>
      <c r="ECM60" s="160"/>
      <c r="ECN60" s="160"/>
      <c r="ECO60" s="160"/>
      <c r="ECP60" s="160"/>
      <c r="ECQ60" s="160"/>
      <c r="ECR60" s="160"/>
      <c r="ECS60" s="160"/>
      <c r="ECT60" s="160"/>
      <c r="ECU60" s="160"/>
      <c r="ECV60" s="160"/>
      <c r="ECW60" s="160"/>
      <c r="ECX60" s="160"/>
      <c r="ECY60" s="160"/>
      <c r="ECZ60" s="160"/>
      <c r="EDA60" s="160"/>
      <c r="EDB60" s="160"/>
      <c r="EDC60" s="160"/>
      <c r="EDD60" s="160"/>
      <c r="EDE60" s="160"/>
      <c r="EDF60" s="160"/>
      <c r="EDG60" s="160"/>
      <c r="EDH60" s="160"/>
      <c r="EDI60" s="160"/>
      <c r="EDJ60" s="160"/>
      <c r="EDK60" s="160"/>
      <c r="EDL60" s="160"/>
      <c r="EDM60" s="160"/>
      <c r="EDN60" s="160"/>
      <c r="EDO60" s="160"/>
      <c r="EDP60" s="160"/>
      <c r="EDQ60" s="160"/>
      <c r="EDR60" s="160"/>
      <c r="EDS60" s="160"/>
      <c r="EDT60" s="160"/>
      <c r="EDU60" s="160"/>
      <c r="EDV60" s="160"/>
      <c r="EDW60" s="160"/>
      <c r="EDX60" s="160"/>
      <c r="EDY60" s="160"/>
      <c r="EDZ60" s="160"/>
      <c r="EEA60" s="160"/>
      <c r="EEB60" s="160"/>
      <c r="EEC60" s="160"/>
      <c r="EED60" s="160"/>
      <c r="EEE60" s="160"/>
      <c r="EEF60" s="160"/>
      <c r="EEG60" s="160"/>
      <c r="EEH60" s="160"/>
      <c r="EEI60" s="160"/>
      <c r="EEJ60" s="160"/>
      <c r="EEK60" s="160"/>
      <c r="EEL60" s="160"/>
      <c r="EEM60" s="160"/>
      <c r="EEN60" s="160"/>
      <c r="EEO60" s="160"/>
      <c r="EEP60" s="160"/>
      <c r="EEQ60" s="160"/>
      <c r="EER60" s="160"/>
      <c r="EES60" s="160"/>
      <c r="EET60" s="160"/>
      <c r="EEU60" s="160"/>
      <c r="EEV60" s="160"/>
      <c r="EEW60" s="160"/>
      <c r="EEX60" s="160"/>
      <c r="EEY60" s="160"/>
      <c r="EEZ60" s="160"/>
      <c r="EFA60" s="160"/>
      <c r="EFB60" s="160"/>
      <c r="EFC60" s="160"/>
      <c r="EFD60" s="160"/>
      <c r="EFE60" s="160"/>
      <c r="EFF60" s="160"/>
      <c r="EFG60" s="160"/>
      <c r="EFH60" s="160"/>
      <c r="EFI60" s="160"/>
      <c r="EFJ60" s="160"/>
      <c r="EFK60" s="160"/>
      <c r="EFL60" s="160"/>
      <c r="EFM60" s="160"/>
      <c r="EFN60" s="160"/>
      <c r="EFO60" s="160"/>
      <c r="EFP60" s="160"/>
      <c r="EFQ60" s="160"/>
      <c r="EFR60" s="160"/>
      <c r="EFS60" s="160"/>
      <c r="EFT60" s="160"/>
      <c r="EFU60" s="160"/>
      <c r="EFV60" s="160"/>
      <c r="EFW60" s="160"/>
      <c r="EFX60" s="160"/>
      <c r="EFY60" s="160"/>
      <c r="EFZ60" s="160"/>
      <c r="EGA60" s="160"/>
      <c r="EGB60" s="160"/>
      <c r="EGC60" s="160"/>
      <c r="EGD60" s="160"/>
      <c r="EGE60" s="160"/>
      <c r="EGF60" s="160"/>
      <c r="EGG60" s="160"/>
      <c r="EGH60" s="160"/>
      <c r="EGI60" s="160"/>
      <c r="EGJ60" s="160"/>
      <c r="EGK60" s="160"/>
      <c r="EGL60" s="160"/>
      <c r="EGM60" s="160"/>
      <c r="EGN60" s="160"/>
      <c r="EGO60" s="160"/>
      <c r="EGP60" s="160"/>
      <c r="EGQ60" s="160"/>
      <c r="EGR60" s="160"/>
      <c r="EGS60" s="160"/>
      <c r="EGT60" s="160"/>
      <c r="EGU60" s="160"/>
      <c r="EGV60" s="160"/>
      <c r="EGW60" s="160"/>
      <c r="EGX60" s="160"/>
      <c r="EGY60" s="160"/>
      <c r="EGZ60" s="160"/>
      <c r="EHA60" s="160"/>
      <c r="EHB60" s="160"/>
      <c r="EHC60" s="160"/>
      <c r="EHD60" s="160"/>
      <c r="EHE60" s="160"/>
      <c r="EHF60" s="160"/>
      <c r="EHG60" s="160"/>
      <c r="EHH60" s="160"/>
      <c r="EHI60" s="160"/>
      <c r="EHJ60" s="160"/>
      <c r="EHK60" s="160"/>
      <c r="EHL60" s="160"/>
      <c r="EHM60" s="160"/>
      <c r="EHN60" s="160"/>
      <c r="EHO60" s="160"/>
      <c r="EHP60" s="160"/>
      <c r="EHQ60" s="160"/>
      <c r="EHR60" s="160"/>
      <c r="EHS60" s="160"/>
      <c r="EHT60" s="160"/>
      <c r="EHU60" s="160"/>
      <c r="EHV60" s="160"/>
      <c r="EHW60" s="160"/>
      <c r="EHX60" s="160"/>
      <c r="EHY60" s="160"/>
      <c r="EHZ60" s="160"/>
      <c r="EIA60" s="160"/>
      <c r="EIB60" s="160"/>
      <c r="EIC60" s="160"/>
      <c r="EID60" s="160"/>
      <c r="EIE60" s="160"/>
      <c r="EIF60" s="160"/>
      <c r="EIG60" s="160"/>
      <c r="EIH60" s="160"/>
      <c r="EII60" s="160"/>
      <c r="EIJ60" s="160"/>
      <c r="EIK60" s="160"/>
      <c r="EIL60" s="160"/>
      <c r="EIM60" s="160"/>
      <c r="EIN60" s="160"/>
      <c r="EIO60" s="160"/>
      <c r="EIP60" s="160"/>
      <c r="EIQ60" s="160"/>
      <c r="EIR60" s="160"/>
      <c r="EIS60" s="160"/>
      <c r="EIT60" s="160"/>
      <c r="EIU60" s="160"/>
      <c r="EIV60" s="160"/>
      <c r="EIW60" s="160"/>
      <c r="EIX60" s="160"/>
      <c r="EIY60" s="160"/>
      <c r="EIZ60" s="160"/>
      <c r="EJA60" s="160"/>
      <c r="EJB60" s="160"/>
      <c r="EJC60" s="160"/>
      <c r="EJD60" s="160"/>
      <c r="EJE60" s="160"/>
      <c r="EJF60" s="160"/>
      <c r="EJG60" s="160"/>
      <c r="EJH60" s="160"/>
      <c r="EJI60" s="160"/>
      <c r="EJJ60" s="160"/>
      <c r="EJK60" s="160"/>
      <c r="EJL60" s="160"/>
      <c r="EJM60" s="160"/>
      <c r="EJN60" s="160"/>
      <c r="EJO60" s="160"/>
      <c r="EJP60" s="160"/>
      <c r="EJQ60" s="160"/>
      <c r="EJR60" s="160"/>
      <c r="EJS60" s="160"/>
      <c r="EJT60" s="160"/>
      <c r="EJU60" s="160"/>
      <c r="EJV60" s="160"/>
      <c r="EJW60" s="160"/>
      <c r="EJX60" s="160"/>
      <c r="EJY60" s="160"/>
      <c r="EJZ60" s="160"/>
      <c r="EKA60" s="160"/>
      <c r="EKB60" s="160"/>
      <c r="EKC60" s="160"/>
      <c r="EKD60" s="160"/>
      <c r="EKE60" s="160"/>
      <c r="EKF60" s="160"/>
      <c r="EKG60" s="160"/>
      <c r="EKH60" s="160"/>
      <c r="EKI60" s="160"/>
      <c r="EKJ60" s="160"/>
      <c r="EKK60" s="160"/>
      <c r="EKL60" s="160"/>
      <c r="EKM60" s="160"/>
      <c r="EKN60" s="160"/>
      <c r="EKO60" s="160"/>
      <c r="EKP60" s="160"/>
      <c r="EKQ60" s="160"/>
      <c r="EKR60" s="160"/>
      <c r="EKS60" s="160"/>
      <c r="EKT60" s="160"/>
      <c r="EKU60" s="160"/>
      <c r="EKV60" s="160"/>
      <c r="EKW60" s="160"/>
      <c r="EKX60" s="160"/>
      <c r="EKY60" s="160"/>
      <c r="EKZ60" s="160"/>
      <c r="ELA60" s="160"/>
      <c r="ELB60" s="160"/>
      <c r="ELC60" s="160"/>
      <c r="ELD60" s="160"/>
      <c r="ELE60" s="160"/>
      <c r="ELF60" s="160"/>
      <c r="ELG60" s="160"/>
      <c r="ELH60" s="160"/>
      <c r="ELI60" s="160"/>
      <c r="ELJ60" s="160"/>
      <c r="ELK60" s="160"/>
      <c r="ELL60" s="160"/>
      <c r="ELM60" s="160"/>
      <c r="ELN60" s="160"/>
      <c r="ELO60" s="160"/>
      <c r="ELP60" s="160"/>
      <c r="ELQ60" s="160"/>
      <c r="ELR60" s="160"/>
      <c r="ELS60" s="160"/>
      <c r="ELT60" s="160"/>
      <c r="ELU60" s="160"/>
      <c r="ELV60" s="160"/>
      <c r="ELW60" s="160"/>
      <c r="ELX60" s="160"/>
      <c r="ELY60" s="160"/>
      <c r="ELZ60" s="160"/>
      <c r="EMA60" s="160"/>
      <c r="EMB60" s="160"/>
      <c r="EMC60" s="160"/>
      <c r="EMD60" s="160"/>
      <c r="EME60" s="160"/>
      <c r="EMF60" s="160"/>
      <c r="EMG60" s="160"/>
      <c r="EMH60" s="160"/>
      <c r="EMI60" s="160"/>
      <c r="EMJ60" s="160"/>
      <c r="EMK60" s="160"/>
      <c r="EML60" s="160"/>
      <c r="EMM60" s="160"/>
      <c r="EMN60" s="160"/>
      <c r="EMO60" s="160"/>
      <c r="EMP60" s="160"/>
      <c r="EMQ60" s="160"/>
      <c r="EMR60" s="160"/>
      <c r="EMS60" s="160"/>
      <c r="EMT60" s="160"/>
      <c r="EMU60" s="160"/>
      <c r="EMV60" s="160"/>
      <c r="EMW60" s="160"/>
      <c r="EMX60" s="160"/>
      <c r="EMY60" s="160"/>
      <c r="EMZ60" s="160"/>
      <c r="ENA60" s="160"/>
      <c r="ENB60" s="160"/>
      <c r="ENC60" s="160"/>
      <c r="END60" s="160"/>
      <c r="ENE60" s="160"/>
      <c r="ENF60" s="160"/>
      <c r="ENG60" s="160"/>
      <c r="ENH60" s="160"/>
      <c r="ENI60" s="160"/>
      <c r="ENJ60" s="160"/>
      <c r="ENK60" s="160"/>
      <c r="ENL60" s="160"/>
      <c r="ENM60" s="160"/>
      <c r="ENN60" s="160"/>
      <c r="ENO60" s="160"/>
      <c r="ENP60" s="160"/>
      <c r="ENQ60" s="160"/>
      <c r="ENR60" s="160"/>
      <c r="ENS60" s="160"/>
      <c r="ENT60" s="160"/>
      <c r="ENU60" s="160"/>
      <c r="ENV60" s="160"/>
      <c r="ENW60" s="160"/>
      <c r="ENX60" s="160"/>
      <c r="ENY60" s="160"/>
      <c r="ENZ60" s="160"/>
      <c r="EOA60" s="160"/>
      <c r="EOB60" s="160"/>
      <c r="EOC60" s="160"/>
      <c r="EOD60" s="160"/>
      <c r="EOE60" s="160"/>
      <c r="EOF60" s="160"/>
      <c r="EOG60" s="160"/>
      <c r="EOH60" s="160"/>
      <c r="EOI60" s="160"/>
      <c r="EOJ60" s="160"/>
      <c r="EOK60" s="160"/>
      <c r="EOL60" s="160"/>
      <c r="EOM60" s="160"/>
      <c r="EON60" s="160"/>
      <c r="EOO60" s="160"/>
      <c r="EOP60" s="160"/>
      <c r="EOQ60" s="160"/>
      <c r="EOR60" s="160"/>
      <c r="EOS60" s="160"/>
      <c r="EOT60" s="160"/>
      <c r="EOU60" s="160"/>
      <c r="EOV60" s="160"/>
      <c r="EOW60" s="160"/>
      <c r="EOX60" s="160"/>
      <c r="EOY60" s="160"/>
      <c r="EOZ60" s="160"/>
      <c r="EPA60" s="160"/>
      <c r="EPB60" s="160"/>
      <c r="EPC60" s="160"/>
      <c r="EPD60" s="160"/>
      <c r="EPE60" s="160"/>
      <c r="EPF60" s="160"/>
      <c r="EPG60" s="160"/>
      <c r="EPH60" s="160"/>
      <c r="EPI60" s="160"/>
      <c r="EPJ60" s="160"/>
      <c r="EPK60" s="160"/>
      <c r="EPL60" s="160"/>
      <c r="EPM60" s="160"/>
      <c r="EPN60" s="160"/>
      <c r="EPO60" s="160"/>
      <c r="EPP60" s="160"/>
      <c r="EPQ60" s="160"/>
      <c r="EPR60" s="160"/>
      <c r="EPS60" s="160"/>
      <c r="EPT60" s="160"/>
      <c r="EPU60" s="160"/>
      <c r="EPV60" s="160"/>
      <c r="EPW60" s="160"/>
      <c r="EPX60" s="160"/>
      <c r="EPY60" s="160"/>
      <c r="EPZ60" s="160"/>
      <c r="EQA60" s="160"/>
      <c r="EQB60" s="160"/>
      <c r="EQC60" s="160"/>
      <c r="EQD60" s="160"/>
      <c r="EQE60" s="160"/>
      <c r="EQF60" s="160"/>
      <c r="EQG60" s="160"/>
      <c r="EQH60" s="160"/>
      <c r="EQI60" s="160"/>
      <c r="EQJ60" s="160"/>
      <c r="EQK60" s="160"/>
      <c r="EQL60" s="160"/>
      <c r="EQM60" s="160"/>
      <c r="EQN60" s="160"/>
      <c r="EQO60" s="160"/>
      <c r="EQP60" s="160"/>
      <c r="EQQ60" s="160"/>
      <c r="EQR60" s="160"/>
      <c r="EQS60" s="160"/>
      <c r="EQT60" s="160"/>
      <c r="EQU60" s="160"/>
      <c r="EQV60" s="160"/>
      <c r="EQW60" s="160"/>
      <c r="EQX60" s="160"/>
      <c r="EQY60" s="160"/>
      <c r="EQZ60" s="160"/>
      <c r="ERA60" s="160"/>
      <c r="ERB60" s="160"/>
      <c r="ERC60" s="160"/>
      <c r="ERD60" s="160"/>
      <c r="ERE60" s="160"/>
      <c r="ERF60" s="160"/>
      <c r="ERG60" s="160"/>
      <c r="ERH60" s="160"/>
      <c r="ERI60" s="160"/>
      <c r="ERJ60" s="160"/>
      <c r="ERK60" s="160"/>
      <c r="ERL60" s="160"/>
      <c r="ERM60" s="160"/>
      <c r="ERN60" s="160"/>
      <c r="ERO60" s="160"/>
      <c r="ERP60" s="160"/>
      <c r="ERQ60" s="160"/>
      <c r="ERR60" s="160"/>
      <c r="ERS60" s="160"/>
      <c r="ERT60" s="160"/>
      <c r="ERU60" s="160"/>
      <c r="ERV60" s="160"/>
      <c r="ERW60" s="160"/>
      <c r="ERX60" s="160"/>
      <c r="ERY60" s="160"/>
      <c r="ERZ60" s="160"/>
      <c r="ESA60" s="160"/>
      <c r="ESB60" s="160"/>
      <c r="ESC60" s="160"/>
      <c r="ESD60" s="160"/>
      <c r="ESE60" s="160"/>
      <c r="ESF60" s="160"/>
      <c r="ESG60" s="160"/>
      <c r="ESH60" s="160"/>
      <c r="ESI60" s="160"/>
      <c r="ESJ60" s="160"/>
      <c r="ESK60" s="160"/>
      <c r="ESL60" s="160"/>
      <c r="ESM60" s="160"/>
      <c r="ESN60" s="160"/>
      <c r="ESO60" s="160"/>
      <c r="ESP60" s="160"/>
      <c r="ESQ60" s="160"/>
      <c r="ESR60" s="160"/>
      <c r="ESS60" s="160"/>
      <c r="EST60" s="160"/>
      <c r="ESU60" s="160"/>
      <c r="ESV60" s="160"/>
      <c r="ESW60" s="160"/>
      <c r="ESX60" s="160"/>
      <c r="ESY60" s="160"/>
      <c r="ESZ60" s="160"/>
      <c r="ETA60" s="160"/>
      <c r="ETB60" s="160"/>
      <c r="ETC60" s="160"/>
      <c r="ETD60" s="160"/>
      <c r="ETE60" s="160"/>
      <c r="ETF60" s="160"/>
      <c r="ETG60" s="160"/>
      <c r="ETH60" s="160"/>
      <c r="ETI60" s="160"/>
      <c r="ETJ60" s="160"/>
      <c r="ETK60" s="160"/>
      <c r="ETL60" s="160"/>
      <c r="ETM60" s="160"/>
      <c r="ETN60" s="160"/>
      <c r="ETO60" s="160"/>
      <c r="ETP60" s="160"/>
      <c r="ETQ60" s="160"/>
      <c r="ETR60" s="160"/>
      <c r="ETS60" s="160"/>
      <c r="ETT60" s="160"/>
      <c r="ETU60" s="160"/>
      <c r="ETV60" s="160"/>
      <c r="ETW60" s="160"/>
      <c r="ETX60" s="160"/>
      <c r="ETY60" s="160"/>
      <c r="ETZ60" s="160"/>
      <c r="EUA60" s="160"/>
      <c r="EUB60" s="160"/>
      <c r="EUC60" s="160"/>
      <c r="EUD60" s="160"/>
      <c r="EUE60" s="160"/>
      <c r="EUF60" s="160"/>
      <c r="EUG60" s="160"/>
      <c r="EUH60" s="160"/>
      <c r="EUI60" s="160"/>
      <c r="EUJ60" s="160"/>
      <c r="EUK60" s="160"/>
      <c r="EUL60" s="160"/>
      <c r="EUM60" s="160"/>
      <c r="EUN60" s="160"/>
      <c r="EUO60" s="160"/>
      <c r="EUP60" s="160"/>
      <c r="EUQ60" s="160"/>
      <c r="EUR60" s="160"/>
      <c r="EUS60" s="160"/>
      <c r="EUT60" s="160"/>
      <c r="EUU60" s="160"/>
      <c r="EUV60" s="160"/>
      <c r="EUW60" s="160"/>
      <c r="EUX60" s="160"/>
      <c r="EUY60" s="160"/>
      <c r="EUZ60" s="160"/>
      <c r="EVA60" s="160"/>
      <c r="EVB60" s="160"/>
      <c r="EVC60" s="160"/>
      <c r="EVD60" s="160"/>
      <c r="EVE60" s="160"/>
      <c r="EVF60" s="160"/>
      <c r="EVG60" s="160"/>
      <c r="EVH60" s="160"/>
      <c r="EVI60" s="160"/>
      <c r="EVJ60" s="160"/>
      <c r="EVK60" s="160"/>
      <c r="EVL60" s="160"/>
      <c r="EVM60" s="160"/>
      <c r="EVN60" s="160"/>
      <c r="EVO60" s="160"/>
      <c r="EVP60" s="160"/>
      <c r="EVQ60" s="160"/>
      <c r="EVR60" s="160"/>
      <c r="EVS60" s="160"/>
      <c r="EVT60" s="160"/>
      <c r="EVU60" s="160"/>
      <c r="EVV60" s="160"/>
      <c r="EVW60" s="160"/>
      <c r="EVX60" s="160"/>
      <c r="EVY60" s="160"/>
      <c r="EVZ60" s="160"/>
      <c r="EWA60" s="160"/>
      <c r="EWB60" s="160"/>
      <c r="EWC60" s="160"/>
      <c r="EWD60" s="160"/>
      <c r="EWE60" s="160"/>
      <c r="EWF60" s="160"/>
      <c r="EWG60" s="160"/>
      <c r="EWH60" s="160"/>
      <c r="EWI60" s="160"/>
      <c r="EWJ60" s="160"/>
      <c r="EWK60" s="160"/>
      <c r="EWL60" s="160"/>
      <c r="EWM60" s="160"/>
      <c r="EWN60" s="160"/>
      <c r="EWO60" s="160"/>
      <c r="EWP60" s="160"/>
      <c r="EWQ60" s="160"/>
      <c r="EWR60" s="160"/>
      <c r="EWS60" s="160"/>
      <c r="EWT60" s="160"/>
      <c r="EWU60" s="160"/>
      <c r="EWV60" s="160"/>
      <c r="EWW60" s="160"/>
      <c r="EWX60" s="160"/>
      <c r="EWY60" s="160"/>
      <c r="EWZ60" s="160"/>
      <c r="EXA60" s="160"/>
      <c r="EXB60" s="160"/>
      <c r="EXC60" s="160"/>
      <c r="EXD60" s="160"/>
      <c r="EXE60" s="160"/>
      <c r="EXF60" s="160"/>
      <c r="EXG60" s="160"/>
      <c r="EXH60" s="160"/>
      <c r="EXI60" s="160"/>
      <c r="EXJ60" s="160"/>
      <c r="EXK60" s="160"/>
      <c r="EXL60" s="160"/>
      <c r="EXM60" s="160"/>
      <c r="EXN60" s="160"/>
      <c r="EXO60" s="160"/>
      <c r="EXP60" s="160"/>
      <c r="EXQ60" s="160"/>
      <c r="EXR60" s="160"/>
      <c r="EXS60" s="160"/>
      <c r="EXT60" s="160"/>
      <c r="EXU60" s="160"/>
      <c r="EXV60" s="160"/>
      <c r="EXW60" s="160"/>
      <c r="EXX60" s="160"/>
      <c r="EXY60" s="160"/>
      <c r="EXZ60" s="160"/>
      <c r="EYA60" s="160"/>
      <c r="EYB60" s="160"/>
      <c r="EYC60" s="160"/>
      <c r="EYD60" s="160"/>
      <c r="EYE60" s="160"/>
      <c r="EYF60" s="160"/>
      <c r="EYG60" s="160"/>
      <c r="EYH60" s="160"/>
      <c r="EYI60" s="160"/>
      <c r="EYJ60" s="160"/>
      <c r="EYK60" s="160"/>
      <c r="EYL60" s="160"/>
      <c r="EYM60" s="160"/>
      <c r="EYN60" s="160"/>
      <c r="EYO60" s="160"/>
      <c r="EYP60" s="160"/>
      <c r="EYQ60" s="160"/>
      <c r="EYR60" s="160"/>
      <c r="EYS60" s="160"/>
      <c r="EYT60" s="160"/>
      <c r="EYU60" s="160"/>
      <c r="EYV60" s="160"/>
      <c r="EYW60" s="160"/>
      <c r="EYX60" s="160"/>
      <c r="EYY60" s="160"/>
      <c r="EYZ60" s="160"/>
      <c r="EZA60" s="160"/>
      <c r="EZB60" s="160"/>
      <c r="EZC60" s="160"/>
      <c r="EZD60" s="160"/>
      <c r="EZE60" s="160"/>
      <c r="EZF60" s="160"/>
      <c r="EZG60" s="160"/>
      <c r="EZH60" s="160"/>
      <c r="EZI60" s="160"/>
      <c r="EZJ60" s="160"/>
      <c r="EZK60" s="160"/>
      <c r="EZL60" s="160"/>
      <c r="EZM60" s="160"/>
      <c r="EZN60" s="160"/>
      <c r="EZO60" s="160"/>
      <c r="EZP60" s="160"/>
      <c r="EZQ60" s="160"/>
      <c r="EZR60" s="160"/>
      <c r="EZS60" s="160"/>
      <c r="EZT60" s="160"/>
      <c r="EZU60" s="160"/>
      <c r="EZV60" s="160"/>
      <c r="EZW60" s="160"/>
      <c r="EZX60" s="160"/>
      <c r="EZY60" s="160"/>
      <c r="EZZ60" s="160"/>
      <c r="FAA60" s="160"/>
      <c r="FAB60" s="160"/>
      <c r="FAC60" s="160"/>
      <c r="FAD60" s="160"/>
      <c r="FAE60" s="160"/>
      <c r="FAF60" s="160"/>
      <c r="FAG60" s="160"/>
      <c r="FAH60" s="160"/>
      <c r="FAI60" s="160"/>
      <c r="FAJ60" s="160"/>
      <c r="FAK60" s="160"/>
      <c r="FAL60" s="160"/>
      <c r="FAM60" s="160"/>
      <c r="FAN60" s="160"/>
      <c r="FAO60" s="160"/>
      <c r="FAP60" s="160"/>
      <c r="FAQ60" s="160"/>
      <c r="FAR60" s="160"/>
      <c r="FAS60" s="160"/>
      <c r="FAT60" s="160"/>
      <c r="FAU60" s="160"/>
      <c r="FAV60" s="160"/>
      <c r="FAW60" s="160"/>
      <c r="FAX60" s="160"/>
      <c r="FAY60" s="160"/>
      <c r="FAZ60" s="160"/>
      <c r="FBA60" s="160"/>
      <c r="FBB60" s="160"/>
      <c r="FBC60" s="160"/>
      <c r="FBD60" s="160"/>
      <c r="FBE60" s="160"/>
      <c r="FBF60" s="160"/>
      <c r="FBG60" s="160"/>
      <c r="FBH60" s="160"/>
      <c r="FBI60" s="160"/>
      <c r="FBJ60" s="160"/>
      <c r="FBK60" s="160"/>
      <c r="FBL60" s="160"/>
      <c r="FBM60" s="160"/>
      <c r="FBN60" s="160"/>
      <c r="FBO60" s="160"/>
      <c r="FBP60" s="160"/>
      <c r="FBQ60" s="160"/>
      <c r="FBR60" s="160"/>
      <c r="FBS60" s="160"/>
      <c r="FBT60" s="160"/>
      <c r="FBU60" s="160"/>
      <c r="FBV60" s="160"/>
      <c r="FBW60" s="160"/>
      <c r="FBX60" s="160"/>
      <c r="FBY60" s="160"/>
      <c r="FBZ60" s="160"/>
      <c r="FCA60" s="160"/>
      <c r="FCB60" s="160"/>
      <c r="FCC60" s="160"/>
      <c r="FCD60" s="160"/>
      <c r="FCE60" s="160"/>
      <c r="FCF60" s="160"/>
      <c r="FCG60" s="160"/>
      <c r="FCH60" s="160"/>
      <c r="FCI60" s="160"/>
      <c r="FCJ60" s="160"/>
      <c r="FCK60" s="160"/>
      <c r="FCL60" s="160"/>
      <c r="FCM60" s="160"/>
      <c r="FCN60" s="160"/>
      <c r="FCO60" s="160"/>
      <c r="FCP60" s="160"/>
      <c r="FCQ60" s="160"/>
      <c r="FCR60" s="160"/>
      <c r="FCS60" s="160"/>
      <c r="FCT60" s="160"/>
      <c r="FCU60" s="160"/>
      <c r="FCV60" s="160"/>
      <c r="FCW60" s="160"/>
      <c r="FCX60" s="160"/>
      <c r="FCY60" s="160"/>
      <c r="FCZ60" s="160"/>
      <c r="FDA60" s="160"/>
      <c r="FDB60" s="160"/>
      <c r="FDC60" s="160"/>
      <c r="FDD60" s="160"/>
      <c r="FDE60" s="160"/>
      <c r="FDF60" s="160"/>
      <c r="FDG60" s="160"/>
      <c r="FDH60" s="160"/>
      <c r="FDI60" s="160"/>
      <c r="FDJ60" s="160"/>
      <c r="FDK60" s="160"/>
      <c r="FDL60" s="160"/>
      <c r="FDM60" s="160"/>
      <c r="FDN60" s="160"/>
      <c r="FDO60" s="160"/>
      <c r="FDP60" s="160"/>
      <c r="FDQ60" s="160"/>
      <c r="FDR60" s="160"/>
      <c r="FDS60" s="160"/>
      <c r="FDT60" s="160"/>
      <c r="FDU60" s="160"/>
      <c r="FDV60" s="160"/>
      <c r="FDW60" s="160"/>
      <c r="FDX60" s="160"/>
      <c r="FDY60" s="160"/>
      <c r="FDZ60" s="160"/>
      <c r="FEA60" s="160"/>
      <c r="FEB60" s="160"/>
      <c r="FEC60" s="160"/>
      <c r="FED60" s="160"/>
      <c r="FEE60" s="160"/>
      <c r="FEF60" s="160"/>
      <c r="FEG60" s="160"/>
      <c r="FEH60" s="160"/>
      <c r="FEI60" s="160"/>
      <c r="FEJ60" s="160"/>
      <c r="FEK60" s="160"/>
      <c r="FEL60" s="160"/>
      <c r="FEM60" s="160"/>
      <c r="FEN60" s="160"/>
      <c r="FEO60" s="160"/>
      <c r="FEP60" s="160"/>
      <c r="FEQ60" s="160"/>
      <c r="FER60" s="160"/>
      <c r="FES60" s="160"/>
      <c r="FET60" s="160"/>
      <c r="FEU60" s="160"/>
      <c r="FEV60" s="160"/>
      <c r="FEW60" s="160"/>
      <c r="FEX60" s="160"/>
      <c r="FEY60" s="160"/>
      <c r="FEZ60" s="160"/>
      <c r="FFA60" s="160"/>
      <c r="FFB60" s="160"/>
      <c r="FFC60" s="160"/>
      <c r="FFD60" s="160"/>
      <c r="FFE60" s="160"/>
      <c r="FFF60" s="160"/>
      <c r="FFG60" s="160"/>
      <c r="FFH60" s="160"/>
      <c r="FFI60" s="160"/>
      <c r="FFJ60" s="160"/>
      <c r="FFK60" s="160"/>
      <c r="FFL60" s="160"/>
      <c r="FFM60" s="160"/>
      <c r="FFN60" s="160"/>
      <c r="FFO60" s="160"/>
      <c r="FFP60" s="160"/>
      <c r="FFQ60" s="160"/>
      <c r="FFR60" s="160"/>
      <c r="FFS60" s="160"/>
      <c r="FFT60" s="160"/>
      <c r="FFU60" s="160"/>
      <c r="FFV60" s="160"/>
      <c r="FFW60" s="160"/>
      <c r="FFX60" s="160"/>
      <c r="FFY60" s="160"/>
      <c r="FFZ60" s="160"/>
      <c r="FGA60" s="160"/>
      <c r="FGB60" s="160"/>
      <c r="FGC60" s="160"/>
      <c r="FGD60" s="160"/>
      <c r="FGE60" s="160"/>
      <c r="FGF60" s="160"/>
      <c r="FGG60" s="160"/>
      <c r="FGH60" s="160"/>
      <c r="FGI60" s="160"/>
      <c r="FGJ60" s="160"/>
      <c r="FGK60" s="160"/>
      <c r="FGL60" s="160"/>
      <c r="FGM60" s="160"/>
      <c r="FGN60" s="160"/>
      <c r="FGO60" s="160"/>
      <c r="FGP60" s="160"/>
      <c r="FGQ60" s="160"/>
      <c r="FGR60" s="160"/>
      <c r="FGS60" s="160"/>
      <c r="FGT60" s="160"/>
      <c r="FGU60" s="160"/>
      <c r="FGV60" s="160"/>
      <c r="FGW60" s="160"/>
      <c r="FGX60" s="160"/>
      <c r="FGY60" s="160"/>
      <c r="FGZ60" s="160"/>
      <c r="FHA60" s="160"/>
      <c r="FHB60" s="160"/>
      <c r="FHC60" s="160"/>
      <c r="FHD60" s="160"/>
      <c r="FHE60" s="160"/>
      <c r="FHF60" s="160"/>
      <c r="FHG60" s="160"/>
      <c r="FHH60" s="160"/>
      <c r="FHI60" s="160"/>
      <c r="FHJ60" s="160"/>
      <c r="FHK60" s="160"/>
      <c r="FHL60" s="160"/>
      <c r="FHM60" s="160"/>
      <c r="FHN60" s="160"/>
      <c r="FHO60" s="160"/>
      <c r="FHP60" s="160"/>
      <c r="FHQ60" s="160"/>
      <c r="FHR60" s="160"/>
      <c r="FHS60" s="160"/>
      <c r="FHT60" s="160"/>
      <c r="FHU60" s="160"/>
      <c r="FHV60" s="160"/>
      <c r="FHW60" s="160"/>
      <c r="FHX60" s="160"/>
      <c r="FHY60" s="160"/>
      <c r="FHZ60" s="160"/>
      <c r="FIA60" s="160"/>
      <c r="FIB60" s="160"/>
      <c r="FIC60" s="160"/>
      <c r="FID60" s="160"/>
      <c r="FIE60" s="160"/>
      <c r="FIF60" s="160"/>
      <c r="FIG60" s="160"/>
      <c r="FIH60" s="160"/>
      <c r="FII60" s="160"/>
      <c r="FIJ60" s="160"/>
      <c r="FIK60" s="160"/>
      <c r="FIL60" s="160"/>
      <c r="FIM60" s="160"/>
      <c r="FIN60" s="160"/>
      <c r="FIO60" s="160"/>
      <c r="FIP60" s="160"/>
      <c r="FIQ60" s="160"/>
      <c r="FIR60" s="160"/>
      <c r="FIS60" s="160"/>
      <c r="FIT60" s="160"/>
      <c r="FIU60" s="160"/>
      <c r="FIV60" s="160"/>
      <c r="FIW60" s="160"/>
      <c r="FIX60" s="160"/>
      <c r="FIY60" s="160"/>
      <c r="FIZ60" s="160"/>
      <c r="FJA60" s="160"/>
      <c r="FJB60" s="160"/>
      <c r="FJC60" s="160"/>
      <c r="FJD60" s="160"/>
      <c r="FJE60" s="160"/>
      <c r="FJF60" s="160"/>
      <c r="FJG60" s="160"/>
      <c r="FJH60" s="160"/>
      <c r="FJI60" s="160"/>
      <c r="FJJ60" s="160"/>
      <c r="FJK60" s="160"/>
      <c r="FJL60" s="160"/>
      <c r="FJM60" s="160"/>
      <c r="FJN60" s="160"/>
      <c r="FJO60" s="160"/>
      <c r="FJP60" s="160"/>
      <c r="FJQ60" s="160"/>
      <c r="FJR60" s="160"/>
      <c r="FJS60" s="160"/>
      <c r="FJT60" s="160"/>
      <c r="FJU60" s="160"/>
      <c r="FJV60" s="160"/>
      <c r="FJW60" s="160"/>
      <c r="FJX60" s="160"/>
      <c r="FJY60" s="160"/>
      <c r="FJZ60" s="160"/>
      <c r="FKA60" s="160"/>
      <c r="FKB60" s="160"/>
      <c r="FKC60" s="160"/>
      <c r="FKD60" s="160"/>
      <c r="FKE60" s="160"/>
      <c r="FKF60" s="160"/>
      <c r="FKG60" s="160"/>
      <c r="FKH60" s="160"/>
      <c r="FKI60" s="160"/>
      <c r="FKJ60" s="160"/>
      <c r="FKK60" s="160"/>
      <c r="FKL60" s="160"/>
      <c r="FKM60" s="160"/>
      <c r="FKN60" s="160"/>
      <c r="FKO60" s="160"/>
      <c r="FKP60" s="160"/>
      <c r="FKQ60" s="160"/>
      <c r="FKR60" s="160"/>
      <c r="FKS60" s="160"/>
      <c r="FKT60" s="160"/>
      <c r="FKU60" s="160"/>
      <c r="FKV60" s="160"/>
      <c r="FKW60" s="160"/>
      <c r="FKX60" s="160"/>
      <c r="FKY60" s="160"/>
      <c r="FKZ60" s="160"/>
      <c r="FLA60" s="160"/>
      <c r="FLB60" s="160"/>
      <c r="FLC60" s="160"/>
      <c r="FLD60" s="160"/>
      <c r="FLE60" s="160"/>
      <c r="FLF60" s="160"/>
      <c r="FLG60" s="160"/>
      <c r="FLH60" s="160"/>
      <c r="FLI60" s="160"/>
      <c r="FLJ60" s="160"/>
      <c r="FLK60" s="160"/>
      <c r="FLL60" s="160"/>
      <c r="FLM60" s="160"/>
      <c r="FLN60" s="160"/>
      <c r="FLO60" s="160"/>
      <c r="FLP60" s="160"/>
      <c r="FLQ60" s="160"/>
      <c r="FLR60" s="160"/>
      <c r="FLS60" s="160"/>
      <c r="FLT60" s="160"/>
      <c r="FLU60" s="160"/>
      <c r="FLV60" s="160"/>
      <c r="FLW60" s="160"/>
      <c r="FLX60" s="160"/>
      <c r="FLY60" s="160"/>
      <c r="FLZ60" s="160"/>
      <c r="FMA60" s="160"/>
      <c r="FMB60" s="160"/>
      <c r="FMC60" s="160"/>
      <c r="FMD60" s="160"/>
      <c r="FME60" s="160"/>
      <c r="FMF60" s="160"/>
      <c r="FMG60" s="160"/>
      <c r="FMH60" s="160"/>
      <c r="FMI60" s="160"/>
      <c r="FMJ60" s="160"/>
      <c r="FMK60" s="160"/>
      <c r="FML60" s="160"/>
      <c r="FMM60" s="160"/>
      <c r="FMN60" s="160"/>
      <c r="FMO60" s="160"/>
      <c r="FMP60" s="160"/>
      <c r="FMQ60" s="160"/>
      <c r="FMR60" s="160"/>
      <c r="FMS60" s="160"/>
      <c r="FMT60" s="160"/>
      <c r="FMU60" s="160"/>
      <c r="FMV60" s="160"/>
      <c r="FMW60" s="160"/>
      <c r="FMX60" s="160"/>
      <c r="FMY60" s="160"/>
      <c r="FMZ60" s="160"/>
      <c r="FNA60" s="160"/>
      <c r="FNB60" s="160"/>
      <c r="FNC60" s="160"/>
      <c r="FND60" s="160"/>
      <c r="FNE60" s="160"/>
      <c r="FNF60" s="160"/>
      <c r="FNG60" s="160"/>
      <c r="FNH60" s="160"/>
      <c r="FNI60" s="160"/>
      <c r="FNJ60" s="160"/>
      <c r="FNK60" s="160"/>
      <c r="FNL60" s="160"/>
      <c r="FNM60" s="160"/>
      <c r="FNN60" s="160"/>
      <c r="FNO60" s="160"/>
      <c r="FNP60" s="160"/>
      <c r="FNQ60" s="160"/>
      <c r="FNR60" s="160"/>
      <c r="FNS60" s="160"/>
      <c r="FNT60" s="160"/>
      <c r="FNU60" s="160"/>
      <c r="FNV60" s="160"/>
      <c r="FNW60" s="160"/>
      <c r="FNX60" s="160"/>
      <c r="FNY60" s="160"/>
      <c r="FNZ60" s="160"/>
      <c r="FOA60" s="160"/>
      <c r="FOB60" s="160"/>
      <c r="FOC60" s="160"/>
      <c r="FOD60" s="160"/>
      <c r="FOE60" s="160"/>
      <c r="FOF60" s="160"/>
      <c r="FOG60" s="160"/>
      <c r="FOH60" s="160"/>
      <c r="FOI60" s="160"/>
      <c r="FOJ60" s="160"/>
      <c r="FOK60" s="160"/>
      <c r="FOL60" s="160"/>
      <c r="FOM60" s="160"/>
      <c r="FON60" s="160"/>
      <c r="FOO60" s="160"/>
      <c r="FOP60" s="160"/>
      <c r="FOQ60" s="160"/>
      <c r="FOR60" s="160"/>
      <c r="FOS60" s="160"/>
      <c r="FOT60" s="160"/>
      <c r="FOU60" s="160"/>
      <c r="FOV60" s="160"/>
      <c r="FOW60" s="160"/>
      <c r="FOX60" s="160"/>
      <c r="FOY60" s="160"/>
      <c r="FOZ60" s="160"/>
      <c r="FPA60" s="160"/>
      <c r="FPB60" s="160"/>
      <c r="FPC60" s="160"/>
      <c r="FPD60" s="160"/>
      <c r="FPE60" s="160"/>
      <c r="FPF60" s="160"/>
      <c r="FPG60" s="160"/>
      <c r="FPH60" s="160"/>
      <c r="FPI60" s="160"/>
      <c r="FPJ60" s="160"/>
      <c r="FPK60" s="160"/>
      <c r="FPL60" s="160"/>
      <c r="FPM60" s="160"/>
      <c r="FPN60" s="160"/>
      <c r="FPO60" s="160"/>
      <c r="FPP60" s="160"/>
      <c r="FPQ60" s="160"/>
      <c r="FPR60" s="160"/>
      <c r="FPS60" s="160"/>
      <c r="FPT60" s="160"/>
      <c r="FPU60" s="160"/>
      <c r="FPV60" s="160"/>
      <c r="FPW60" s="160"/>
      <c r="FPX60" s="160"/>
      <c r="FPY60" s="160"/>
      <c r="FPZ60" s="160"/>
      <c r="FQA60" s="160"/>
      <c r="FQB60" s="160"/>
      <c r="FQC60" s="160"/>
      <c r="FQD60" s="160"/>
      <c r="FQE60" s="160"/>
      <c r="FQF60" s="160"/>
      <c r="FQG60" s="160"/>
      <c r="FQH60" s="160"/>
      <c r="FQI60" s="160"/>
      <c r="FQJ60" s="160"/>
      <c r="FQK60" s="160"/>
      <c r="FQL60" s="160"/>
      <c r="FQM60" s="160"/>
      <c r="FQN60" s="160"/>
      <c r="FQO60" s="160"/>
      <c r="FQP60" s="160"/>
      <c r="FQQ60" s="160"/>
      <c r="FQR60" s="160"/>
      <c r="FQS60" s="160"/>
      <c r="FQT60" s="160"/>
      <c r="FQU60" s="160"/>
      <c r="FQV60" s="160"/>
      <c r="FQW60" s="160"/>
      <c r="FQX60" s="160"/>
      <c r="FQY60" s="160"/>
      <c r="FQZ60" s="160"/>
      <c r="FRA60" s="160"/>
      <c r="FRB60" s="160"/>
      <c r="FRC60" s="160"/>
      <c r="FRD60" s="160"/>
      <c r="FRE60" s="160"/>
      <c r="FRF60" s="160"/>
      <c r="FRG60" s="160"/>
      <c r="FRH60" s="160"/>
      <c r="FRI60" s="160"/>
      <c r="FRJ60" s="160"/>
      <c r="FRK60" s="160"/>
      <c r="FRL60" s="160"/>
      <c r="FRM60" s="160"/>
      <c r="FRN60" s="160"/>
      <c r="FRO60" s="160"/>
      <c r="FRP60" s="160"/>
      <c r="FRQ60" s="160"/>
      <c r="FRR60" s="160"/>
      <c r="FRS60" s="160"/>
      <c r="FRT60" s="160"/>
      <c r="FRU60" s="160"/>
      <c r="FRV60" s="160"/>
      <c r="FRW60" s="160"/>
      <c r="FRX60" s="160"/>
      <c r="FRY60" s="160"/>
      <c r="FRZ60" s="160"/>
      <c r="FSA60" s="160"/>
      <c r="FSB60" s="160"/>
      <c r="FSC60" s="160"/>
      <c r="FSD60" s="160"/>
      <c r="FSE60" s="160"/>
      <c r="FSF60" s="160"/>
      <c r="FSG60" s="160"/>
      <c r="FSH60" s="160"/>
      <c r="FSI60" s="160"/>
      <c r="FSJ60" s="160"/>
      <c r="FSK60" s="160"/>
      <c r="FSL60" s="160"/>
      <c r="FSM60" s="160"/>
      <c r="FSN60" s="160"/>
      <c r="FSO60" s="160"/>
      <c r="FSP60" s="160"/>
      <c r="FSQ60" s="160"/>
      <c r="FSR60" s="160"/>
      <c r="FSS60" s="160"/>
      <c r="FST60" s="160"/>
      <c r="FSU60" s="160"/>
      <c r="FSV60" s="160"/>
      <c r="FSW60" s="160"/>
      <c r="FSX60" s="160"/>
      <c r="FSY60" s="160"/>
      <c r="FSZ60" s="160"/>
      <c r="FTA60" s="160"/>
      <c r="FTB60" s="160"/>
      <c r="FTC60" s="160"/>
      <c r="FTD60" s="160"/>
      <c r="FTE60" s="160"/>
      <c r="FTF60" s="160"/>
      <c r="FTG60" s="160"/>
      <c r="FTH60" s="160"/>
      <c r="FTI60" s="160"/>
      <c r="FTJ60" s="160"/>
      <c r="FTK60" s="160"/>
      <c r="FTL60" s="160"/>
      <c r="FTM60" s="160"/>
      <c r="FTN60" s="160"/>
      <c r="FTO60" s="160"/>
      <c r="FTP60" s="160"/>
      <c r="FTQ60" s="160"/>
      <c r="FTR60" s="160"/>
      <c r="FTS60" s="160"/>
      <c r="FTT60" s="160"/>
      <c r="FTU60" s="160"/>
      <c r="FTV60" s="160"/>
      <c r="FTW60" s="160"/>
      <c r="FTX60" s="160"/>
      <c r="FTY60" s="160"/>
      <c r="FTZ60" s="160"/>
      <c r="FUA60" s="160"/>
      <c r="FUB60" s="160"/>
      <c r="FUC60" s="160"/>
      <c r="FUD60" s="160"/>
      <c r="FUE60" s="160"/>
      <c r="FUF60" s="160"/>
      <c r="FUG60" s="160"/>
      <c r="FUH60" s="160"/>
      <c r="FUI60" s="160"/>
      <c r="FUJ60" s="160"/>
      <c r="FUK60" s="160"/>
      <c r="FUL60" s="160"/>
      <c r="FUM60" s="160"/>
      <c r="FUN60" s="160"/>
      <c r="FUO60" s="160"/>
      <c r="FUP60" s="160"/>
      <c r="FUQ60" s="160"/>
      <c r="FUR60" s="160"/>
      <c r="FUS60" s="160"/>
      <c r="FUT60" s="160"/>
      <c r="FUU60" s="160"/>
      <c r="FUV60" s="160"/>
      <c r="FUW60" s="160"/>
      <c r="FUX60" s="160"/>
      <c r="FUY60" s="160"/>
      <c r="FUZ60" s="160"/>
      <c r="FVA60" s="160"/>
      <c r="FVB60" s="160"/>
      <c r="FVC60" s="160"/>
      <c r="FVD60" s="160"/>
      <c r="FVE60" s="160"/>
      <c r="FVF60" s="160"/>
      <c r="FVG60" s="160"/>
      <c r="FVH60" s="160"/>
      <c r="FVI60" s="160"/>
      <c r="FVJ60" s="160"/>
      <c r="FVK60" s="160"/>
      <c r="FVL60" s="160"/>
      <c r="FVM60" s="160"/>
      <c r="FVN60" s="160"/>
      <c r="FVO60" s="160"/>
      <c r="FVP60" s="160"/>
      <c r="FVQ60" s="160"/>
      <c r="FVR60" s="160"/>
      <c r="FVS60" s="160"/>
      <c r="FVT60" s="160"/>
      <c r="FVU60" s="160"/>
      <c r="FVV60" s="160"/>
      <c r="FVW60" s="160"/>
      <c r="FVX60" s="160"/>
      <c r="FVY60" s="160"/>
      <c r="FVZ60" s="160"/>
      <c r="FWA60" s="160"/>
      <c r="FWB60" s="160"/>
      <c r="FWC60" s="160"/>
      <c r="FWD60" s="160"/>
      <c r="FWE60" s="160"/>
      <c r="FWF60" s="160"/>
      <c r="FWG60" s="160"/>
      <c r="FWH60" s="160"/>
      <c r="FWI60" s="160"/>
      <c r="FWJ60" s="160"/>
      <c r="FWK60" s="160"/>
      <c r="FWL60" s="160"/>
      <c r="FWM60" s="160"/>
      <c r="FWN60" s="160"/>
      <c r="FWO60" s="160"/>
      <c r="FWP60" s="160"/>
      <c r="FWQ60" s="160"/>
      <c r="FWR60" s="160"/>
      <c r="FWS60" s="160"/>
      <c r="FWT60" s="160"/>
      <c r="FWU60" s="160"/>
      <c r="FWV60" s="160"/>
      <c r="FWW60" s="160"/>
      <c r="FWX60" s="160"/>
      <c r="FWY60" s="160"/>
      <c r="FWZ60" s="160"/>
      <c r="FXA60" s="160"/>
      <c r="FXB60" s="160"/>
      <c r="FXC60" s="160"/>
      <c r="FXD60" s="160"/>
      <c r="FXE60" s="160"/>
      <c r="FXF60" s="160"/>
      <c r="FXG60" s="160"/>
      <c r="FXH60" s="160"/>
      <c r="FXI60" s="160"/>
      <c r="FXJ60" s="160"/>
      <c r="FXK60" s="160"/>
      <c r="FXL60" s="160"/>
      <c r="FXM60" s="160"/>
      <c r="FXN60" s="160"/>
      <c r="FXO60" s="160"/>
      <c r="FXP60" s="160"/>
      <c r="FXQ60" s="160"/>
      <c r="FXR60" s="160"/>
      <c r="FXS60" s="160"/>
      <c r="FXT60" s="160"/>
      <c r="FXU60" s="160"/>
      <c r="FXV60" s="160"/>
      <c r="FXW60" s="160"/>
      <c r="FXX60" s="160"/>
      <c r="FXY60" s="160"/>
      <c r="FXZ60" s="160"/>
      <c r="FYA60" s="160"/>
      <c r="FYB60" s="160"/>
      <c r="FYC60" s="160"/>
      <c r="FYD60" s="160"/>
      <c r="FYE60" s="160"/>
      <c r="FYF60" s="160"/>
      <c r="FYG60" s="160"/>
      <c r="FYH60" s="160"/>
      <c r="FYI60" s="160"/>
      <c r="FYJ60" s="160"/>
      <c r="FYK60" s="160"/>
      <c r="FYL60" s="160"/>
      <c r="FYM60" s="160"/>
      <c r="FYN60" s="160"/>
      <c r="FYO60" s="160"/>
      <c r="FYP60" s="160"/>
      <c r="FYQ60" s="160"/>
      <c r="FYR60" s="160"/>
      <c r="FYS60" s="160"/>
      <c r="FYT60" s="160"/>
      <c r="FYU60" s="160"/>
      <c r="FYV60" s="160"/>
      <c r="FYW60" s="160"/>
      <c r="FYX60" s="160"/>
      <c r="FYY60" s="160"/>
      <c r="FYZ60" s="160"/>
      <c r="FZA60" s="160"/>
      <c r="FZB60" s="160"/>
      <c r="FZC60" s="160"/>
      <c r="FZD60" s="160"/>
      <c r="FZE60" s="160"/>
      <c r="FZF60" s="160"/>
      <c r="FZG60" s="160"/>
      <c r="FZH60" s="160"/>
      <c r="FZI60" s="160"/>
      <c r="FZJ60" s="160"/>
      <c r="FZK60" s="160"/>
      <c r="FZL60" s="160"/>
      <c r="FZM60" s="160"/>
      <c r="FZN60" s="160"/>
      <c r="FZO60" s="160"/>
      <c r="FZP60" s="160"/>
      <c r="FZQ60" s="160"/>
      <c r="FZR60" s="160"/>
      <c r="FZS60" s="160"/>
      <c r="FZT60" s="160"/>
      <c r="FZU60" s="160"/>
      <c r="FZV60" s="160"/>
      <c r="FZW60" s="160"/>
      <c r="FZX60" s="160"/>
      <c r="FZY60" s="160"/>
      <c r="FZZ60" s="160"/>
      <c r="GAA60" s="160"/>
      <c r="GAB60" s="160"/>
      <c r="GAC60" s="160"/>
      <c r="GAD60" s="160"/>
      <c r="GAE60" s="160"/>
      <c r="GAF60" s="160"/>
      <c r="GAG60" s="160"/>
      <c r="GAH60" s="160"/>
      <c r="GAI60" s="160"/>
      <c r="GAJ60" s="160"/>
      <c r="GAK60" s="160"/>
      <c r="GAL60" s="160"/>
      <c r="GAM60" s="160"/>
      <c r="GAN60" s="160"/>
      <c r="GAO60" s="160"/>
      <c r="GAP60" s="160"/>
      <c r="GAQ60" s="160"/>
      <c r="GAR60" s="160"/>
      <c r="GAS60" s="160"/>
      <c r="GAT60" s="160"/>
      <c r="GAU60" s="160"/>
      <c r="GAV60" s="160"/>
      <c r="GAW60" s="160"/>
      <c r="GAX60" s="160"/>
      <c r="GAY60" s="160"/>
      <c r="GAZ60" s="160"/>
      <c r="GBA60" s="160"/>
      <c r="GBB60" s="160"/>
      <c r="GBC60" s="160"/>
      <c r="GBD60" s="160"/>
      <c r="GBE60" s="160"/>
      <c r="GBF60" s="160"/>
      <c r="GBG60" s="160"/>
      <c r="GBH60" s="160"/>
      <c r="GBI60" s="160"/>
      <c r="GBJ60" s="160"/>
      <c r="GBK60" s="160"/>
      <c r="GBL60" s="160"/>
      <c r="GBM60" s="160"/>
      <c r="GBN60" s="160"/>
      <c r="GBO60" s="160"/>
      <c r="GBP60" s="160"/>
      <c r="GBQ60" s="160"/>
      <c r="GBR60" s="160"/>
      <c r="GBS60" s="160"/>
      <c r="GBT60" s="160"/>
      <c r="GBU60" s="160"/>
      <c r="GBV60" s="160"/>
      <c r="GBW60" s="160"/>
      <c r="GBX60" s="160"/>
      <c r="GBY60" s="160"/>
      <c r="GBZ60" s="160"/>
      <c r="GCA60" s="160"/>
      <c r="GCB60" s="160"/>
      <c r="GCC60" s="160"/>
      <c r="GCD60" s="160"/>
      <c r="GCE60" s="160"/>
      <c r="GCF60" s="160"/>
      <c r="GCG60" s="160"/>
      <c r="GCH60" s="160"/>
      <c r="GCI60" s="160"/>
      <c r="GCJ60" s="160"/>
      <c r="GCK60" s="160"/>
      <c r="GCL60" s="160"/>
      <c r="GCM60" s="160"/>
      <c r="GCN60" s="160"/>
      <c r="GCO60" s="160"/>
      <c r="GCP60" s="160"/>
      <c r="GCQ60" s="160"/>
      <c r="GCR60" s="160"/>
      <c r="GCS60" s="160"/>
      <c r="GCT60" s="160"/>
      <c r="GCU60" s="160"/>
      <c r="GCV60" s="160"/>
      <c r="GCW60" s="160"/>
      <c r="GCX60" s="160"/>
      <c r="GCY60" s="160"/>
      <c r="GCZ60" s="160"/>
      <c r="GDA60" s="160"/>
      <c r="GDB60" s="160"/>
      <c r="GDC60" s="160"/>
      <c r="GDD60" s="160"/>
      <c r="GDE60" s="160"/>
      <c r="GDF60" s="160"/>
      <c r="GDG60" s="160"/>
      <c r="GDH60" s="160"/>
      <c r="GDI60" s="160"/>
      <c r="GDJ60" s="160"/>
      <c r="GDK60" s="160"/>
      <c r="GDL60" s="160"/>
      <c r="GDM60" s="160"/>
      <c r="GDN60" s="160"/>
      <c r="GDO60" s="160"/>
      <c r="GDP60" s="160"/>
      <c r="GDQ60" s="160"/>
      <c r="GDR60" s="160"/>
      <c r="GDS60" s="160"/>
      <c r="GDT60" s="160"/>
      <c r="GDU60" s="160"/>
      <c r="GDV60" s="160"/>
      <c r="GDW60" s="160"/>
      <c r="GDX60" s="160"/>
      <c r="GDY60" s="160"/>
      <c r="GDZ60" s="160"/>
      <c r="GEA60" s="160"/>
      <c r="GEB60" s="160"/>
      <c r="GEC60" s="160"/>
      <c r="GED60" s="160"/>
      <c r="GEE60" s="160"/>
      <c r="GEF60" s="160"/>
      <c r="GEG60" s="160"/>
      <c r="GEH60" s="160"/>
      <c r="GEI60" s="160"/>
      <c r="GEJ60" s="160"/>
      <c r="GEK60" s="160"/>
      <c r="GEL60" s="160"/>
      <c r="GEM60" s="160"/>
      <c r="GEN60" s="160"/>
      <c r="GEO60" s="160"/>
      <c r="GEP60" s="160"/>
      <c r="GEQ60" s="160"/>
      <c r="GER60" s="160"/>
      <c r="GES60" s="160"/>
      <c r="GET60" s="160"/>
      <c r="GEU60" s="160"/>
      <c r="GEV60" s="160"/>
      <c r="GEW60" s="160"/>
      <c r="GEX60" s="160"/>
      <c r="GEY60" s="160"/>
      <c r="GEZ60" s="160"/>
      <c r="GFA60" s="160"/>
      <c r="GFB60" s="160"/>
      <c r="GFC60" s="160"/>
      <c r="GFD60" s="160"/>
      <c r="GFE60" s="160"/>
      <c r="GFF60" s="160"/>
      <c r="GFG60" s="160"/>
      <c r="GFH60" s="160"/>
      <c r="GFI60" s="160"/>
      <c r="GFJ60" s="160"/>
      <c r="GFK60" s="160"/>
      <c r="GFL60" s="160"/>
      <c r="GFM60" s="160"/>
      <c r="GFN60" s="160"/>
      <c r="GFO60" s="160"/>
      <c r="GFP60" s="160"/>
      <c r="GFQ60" s="160"/>
      <c r="GFR60" s="160"/>
      <c r="GFS60" s="160"/>
      <c r="GFT60" s="160"/>
      <c r="GFU60" s="160"/>
      <c r="GFV60" s="160"/>
      <c r="GFW60" s="160"/>
      <c r="GFX60" s="160"/>
      <c r="GFY60" s="160"/>
      <c r="GFZ60" s="160"/>
      <c r="GGA60" s="160"/>
      <c r="GGB60" s="160"/>
      <c r="GGC60" s="160"/>
      <c r="GGD60" s="160"/>
      <c r="GGE60" s="160"/>
      <c r="GGF60" s="160"/>
      <c r="GGG60" s="160"/>
      <c r="GGH60" s="160"/>
      <c r="GGI60" s="160"/>
      <c r="GGJ60" s="160"/>
      <c r="GGK60" s="160"/>
      <c r="GGL60" s="160"/>
      <c r="GGM60" s="160"/>
      <c r="GGN60" s="160"/>
      <c r="GGO60" s="160"/>
      <c r="GGP60" s="160"/>
      <c r="GGQ60" s="160"/>
      <c r="GGR60" s="160"/>
      <c r="GGS60" s="160"/>
      <c r="GGT60" s="160"/>
      <c r="GGU60" s="160"/>
      <c r="GGV60" s="160"/>
      <c r="GGW60" s="160"/>
      <c r="GGX60" s="160"/>
      <c r="GGY60" s="160"/>
      <c r="GGZ60" s="160"/>
      <c r="GHA60" s="160"/>
      <c r="GHB60" s="160"/>
      <c r="GHC60" s="160"/>
      <c r="GHD60" s="160"/>
      <c r="GHE60" s="160"/>
      <c r="GHF60" s="160"/>
      <c r="GHG60" s="160"/>
      <c r="GHH60" s="160"/>
      <c r="GHI60" s="160"/>
      <c r="GHJ60" s="160"/>
      <c r="GHK60" s="160"/>
      <c r="GHL60" s="160"/>
      <c r="GHM60" s="160"/>
      <c r="GHN60" s="160"/>
      <c r="GHO60" s="160"/>
      <c r="GHP60" s="160"/>
      <c r="GHQ60" s="160"/>
      <c r="GHR60" s="160"/>
      <c r="GHS60" s="160"/>
      <c r="GHT60" s="160"/>
      <c r="GHU60" s="160"/>
      <c r="GHV60" s="160"/>
      <c r="GHW60" s="160"/>
      <c r="GHX60" s="160"/>
      <c r="GHY60" s="160"/>
      <c r="GHZ60" s="160"/>
      <c r="GIA60" s="160"/>
      <c r="GIB60" s="160"/>
      <c r="GIC60" s="160"/>
      <c r="GID60" s="160"/>
      <c r="GIE60" s="160"/>
      <c r="GIF60" s="160"/>
      <c r="GIG60" s="160"/>
      <c r="GIH60" s="160"/>
      <c r="GII60" s="160"/>
      <c r="GIJ60" s="160"/>
      <c r="GIK60" s="160"/>
      <c r="GIL60" s="160"/>
      <c r="GIM60" s="160"/>
      <c r="GIN60" s="160"/>
      <c r="GIO60" s="160"/>
      <c r="GIP60" s="160"/>
      <c r="GIQ60" s="160"/>
      <c r="GIR60" s="160"/>
      <c r="GIS60" s="160"/>
      <c r="GIT60" s="160"/>
      <c r="GIU60" s="160"/>
      <c r="GIV60" s="160"/>
      <c r="GIW60" s="160"/>
      <c r="GIX60" s="160"/>
      <c r="GIY60" s="160"/>
      <c r="GIZ60" s="160"/>
      <c r="GJA60" s="160"/>
      <c r="GJB60" s="160"/>
      <c r="GJC60" s="160"/>
      <c r="GJD60" s="160"/>
      <c r="GJE60" s="160"/>
      <c r="GJF60" s="160"/>
      <c r="GJG60" s="160"/>
      <c r="GJH60" s="160"/>
      <c r="GJI60" s="160"/>
      <c r="GJJ60" s="160"/>
      <c r="GJK60" s="160"/>
      <c r="GJL60" s="160"/>
      <c r="GJM60" s="160"/>
      <c r="GJN60" s="160"/>
      <c r="GJO60" s="160"/>
      <c r="GJP60" s="160"/>
      <c r="GJQ60" s="160"/>
      <c r="GJR60" s="160"/>
      <c r="GJS60" s="160"/>
      <c r="GJT60" s="160"/>
      <c r="GJU60" s="160"/>
      <c r="GJV60" s="160"/>
      <c r="GJW60" s="160"/>
      <c r="GJX60" s="160"/>
      <c r="GJY60" s="160"/>
      <c r="GJZ60" s="160"/>
      <c r="GKA60" s="160"/>
      <c r="GKB60" s="160"/>
      <c r="GKC60" s="160"/>
      <c r="GKD60" s="160"/>
      <c r="GKE60" s="160"/>
      <c r="GKF60" s="160"/>
      <c r="GKG60" s="160"/>
      <c r="GKH60" s="160"/>
      <c r="GKI60" s="160"/>
      <c r="GKJ60" s="160"/>
      <c r="GKK60" s="160"/>
      <c r="GKL60" s="160"/>
      <c r="GKM60" s="160"/>
      <c r="GKN60" s="160"/>
      <c r="GKO60" s="160"/>
      <c r="GKP60" s="160"/>
      <c r="GKQ60" s="160"/>
      <c r="GKR60" s="160"/>
      <c r="GKS60" s="160"/>
      <c r="GKT60" s="160"/>
      <c r="GKU60" s="160"/>
      <c r="GKV60" s="160"/>
      <c r="GKW60" s="160"/>
      <c r="GKX60" s="160"/>
      <c r="GKY60" s="160"/>
      <c r="GKZ60" s="160"/>
      <c r="GLA60" s="160"/>
      <c r="GLB60" s="160"/>
      <c r="GLC60" s="160"/>
      <c r="GLD60" s="160"/>
      <c r="GLE60" s="160"/>
      <c r="GLF60" s="160"/>
      <c r="GLG60" s="160"/>
      <c r="GLH60" s="160"/>
      <c r="GLI60" s="160"/>
      <c r="GLJ60" s="160"/>
      <c r="GLK60" s="160"/>
      <c r="GLL60" s="160"/>
      <c r="GLM60" s="160"/>
      <c r="GLN60" s="160"/>
      <c r="GLO60" s="160"/>
      <c r="GLP60" s="160"/>
      <c r="GLQ60" s="160"/>
      <c r="GLR60" s="160"/>
      <c r="GLS60" s="160"/>
      <c r="GLT60" s="160"/>
      <c r="GLU60" s="160"/>
      <c r="GLV60" s="160"/>
      <c r="GLW60" s="160"/>
      <c r="GLX60" s="160"/>
      <c r="GLY60" s="160"/>
      <c r="GLZ60" s="160"/>
      <c r="GMA60" s="160"/>
      <c r="GMB60" s="160"/>
      <c r="GMC60" s="160"/>
      <c r="GMD60" s="160"/>
      <c r="GME60" s="160"/>
      <c r="GMF60" s="160"/>
      <c r="GMG60" s="160"/>
      <c r="GMH60" s="160"/>
      <c r="GMI60" s="160"/>
      <c r="GMJ60" s="160"/>
      <c r="GMK60" s="160"/>
      <c r="GML60" s="160"/>
      <c r="GMM60" s="160"/>
      <c r="GMN60" s="160"/>
      <c r="GMO60" s="160"/>
      <c r="GMP60" s="160"/>
      <c r="GMQ60" s="160"/>
      <c r="GMR60" s="160"/>
      <c r="GMS60" s="160"/>
      <c r="GMT60" s="160"/>
      <c r="GMU60" s="160"/>
      <c r="GMV60" s="160"/>
      <c r="GMW60" s="160"/>
      <c r="GMX60" s="160"/>
      <c r="GMY60" s="160"/>
      <c r="GMZ60" s="160"/>
      <c r="GNA60" s="160"/>
      <c r="GNB60" s="160"/>
      <c r="GNC60" s="160"/>
      <c r="GND60" s="160"/>
      <c r="GNE60" s="160"/>
      <c r="GNF60" s="160"/>
      <c r="GNG60" s="160"/>
      <c r="GNH60" s="160"/>
      <c r="GNI60" s="160"/>
      <c r="GNJ60" s="160"/>
      <c r="GNK60" s="160"/>
      <c r="GNL60" s="160"/>
      <c r="GNM60" s="160"/>
      <c r="GNN60" s="160"/>
      <c r="GNO60" s="160"/>
      <c r="GNP60" s="160"/>
      <c r="GNQ60" s="160"/>
      <c r="GNR60" s="160"/>
      <c r="GNS60" s="160"/>
      <c r="GNT60" s="160"/>
      <c r="GNU60" s="160"/>
      <c r="GNV60" s="160"/>
      <c r="GNW60" s="160"/>
      <c r="GNX60" s="160"/>
      <c r="GNY60" s="160"/>
      <c r="GNZ60" s="160"/>
      <c r="GOA60" s="160"/>
      <c r="GOB60" s="160"/>
      <c r="GOC60" s="160"/>
      <c r="GOD60" s="160"/>
      <c r="GOE60" s="160"/>
      <c r="GOF60" s="160"/>
      <c r="GOG60" s="160"/>
      <c r="GOH60" s="160"/>
      <c r="GOI60" s="160"/>
      <c r="GOJ60" s="160"/>
      <c r="GOK60" s="160"/>
      <c r="GOL60" s="160"/>
      <c r="GOM60" s="160"/>
      <c r="GON60" s="160"/>
      <c r="GOO60" s="160"/>
      <c r="GOP60" s="160"/>
      <c r="GOQ60" s="160"/>
      <c r="GOR60" s="160"/>
      <c r="GOS60" s="160"/>
      <c r="GOT60" s="160"/>
      <c r="GOU60" s="160"/>
      <c r="GOV60" s="160"/>
      <c r="GOW60" s="160"/>
      <c r="GOX60" s="160"/>
      <c r="GOY60" s="160"/>
      <c r="GOZ60" s="160"/>
      <c r="GPA60" s="160"/>
      <c r="GPB60" s="160"/>
      <c r="GPC60" s="160"/>
      <c r="GPD60" s="160"/>
      <c r="GPE60" s="160"/>
      <c r="GPF60" s="160"/>
      <c r="GPG60" s="160"/>
      <c r="GPH60" s="160"/>
      <c r="GPI60" s="160"/>
      <c r="GPJ60" s="160"/>
      <c r="GPK60" s="160"/>
      <c r="GPL60" s="160"/>
      <c r="GPM60" s="160"/>
      <c r="GPN60" s="160"/>
      <c r="GPO60" s="160"/>
      <c r="GPP60" s="160"/>
      <c r="GPQ60" s="160"/>
      <c r="GPR60" s="160"/>
      <c r="GPS60" s="160"/>
      <c r="GPT60" s="160"/>
      <c r="GPU60" s="160"/>
      <c r="GPV60" s="160"/>
      <c r="GPW60" s="160"/>
      <c r="GPX60" s="160"/>
      <c r="GPY60" s="160"/>
      <c r="GPZ60" s="160"/>
      <c r="GQA60" s="160"/>
      <c r="GQB60" s="160"/>
      <c r="GQC60" s="160"/>
      <c r="GQD60" s="160"/>
      <c r="GQE60" s="160"/>
      <c r="GQF60" s="160"/>
      <c r="GQG60" s="160"/>
      <c r="GQH60" s="160"/>
      <c r="GQI60" s="160"/>
      <c r="GQJ60" s="160"/>
      <c r="GQK60" s="160"/>
      <c r="GQL60" s="160"/>
      <c r="GQM60" s="160"/>
      <c r="GQN60" s="160"/>
      <c r="GQO60" s="160"/>
      <c r="GQP60" s="160"/>
      <c r="GQQ60" s="160"/>
      <c r="GQR60" s="160"/>
      <c r="GQS60" s="160"/>
      <c r="GQT60" s="160"/>
      <c r="GQU60" s="160"/>
      <c r="GQV60" s="160"/>
      <c r="GQW60" s="160"/>
      <c r="GQX60" s="160"/>
      <c r="GQY60" s="160"/>
      <c r="GQZ60" s="160"/>
      <c r="GRA60" s="160"/>
      <c r="GRB60" s="160"/>
      <c r="GRC60" s="160"/>
      <c r="GRD60" s="160"/>
      <c r="GRE60" s="160"/>
      <c r="GRF60" s="160"/>
      <c r="GRG60" s="160"/>
      <c r="GRH60" s="160"/>
      <c r="GRI60" s="160"/>
      <c r="GRJ60" s="160"/>
      <c r="GRK60" s="160"/>
      <c r="GRL60" s="160"/>
      <c r="GRM60" s="160"/>
      <c r="GRN60" s="160"/>
      <c r="GRO60" s="160"/>
      <c r="GRP60" s="160"/>
      <c r="GRQ60" s="160"/>
      <c r="GRR60" s="160"/>
      <c r="GRS60" s="160"/>
      <c r="GRT60" s="160"/>
      <c r="GRU60" s="160"/>
      <c r="GRV60" s="160"/>
      <c r="GRW60" s="160"/>
      <c r="GRX60" s="160"/>
      <c r="GRY60" s="160"/>
      <c r="GRZ60" s="160"/>
      <c r="GSA60" s="160"/>
      <c r="GSB60" s="160"/>
      <c r="GSC60" s="160"/>
      <c r="GSD60" s="160"/>
      <c r="GSE60" s="160"/>
      <c r="GSF60" s="160"/>
      <c r="GSG60" s="160"/>
      <c r="GSH60" s="160"/>
      <c r="GSI60" s="160"/>
      <c r="GSJ60" s="160"/>
      <c r="GSK60" s="160"/>
      <c r="GSL60" s="160"/>
      <c r="GSM60" s="160"/>
      <c r="GSN60" s="160"/>
      <c r="GSO60" s="160"/>
      <c r="GSP60" s="160"/>
      <c r="GSQ60" s="160"/>
      <c r="GSR60" s="160"/>
      <c r="GSS60" s="160"/>
      <c r="GST60" s="160"/>
      <c r="GSU60" s="160"/>
      <c r="GSV60" s="160"/>
      <c r="GSW60" s="160"/>
      <c r="GSX60" s="160"/>
      <c r="GSY60" s="160"/>
      <c r="GSZ60" s="160"/>
      <c r="GTA60" s="160"/>
      <c r="GTB60" s="160"/>
      <c r="GTC60" s="160"/>
      <c r="GTD60" s="160"/>
      <c r="GTE60" s="160"/>
      <c r="GTF60" s="160"/>
      <c r="GTG60" s="160"/>
      <c r="GTH60" s="160"/>
      <c r="GTI60" s="160"/>
      <c r="GTJ60" s="160"/>
      <c r="GTK60" s="160"/>
      <c r="GTL60" s="160"/>
      <c r="GTM60" s="160"/>
      <c r="GTN60" s="160"/>
      <c r="GTO60" s="160"/>
      <c r="GTP60" s="160"/>
      <c r="GTQ60" s="160"/>
      <c r="GTR60" s="160"/>
      <c r="GTS60" s="160"/>
      <c r="GTT60" s="160"/>
      <c r="GTU60" s="160"/>
      <c r="GTV60" s="160"/>
      <c r="GTW60" s="160"/>
      <c r="GTX60" s="160"/>
      <c r="GTY60" s="160"/>
      <c r="GTZ60" s="160"/>
      <c r="GUA60" s="160"/>
      <c r="GUB60" s="160"/>
      <c r="GUC60" s="160"/>
      <c r="GUD60" s="160"/>
      <c r="GUE60" s="160"/>
      <c r="GUF60" s="160"/>
      <c r="GUG60" s="160"/>
      <c r="GUH60" s="160"/>
      <c r="GUI60" s="160"/>
      <c r="GUJ60" s="160"/>
      <c r="GUK60" s="160"/>
      <c r="GUL60" s="160"/>
      <c r="GUM60" s="160"/>
      <c r="GUN60" s="160"/>
      <c r="GUO60" s="160"/>
      <c r="GUP60" s="160"/>
      <c r="GUQ60" s="160"/>
      <c r="GUR60" s="160"/>
      <c r="GUS60" s="160"/>
      <c r="GUT60" s="160"/>
      <c r="GUU60" s="160"/>
      <c r="GUV60" s="160"/>
      <c r="GUW60" s="160"/>
      <c r="GUX60" s="160"/>
      <c r="GUY60" s="160"/>
      <c r="GUZ60" s="160"/>
      <c r="GVA60" s="160"/>
      <c r="GVB60" s="160"/>
      <c r="GVC60" s="160"/>
      <c r="GVD60" s="160"/>
      <c r="GVE60" s="160"/>
      <c r="GVF60" s="160"/>
      <c r="GVG60" s="160"/>
      <c r="GVH60" s="160"/>
      <c r="GVI60" s="160"/>
      <c r="GVJ60" s="160"/>
      <c r="GVK60" s="160"/>
      <c r="GVL60" s="160"/>
      <c r="GVM60" s="160"/>
      <c r="GVN60" s="160"/>
      <c r="GVO60" s="160"/>
      <c r="GVP60" s="160"/>
      <c r="GVQ60" s="160"/>
      <c r="GVR60" s="160"/>
      <c r="GVS60" s="160"/>
      <c r="GVT60" s="160"/>
      <c r="GVU60" s="160"/>
      <c r="GVV60" s="160"/>
      <c r="GVW60" s="160"/>
      <c r="GVX60" s="160"/>
      <c r="GVY60" s="160"/>
      <c r="GVZ60" s="160"/>
      <c r="GWA60" s="160"/>
      <c r="GWB60" s="160"/>
      <c r="GWC60" s="160"/>
      <c r="GWD60" s="160"/>
      <c r="GWE60" s="160"/>
      <c r="GWF60" s="160"/>
      <c r="GWG60" s="160"/>
      <c r="GWH60" s="160"/>
      <c r="GWI60" s="160"/>
      <c r="GWJ60" s="160"/>
      <c r="GWK60" s="160"/>
      <c r="GWL60" s="160"/>
      <c r="GWM60" s="160"/>
      <c r="GWN60" s="160"/>
      <c r="GWO60" s="160"/>
      <c r="GWP60" s="160"/>
      <c r="GWQ60" s="160"/>
      <c r="GWR60" s="160"/>
      <c r="GWS60" s="160"/>
      <c r="GWT60" s="160"/>
      <c r="GWU60" s="160"/>
      <c r="GWV60" s="160"/>
      <c r="GWW60" s="160"/>
      <c r="GWX60" s="160"/>
      <c r="GWY60" s="160"/>
      <c r="GWZ60" s="160"/>
      <c r="GXA60" s="160"/>
      <c r="GXB60" s="160"/>
      <c r="GXC60" s="160"/>
      <c r="GXD60" s="160"/>
      <c r="GXE60" s="160"/>
      <c r="GXF60" s="160"/>
      <c r="GXG60" s="160"/>
      <c r="GXH60" s="160"/>
      <c r="GXI60" s="160"/>
      <c r="GXJ60" s="160"/>
      <c r="GXK60" s="160"/>
      <c r="GXL60" s="160"/>
      <c r="GXM60" s="160"/>
      <c r="GXN60" s="160"/>
      <c r="GXO60" s="160"/>
      <c r="GXP60" s="160"/>
      <c r="GXQ60" s="160"/>
      <c r="GXR60" s="160"/>
      <c r="GXS60" s="160"/>
      <c r="GXT60" s="160"/>
      <c r="GXU60" s="160"/>
      <c r="GXV60" s="160"/>
      <c r="GXW60" s="160"/>
      <c r="GXX60" s="160"/>
      <c r="GXY60" s="160"/>
      <c r="GXZ60" s="160"/>
      <c r="GYA60" s="160"/>
      <c r="GYB60" s="160"/>
      <c r="GYC60" s="160"/>
      <c r="GYD60" s="160"/>
      <c r="GYE60" s="160"/>
      <c r="GYF60" s="160"/>
      <c r="GYG60" s="160"/>
      <c r="GYH60" s="160"/>
      <c r="GYI60" s="160"/>
      <c r="GYJ60" s="160"/>
      <c r="GYK60" s="160"/>
      <c r="GYL60" s="160"/>
      <c r="GYM60" s="160"/>
      <c r="GYN60" s="160"/>
      <c r="GYO60" s="160"/>
      <c r="GYP60" s="160"/>
      <c r="GYQ60" s="160"/>
      <c r="GYR60" s="160"/>
      <c r="GYS60" s="160"/>
      <c r="GYT60" s="160"/>
      <c r="GYU60" s="160"/>
      <c r="GYV60" s="160"/>
      <c r="GYW60" s="160"/>
      <c r="GYX60" s="160"/>
      <c r="GYY60" s="160"/>
      <c r="GYZ60" s="160"/>
      <c r="GZA60" s="160"/>
      <c r="GZB60" s="160"/>
      <c r="GZC60" s="160"/>
      <c r="GZD60" s="160"/>
      <c r="GZE60" s="160"/>
      <c r="GZF60" s="160"/>
      <c r="GZG60" s="160"/>
      <c r="GZH60" s="160"/>
      <c r="GZI60" s="160"/>
      <c r="GZJ60" s="160"/>
      <c r="GZK60" s="160"/>
      <c r="GZL60" s="160"/>
      <c r="GZM60" s="160"/>
      <c r="GZN60" s="160"/>
      <c r="GZO60" s="160"/>
      <c r="GZP60" s="160"/>
      <c r="GZQ60" s="160"/>
      <c r="GZR60" s="160"/>
      <c r="GZS60" s="160"/>
      <c r="GZT60" s="160"/>
      <c r="GZU60" s="160"/>
      <c r="GZV60" s="160"/>
      <c r="GZW60" s="160"/>
      <c r="GZX60" s="160"/>
      <c r="GZY60" s="160"/>
      <c r="GZZ60" s="160"/>
      <c r="HAA60" s="160"/>
      <c r="HAB60" s="160"/>
      <c r="HAC60" s="160"/>
      <c r="HAD60" s="160"/>
      <c r="HAE60" s="160"/>
      <c r="HAF60" s="160"/>
      <c r="HAG60" s="160"/>
      <c r="HAH60" s="160"/>
      <c r="HAI60" s="160"/>
      <c r="HAJ60" s="160"/>
      <c r="HAK60" s="160"/>
      <c r="HAL60" s="160"/>
      <c r="HAM60" s="160"/>
      <c r="HAN60" s="160"/>
      <c r="HAO60" s="160"/>
      <c r="HAP60" s="160"/>
      <c r="HAQ60" s="160"/>
      <c r="HAR60" s="160"/>
      <c r="HAS60" s="160"/>
      <c r="HAT60" s="160"/>
      <c r="HAU60" s="160"/>
      <c r="HAV60" s="160"/>
      <c r="HAW60" s="160"/>
      <c r="HAX60" s="160"/>
      <c r="HAY60" s="160"/>
      <c r="HAZ60" s="160"/>
      <c r="HBA60" s="160"/>
      <c r="HBB60" s="160"/>
      <c r="HBC60" s="160"/>
      <c r="HBD60" s="160"/>
      <c r="HBE60" s="160"/>
      <c r="HBF60" s="160"/>
      <c r="HBG60" s="160"/>
      <c r="HBH60" s="160"/>
      <c r="HBI60" s="160"/>
      <c r="HBJ60" s="160"/>
      <c r="HBK60" s="160"/>
      <c r="HBL60" s="160"/>
      <c r="HBM60" s="160"/>
      <c r="HBN60" s="160"/>
      <c r="HBO60" s="160"/>
      <c r="HBP60" s="160"/>
      <c r="HBQ60" s="160"/>
      <c r="HBR60" s="160"/>
      <c r="HBS60" s="160"/>
      <c r="HBT60" s="160"/>
      <c r="HBU60" s="160"/>
      <c r="HBV60" s="160"/>
      <c r="HBW60" s="160"/>
      <c r="HBX60" s="160"/>
      <c r="HBY60" s="160"/>
      <c r="HBZ60" s="160"/>
      <c r="HCA60" s="160"/>
      <c r="HCB60" s="160"/>
      <c r="HCC60" s="160"/>
      <c r="HCD60" s="160"/>
      <c r="HCE60" s="160"/>
      <c r="HCF60" s="160"/>
      <c r="HCG60" s="160"/>
      <c r="HCH60" s="160"/>
      <c r="HCI60" s="160"/>
      <c r="HCJ60" s="160"/>
      <c r="HCK60" s="160"/>
      <c r="HCL60" s="160"/>
      <c r="HCM60" s="160"/>
      <c r="HCN60" s="160"/>
      <c r="HCO60" s="160"/>
      <c r="HCP60" s="160"/>
      <c r="HCQ60" s="160"/>
      <c r="HCR60" s="160"/>
      <c r="HCS60" s="160"/>
      <c r="HCT60" s="160"/>
      <c r="HCU60" s="160"/>
      <c r="HCV60" s="160"/>
      <c r="HCW60" s="160"/>
      <c r="HCX60" s="160"/>
      <c r="HCY60" s="160"/>
      <c r="HCZ60" s="160"/>
      <c r="HDA60" s="160"/>
      <c r="HDB60" s="160"/>
      <c r="HDC60" s="160"/>
      <c r="HDD60" s="160"/>
      <c r="HDE60" s="160"/>
      <c r="HDF60" s="160"/>
      <c r="HDG60" s="160"/>
      <c r="HDH60" s="160"/>
      <c r="HDI60" s="160"/>
      <c r="HDJ60" s="160"/>
      <c r="HDK60" s="160"/>
      <c r="HDL60" s="160"/>
      <c r="HDM60" s="160"/>
      <c r="HDN60" s="160"/>
      <c r="HDO60" s="160"/>
      <c r="HDP60" s="160"/>
      <c r="HDQ60" s="160"/>
      <c r="HDR60" s="160"/>
      <c r="HDS60" s="160"/>
      <c r="HDT60" s="160"/>
      <c r="HDU60" s="160"/>
      <c r="HDV60" s="160"/>
      <c r="HDW60" s="160"/>
      <c r="HDX60" s="160"/>
      <c r="HDY60" s="160"/>
      <c r="HDZ60" s="160"/>
      <c r="HEA60" s="160"/>
      <c r="HEB60" s="160"/>
      <c r="HEC60" s="160"/>
      <c r="HED60" s="160"/>
      <c r="HEE60" s="160"/>
      <c r="HEF60" s="160"/>
      <c r="HEG60" s="160"/>
      <c r="HEH60" s="160"/>
      <c r="HEI60" s="160"/>
      <c r="HEJ60" s="160"/>
      <c r="HEK60" s="160"/>
      <c r="HEL60" s="160"/>
      <c r="HEM60" s="160"/>
      <c r="HEN60" s="160"/>
      <c r="HEO60" s="160"/>
      <c r="HEP60" s="160"/>
      <c r="HEQ60" s="160"/>
      <c r="HER60" s="160"/>
      <c r="HES60" s="160"/>
      <c r="HET60" s="160"/>
      <c r="HEU60" s="160"/>
      <c r="HEV60" s="160"/>
      <c r="HEW60" s="160"/>
      <c r="HEX60" s="160"/>
      <c r="HEY60" s="160"/>
      <c r="HEZ60" s="160"/>
      <c r="HFA60" s="160"/>
      <c r="HFB60" s="160"/>
      <c r="HFC60" s="160"/>
      <c r="HFD60" s="160"/>
      <c r="HFE60" s="160"/>
      <c r="HFF60" s="160"/>
      <c r="HFG60" s="160"/>
      <c r="HFH60" s="160"/>
      <c r="HFI60" s="160"/>
      <c r="HFJ60" s="160"/>
      <c r="HFK60" s="160"/>
      <c r="HFL60" s="160"/>
      <c r="HFM60" s="160"/>
      <c r="HFN60" s="160"/>
      <c r="HFO60" s="160"/>
      <c r="HFP60" s="160"/>
      <c r="HFQ60" s="160"/>
      <c r="HFR60" s="160"/>
      <c r="HFS60" s="160"/>
      <c r="HFT60" s="160"/>
      <c r="HFU60" s="160"/>
      <c r="HFV60" s="160"/>
      <c r="HFW60" s="160"/>
      <c r="HFX60" s="160"/>
      <c r="HFY60" s="160"/>
      <c r="HFZ60" s="160"/>
      <c r="HGA60" s="160"/>
      <c r="HGB60" s="160"/>
      <c r="HGC60" s="160"/>
      <c r="HGD60" s="160"/>
      <c r="HGE60" s="160"/>
      <c r="HGF60" s="160"/>
      <c r="HGG60" s="160"/>
      <c r="HGH60" s="160"/>
      <c r="HGI60" s="160"/>
      <c r="HGJ60" s="160"/>
      <c r="HGK60" s="160"/>
      <c r="HGL60" s="160"/>
      <c r="HGM60" s="160"/>
      <c r="HGN60" s="160"/>
      <c r="HGO60" s="160"/>
      <c r="HGP60" s="160"/>
      <c r="HGQ60" s="160"/>
      <c r="HGR60" s="160"/>
      <c r="HGS60" s="160"/>
      <c r="HGT60" s="160"/>
      <c r="HGU60" s="160"/>
      <c r="HGV60" s="160"/>
      <c r="HGW60" s="160"/>
      <c r="HGX60" s="160"/>
      <c r="HGY60" s="160"/>
      <c r="HGZ60" s="160"/>
      <c r="HHA60" s="160"/>
      <c r="HHB60" s="160"/>
      <c r="HHC60" s="160"/>
      <c r="HHD60" s="160"/>
      <c r="HHE60" s="160"/>
      <c r="HHF60" s="160"/>
      <c r="HHG60" s="160"/>
      <c r="HHH60" s="160"/>
      <c r="HHI60" s="160"/>
      <c r="HHJ60" s="160"/>
      <c r="HHK60" s="160"/>
      <c r="HHL60" s="160"/>
      <c r="HHM60" s="160"/>
      <c r="HHN60" s="160"/>
      <c r="HHO60" s="160"/>
      <c r="HHP60" s="160"/>
      <c r="HHQ60" s="160"/>
      <c r="HHR60" s="160"/>
      <c r="HHS60" s="160"/>
      <c r="HHT60" s="160"/>
      <c r="HHU60" s="160"/>
      <c r="HHV60" s="160"/>
      <c r="HHW60" s="160"/>
      <c r="HHX60" s="160"/>
      <c r="HHY60" s="160"/>
      <c r="HHZ60" s="160"/>
      <c r="HIA60" s="160"/>
      <c r="HIB60" s="160"/>
      <c r="HIC60" s="160"/>
      <c r="HID60" s="160"/>
      <c r="HIE60" s="160"/>
      <c r="HIF60" s="160"/>
      <c r="HIG60" s="160"/>
      <c r="HIH60" s="160"/>
      <c r="HII60" s="160"/>
      <c r="HIJ60" s="160"/>
      <c r="HIK60" s="160"/>
      <c r="HIL60" s="160"/>
      <c r="HIM60" s="160"/>
      <c r="HIN60" s="160"/>
      <c r="HIO60" s="160"/>
      <c r="HIP60" s="160"/>
      <c r="HIQ60" s="160"/>
      <c r="HIR60" s="160"/>
      <c r="HIS60" s="160"/>
      <c r="HIT60" s="160"/>
      <c r="HIU60" s="160"/>
      <c r="HIV60" s="160"/>
      <c r="HIW60" s="160"/>
      <c r="HIX60" s="160"/>
      <c r="HIY60" s="160"/>
      <c r="HIZ60" s="160"/>
      <c r="HJA60" s="160"/>
      <c r="HJB60" s="160"/>
      <c r="HJC60" s="160"/>
      <c r="HJD60" s="160"/>
      <c r="HJE60" s="160"/>
      <c r="HJF60" s="160"/>
      <c r="HJG60" s="160"/>
      <c r="HJH60" s="160"/>
      <c r="HJI60" s="160"/>
      <c r="HJJ60" s="160"/>
      <c r="HJK60" s="160"/>
      <c r="HJL60" s="160"/>
      <c r="HJM60" s="160"/>
      <c r="HJN60" s="160"/>
      <c r="HJO60" s="160"/>
      <c r="HJP60" s="160"/>
      <c r="HJQ60" s="160"/>
      <c r="HJR60" s="160"/>
      <c r="HJS60" s="160"/>
      <c r="HJT60" s="160"/>
      <c r="HJU60" s="160"/>
      <c r="HJV60" s="160"/>
      <c r="HJW60" s="160"/>
      <c r="HJX60" s="160"/>
      <c r="HJY60" s="160"/>
      <c r="HJZ60" s="160"/>
      <c r="HKA60" s="160"/>
      <c r="HKB60" s="160"/>
      <c r="HKC60" s="160"/>
      <c r="HKD60" s="160"/>
      <c r="HKE60" s="160"/>
      <c r="HKF60" s="160"/>
      <c r="HKG60" s="160"/>
      <c r="HKH60" s="160"/>
      <c r="HKI60" s="160"/>
      <c r="HKJ60" s="160"/>
      <c r="HKK60" s="160"/>
      <c r="HKL60" s="160"/>
      <c r="HKM60" s="160"/>
      <c r="HKN60" s="160"/>
      <c r="HKO60" s="160"/>
      <c r="HKP60" s="160"/>
      <c r="HKQ60" s="160"/>
      <c r="HKR60" s="160"/>
      <c r="HKS60" s="160"/>
      <c r="HKT60" s="160"/>
      <c r="HKU60" s="160"/>
      <c r="HKV60" s="160"/>
      <c r="HKW60" s="160"/>
      <c r="HKX60" s="160"/>
      <c r="HKY60" s="160"/>
      <c r="HKZ60" s="160"/>
      <c r="HLA60" s="160"/>
      <c r="HLB60" s="160"/>
      <c r="HLC60" s="160"/>
      <c r="HLD60" s="160"/>
      <c r="HLE60" s="160"/>
      <c r="HLF60" s="160"/>
      <c r="HLG60" s="160"/>
      <c r="HLH60" s="160"/>
      <c r="HLI60" s="160"/>
      <c r="HLJ60" s="160"/>
      <c r="HLK60" s="160"/>
      <c r="HLL60" s="160"/>
      <c r="HLM60" s="160"/>
      <c r="HLN60" s="160"/>
      <c r="HLO60" s="160"/>
      <c r="HLP60" s="160"/>
      <c r="HLQ60" s="160"/>
      <c r="HLR60" s="160"/>
      <c r="HLS60" s="160"/>
      <c r="HLT60" s="160"/>
      <c r="HLU60" s="160"/>
      <c r="HLV60" s="160"/>
      <c r="HLW60" s="160"/>
      <c r="HLX60" s="160"/>
      <c r="HLY60" s="160"/>
      <c r="HLZ60" s="160"/>
      <c r="HMA60" s="160"/>
      <c r="HMB60" s="160"/>
      <c r="HMC60" s="160"/>
      <c r="HMD60" s="160"/>
      <c r="HME60" s="160"/>
      <c r="HMF60" s="160"/>
      <c r="HMG60" s="160"/>
      <c r="HMH60" s="160"/>
      <c r="HMI60" s="160"/>
      <c r="HMJ60" s="160"/>
      <c r="HMK60" s="160"/>
      <c r="HML60" s="160"/>
      <c r="HMM60" s="160"/>
      <c r="HMN60" s="160"/>
      <c r="HMO60" s="160"/>
      <c r="HMP60" s="160"/>
      <c r="HMQ60" s="160"/>
      <c r="HMR60" s="160"/>
      <c r="HMS60" s="160"/>
      <c r="HMT60" s="160"/>
      <c r="HMU60" s="160"/>
      <c r="HMV60" s="160"/>
      <c r="HMW60" s="160"/>
      <c r="HMX60" s="160"/>
      <c r="HMY60" s="160"/>
      <c r="HMZ60" s="160"/>
      <c r="HNA60" s="160"/>
      <c r="HNB60" s="160"/>
      <c r="HNC60" s="160"/>
      <c r="HND60" s="160"/>
      <c r="HNE60" s="160"/>
      <c r="HNF60" s="160"/>
      <c r="HNG60" s="160"/>
      <c r="HNH60" s="160"/>
      <c r="HNI60" s="160"/>
      <c r="HNJ60" s="160"/>
      <c r="HNK60" s="160"/>
      <c r="HNL60" s="160"/>
      <c r="HNM60" s="160"/>
      <c r="HNN60" s="160"/>
      <c r="HNO60" s="160"/>
      <c r="HNP60" s="160"/>
      <c r="HNQ60" s="160"/>
      <c r="HNR60" s="160"/>
      <c r="HNS60" s="160"/>
      <c r="HNT60" s="160"/>
      <c r="HNU60" s="160"/>
      <c r="HNV60" s="160"/>
      <c r="HNW60" s="160"/>
      <c r="HNX60" s="160"/>
      <c r="HNY60" s="160"/>
      <c r="HNZ60" s="160"/>
      <c r="HOA60" s="160"/>
      <c r="HOB60" s="160"/>
      <c r="HOC60" s="160"/>
      <c r="HOD60" s="160"/>
      <c r="HOE60" s="160"/>
      <c r="HOF60" s="160"/>
      <c r="HOG60" s="160"/>
      <c r="HOH60" s="160"/>
      <c r="HOI60" s="160"/>
      <c r="HOJ60" s="160"/>
      <c r="HOK60" s="160"/>
      <c r="HOL60" s="160"/>
      <c r="HOM60" s="160"/>
      <c r="HON60" s="160"/>
      <c r="HOO60" s="160"/>
      <c r="HOP60" s="160"/>
      <c r="HOQ60" s="160"/>
      <c r="HOR60" s="160"/>
      <c r="HOS60" s="160"/>
      <c r="HOT60" s="160"/>
      <c r="HOU60" s="160"/>
      <c r="HOV60" s="160"/>
      <c r="HOW60" s="160"/>
      <c r="HOX60" s="160"/>
      <c r="HOY60" s="160"/>
      <c r="HOZ60" s="160"/>
      <c r="HPA60" s="160"/>
      <c r="HPB60" s="160"/>
      <c r="HPC60" s="160"/>
      <c r="HPD60" s="160"/>
      <c r="HPE60" s="160"/>
      <c r="HPF60" s="160"/>
      <c r="HPG60" s="160"/>
      <c r="HPH60" s="160"/>
      <c r="HPI60" s="160"/>
      <c r="HPJ60" s="160"/>
      <c r="HPK60" s="160"/>
      <c r="HPL60" s="160"/>
      <c r="HPM60" s="160"/>
      <c r="HPN60" s="160"/>
      <c r="HPO60" s="160"/>
      <c r="HPP60" s="160"/>
      <c r="HPQ60" s="160"/>
      <c r="HPR60" s="160"/>
      <c r="HPS60" s="160"/>
      <c r="HPT60" s="160"/>
      <c r="HPU60" s="160"/>
      <c r="HPV60" s="160"/>
      <c r="HPW60" s="160"/>
      <c r="HPX60" s="160"/>
      <c r="HPY60" s="160"/>
      <c r="HPZ60" s="160"/>
      <c r="HQA60" s="160"/>
      <c r="HQB60" s="160"/>
      <c r="HQC60" s="160"/>
      <c r="HQD60" s="160"/>
      <c r="HQE60" s="160"/>
      <c r="HQF60" s="160"/>
      <c r="HQG60" s="160"/>
      <c r="HQH60" s="160"/>
      <c r="HQI60" s="160"/>
      <c r="HQJ60" s="160"/>
      <c r="HQK60" s="160"/>
      <c r="HQL60" s="160"/>
      <c r="HQM60" s="160"/>
      <c r="HQN60" s="160"/>
      <c r="HQO60" s="160"/>
      <c r="HQP60" s="160"/>
      <c r="HQQ60" s="160"/>
      <c r="HQR60" s="160"/>
      <c r="HQS60" s="160"/>
      <c r="HQT60" s="160"/>
      <c r="HQU60" s="160"/>
      <c r="HQV60" s="160"/>
      <c r="HQW60" s="160"/>
      <c r="HQX60" s="160"/>
      <c r="HQY60" s="160"/>
      <c r="HQZ60" s="160"/>
      <c r="HRA60" s="160"/>
      <c r="HRB60" s="160"/>
      <c r="HRC60" s="160"/>
      <c r="HRD60" s="160"/>
      <c r="HRE60" s="160"/>
      <c r="HRF60" s="160"/>
      <c r="HRG60" s="160"/>
      <c r="HRH60" s="160"/>
      <c r="HRI60" s="160"/>
      <c r="HRJ60" s="160"/>
      <c r="HRK60" s="160"/>
      <c r="HRL60" s="160"/>
      <c r="HRM60" s="160"/>
      <c r="HRN60" s="160"/>
      <c r="HRO60" s="160"/>
      <c r="HRP60" s="160"/>
      <c r="HRQ60" s="160"/>
      <c r="HRR60" s="160"/>
      <c r="HRS60" s="160"/>
      <c r="HRT60" s="160"/>
      <c r="HRU60" s="160"/>
      <c r="HRV60" s="160"/>
      <c r="HRW60" s="160"/>
      <c r="HRX60" s="160"/>
      <c r="HRY60" s="160"/>
      <c r="HRZ60" s="160"/>
      <c r="HSA60" s="160"/>
      <c r="HSB60" s="160"/>
      <c r="HSC60" s="160"/>
      <c r="HSD60" s="160"/>
      <c r="HSE60" s="160"/>
      <c r="HSF60" s="160"/>
      <c r="HSG60" s="160"/>
      <c r="HSH60" s="160"/>
      <c r="HSI60" s="160"/>
      <c r="HSJ60" s="160"/>
      <c r="HSK60" s="160"/>
      <c r="HSL60" s="160"/>
      <c r="HSM60" s="160"/>
      <c r="HSN60" s="160"/>
      <c r="HSO60" s="160"/>
      <c r="HSP60" s="160"/>
      <c r="HSQ60" s="160"/>
      <c r="HSR60" s="160"/>
      <c r="HSS60" s="160"/>
      <c r="HST60" s="160"/>
      <c r="HSU60" s="160"/>
      <c r="HSV60" s="160"/>
      <c r="HSW60" s="160"/>
      <c r="HSX60" s="160"/>
      <c r="HSY60" s="160"/>
      <c r="HSZ60" s="160"/>
      <c r="HTA60" s="160"/>
      <c r="HTB60" s="160"/>
      <c r="HTC60" s="160"/>
      <c r="HTD60" s="160"/>
      <c r="HTE60" s="160"/>
      <c r="HTF60" s="160"/>
      <c r="HTG60" s="160"/>
      <c r="HTH60" s="160"/>
      <c r="HTI60" s="160"/>
      <c r="HTJ60" s="160"/>
      <c r="HTK60" s="160"/>
      <c r="HTL60" s="160"/>
      <c r="HTM60" s="160"/>
      <c r="HTN60" s="160"/>
      <c r="HTO60" s="160"/>
      <c r="HTP60" s="160"/>
      <c r="HTQ60" s="160"/>
      <c r="HTR60" s="160"/>
      <c r="HTS60" s="160"/>
      <c r="HTT60" s="160"/>
      <c r="HTU60" s="160"/>
      <c r="HTV60" s="160"/>
      <c r="HTW60" s="160"/>
      <c r="HTX60" s="160"/>
      <c r="HTY60" s="160"/>
      <c r="HTZ60" s="160"/>
      <c r="HUA60" s="160"/>
      <c r="HUB60" s="160"/>
      <c r="HUC60" s="160"/>
      <c r="HUD60" s="160"/>
      <c r="HUE60" s="160"/>
      <c r="HUF60" s="160"/>
      <c r="HUG60" s="160"/>
      <c r="HUH60" s="160"/>
      <c r="HUI60" s="160"/>
      <c r="HUJ60" s="160"/>
      <c r="HUK60" s="160"/>
      <c r="HUL60" s="160"/>
      <c r="HUM60" s="160"/>
      <c r="HUN60" s="160"/>
      <c r="HUO60" s="160"/>
      <c r="HUP60" s="160"/>
      <c r="HUQ60" s="160"/>
      <c r="HUR60" s="160"/>
      <c r="HUS60" s="160"/>
      <c r="HUT60" s="160"/>
      <c r="HUU60" s="160"/>
      <c r="HUV60" s="160"/>
      <c r="HUW60" s="160"/>
      <c r="HUX60" s="160"/>
      <c r="HUY60" s="160"/>
      <c r="HUZ60" s="160"/>
      <c r="HVA60" s="160"/>
      <c r="HVB60" s="160"/>
      <c r="HVC60" s="160"/>
      <c r="HVD60" s="160"/>
      <c r="HVE60" s="160"/>
      <c r="HVF60" s="160"/>
      <c r="HVG60" s="160"/>
      <c r="HVH60" s="160"/>
      <c r="HVI60" s="160"/>
      <c r="HVJ60" s="160"/>
      <c r="HVK60" s="160"/>
      <c r="HVL60" s="160"/>
      <c r="HVM60" s="160"/>
      <c r="HVN60" s="160"/>
      <c r="HVO60" s="160"/>
      <c r="HVP60" s="160"/>
      <c r="HVQ60" s="160"/>
      <c r="HVR60" s="160"/>
      <c r="HVS60" s="160"/>
      <c r="HVT60" s="160"/>
      <c r="HVU60" s="160"/>
      <c r="HVV60" s="160"/>
      <c r="HVW60" s="160"/>
      <c r="HVX60" s="160"/>
      <c r="HVY60" s="160"/>
      <c r="HVZ60" s="160"/>
      <c r="HWA60" s="160"/>
      <c r="HWB60" s="160"/>
      <c r="HWC60" s="160"/>
      <c r="HWD60" s="160"/>
      <c r="HWE60" s="160"/>
      <c r="HWF60" s="160"/>
      <c r="HWG60" s="160"/>
      <c r="HWH60" s="160"/>
      <c r="HWI60" s="160"/>
      <c r="HWJ60" s="160"/>
      <c r="HWK60" s="160"/>
      <c r="HWL60" s="160"/>
      <c r="HWM60" s="160"/>
      <c r="HWN60" s="160"/>
      <c r="HWO60" s="160"/>
      <c r="HWP60" s="160"/>
      <c r="HWQ60" s="160"/>
      <c r="HWR60" s="160"/>
      <c r="HWS60" s="160"/>
      <c r="HWT60" s="160"/>
      <c r="HWU60" s="160"/>
      <c r="HWV60" s="160"/>
      <c r="HWW60" s="160"/>
      <c r="HWX60" s="160"/>
      <c r="HWY60" s="160"/>
      <c r="HWZ60" s="160"/>
      <c r="HXA60" s="160"/>
      <c r="HXB60" s="160"/>
      <c r="HXC60" s="160"/>
      <c r="HXD60" s="160"/>
      <c r="HXE60" s="160"/>
      <c r="HXF60" s="160"/>
      <c r="HXG60" s="160"/>
      <c r="HXH60" s="160"/>
      <c r="HXI60" s="160"/>
      <c r="HXJ60" s="160"/>
      <c r="HXK60" s="160"/>
      <c r="HXL60" s="160"/>
      <c r="HXM60" s="160"/>
      <c r="HXN60" s="160"/>
      <c r="HXO60" s="160"/>
      <c r="HXP60" s="160"/>
      <c r="HXQ60" s="160"/>
      <c r="HXR60" s="160"/>
      <c r="HXS60" s="160"/>
      <c r="HXT60" s="160"/>
      <c r="HXU60" s="160"/>
      <c r="HXV60" s="160"/>
      <c r="HXW60" s="160"/>
      <c r="HXX60" s="160"/>
      <c r="HXY60" s="160"/>
      <c r="HXZ60" s="160"/>
      <c r="HYA60" s="160"/>
      <c r="HYB60" s="160"/>
      <c r="HYC60" s="160"/>
      <c r="HYD60" s="160"/>
      <c r="HYE60" s="160"/>
      <c r="HYF60" s="160"/>
      <c r="HYG60" s="160"/>
      <c r="HYH60" s="160"/>
      <c r="HYI60" s="160"/>
      <c r="HYJ60" s="160"/>
      <c r="HYK60" s="160"/>
      <c r="HYL60" s="160"/>
      <c r="HYM60" s="160"/>
      <c r="HYN60" s="160"/>
      <c r="HYO60" s="160"/>
      <c r="HYP60" s="160"/>
      <c r="HYQ60" s="160"/>
      <c r="HYR60" s="160"/>
      <c r="HYS60" s="160"/>
      <c r="HYT60" s="160"/>
      <c r="HYU60" s="160"/>
      <c r="HYV60" s="160"/>
      <c r="HYW60" s="160"/>
      <c r="HYX60" s="160"/>
      <c r="HYY60" s="160"/>
      <c r="HYZ60" s="160"/>
      <c r="HZA60" s="160"/>
      <c r="HZB60" s="160"/>
      <c r="HZC60" s="160"/>
      <c r="HZD60" s="160"/>
      <c r="HZE60" s="160"/>
      <c r="HZF60" s="160"/>
      <c r="HZG60" s="160"/>
      <c r="HZH60" s="160"/>
      <c r="HZI60" s="160"/>
      <c r="HZJ60" s="160"/>
      <c r="HZK60" s="160"/>
      <c r="HZL60" s="160"/>
      <c r="HZM60" s="160"/>
      <c r="HZN60" s="160"/>
      <c r="HZO60" s="160"/>
      <c r="HZP60" s="160"/>
      <c r="HZQ60" s="160"/>
      <c r="HZR60" s="160"/>
      <c r="HZS60" s="160"/>
      <c r="HZT60" s="160"/>
      <c r="HZU60" s="160"/>
      <c r="HZV60" s="160"/>
      <c r="HZW60" s="160"/>
      <c r="HZX60" s="160"/>
      <c r="HZY60" s="160"/>
      <c r="HZZ60" s="160"/>
      <c r="IAA60" s="160"/>
      <c r="IAB60" s="160"/>
      <c r="IAC60" s="160"/>
      <c r="IAD60" s="160"/>
      <c r="IAE60" s="160"/>
      <c r="IAF60" s="160"/>
      <c r="IAG60" s="160"/>
      <c r="IAH60" s="160"/>
      <c r="IAI60" s="160"/>
      <c r="IAJ60" s="160"/>
      <c r="IAK60" s="160"/>
      <c r="IAL60" s="160"/>
      <c r="IAM60" s="160"/>
      <c r="IAN60" s="160"/>
      <c r="IAO60" s="160"/>
      <c r="IAP60" s="160"/>
      <c r="IAQ60" s="160"/>
      <c r="IAR60" s="160"/>
      <c r="IAS60" s="160"/>
      <c r="IAT60" s="160"/>
      <c r="IAU60" s="160"/>
      <c r="IAV60" s="160"/>
      <c r="IAW60" s="160"/>
      <c r="IAX60" s="160"/>
      <c r="IAY60" s="160"/>
      <c r="IAZ60" s="160"/>
      <c r="IBA60" s="160"/>
      <c r="IBB60" s="160"/>
      <c r="IBC60" s="160"/>
      <c r="IBD60" s="160"/>
      <c r="IBE60" s="160"/>
      <c r="IBF60" s="160"/>
      <c r="IBG60" s="160"/>
      <c r="IBH60" s="160"/>
      <c r="IBI60" s="160"/>
      <c r="IBJ60" s="160"/>
      <c r="IBK60" s="160"/>
      <c r="IBL60" s="160"/>
      <c r="IBM60" s="160"/>
      <c r="IBN60" s="160"/>
      <c r="IBO60" s="160"/>
      <c r="IBP60" s="160"/>
      <c r="IBQ60" s="160"/>
      <c r="IBR60" s="160"/>
      <c r="IBS60" s="160"/>
      <c r="IBT60" s="160"/>
      <c r="IBU60" s="160"/>
      <c r="IBV60" s="160"/>
      <c r="IBW60" s="160"/>
      <c r="IBX60" s="160"/>
      <c r="IBY60" s="160"/>
      <c r="IBZ60" s="160"/>
      <c r="ICA60" s="160"/>
      <c r="ICB60" s="160"/>
      <c r="ICC60" s="160"/>
      <c r="ICD60" s="160"/>
      <c r="ICE60" s="160"/>
      <c r="ICF60" s="160"/>
      <c r="ICG60" s="160"/>
      <c r="ICH60" s="160"/>
      <c r="ICI60" s="160"/>
      <c r="ICJ60" s="160"/>
      <c r="ICK60" s="160"/>
      <c r="ICL60" s="160"/>
      <c r="ICM60" s="160"/>
      <c r="ICN60" s="160"/>
      <c r="ICO60" s="160"/>
      <c r="ICP60" s="160"/>
      <c r="ICQ60" s="160"/>
      <c r="ICR60" s="160"/>
      <c r="ICS60" s="160"/>
      <c r="ICT60" s="160"/>
      <c r="ICU60" s="160"/>
      <c r="ICV60" s="160"/>
      <c r="ICW60" s="160"/>
      <c r="ICX60" s="160"/>
      <c r="ICY60" s="160"/>
      <c r="ICZ60" s="160"/>
      <c r="IDA60" s="160"/>
      <c r="IDB60" s="160"/>
      <c r="IDC60" s="160"/>
      <c r="IDD60" s="160"/>
      <c r="IDE60" s="160"/>
      <c r="IDF60" s="160"/>
      <c r="IDG60" s="160"/>
      <c r="IDH60" s="160"/>
      <c r="IDI60" s="160"/>
      <c r="IDJ60" s="160"/>
      <c r="IDK60" s="160"/>
      <c r="IDL60" s="160"/>
      <c r="IDM60" s="160"/>
      <c r="IDN60" s="160"/>
      <c r="IDO60" s="160"/>
      <c r="IDP60" s="160"/>
      <c r="IDQ60" s="160"/>
      <c r="IDR60" s="160"/>
      <c r="IDS60" s="160"/>
      <c r="IDT60" s="160"/>
      <c r="IDU60" s="160"/>
      <c r="IDV60" s="160"/>
      <c r="IDW60" s="160"/>
      <c r="IDX60" s="160"/>
      <c r="IDY60" s="160"/>
      <c r="IDZ60" s="160"/>
      <c r="IEA60" s="160"/>
      <c r="IEB60" s="160"/>
      <c r="IEC60" s="160"/>
      <c r="IED60" s="160"/>
      <c r="IEE60" s="160"/>
      <c r="IEF60" s="160"/>
      <c r="IEG60" s="160"/>
      <c r="IEH60" s="160"/>
      <c r="IEI60" s="160"/>
      <c r="IEJ60" s="160"/>
      <c r="IEK60" s="160"/>
      <c r="IEL60" s="160"/>
      <c r="IEM60" s="160"/>
      <c r="IEN60" s="160"/>
      <c r="IEO60" s="160"/>
      <c r="IEP60" s="160"/>
      <c r="IEQ60" s="160"/>
      <c r="IER60" s="160"/>
      <c r="IES60" s="160"/>
      <c r="IET60" s="160"/>
      <c r="IEU60" s="160"/>
      <c r="IEV60" s="160"/>
      <c r="IEW60" s="160"/>
      <c r="IEX60" s="160"/>
      <c r="IEY60" s="160"/>
      <c r="IEZ60" s="160"/>
      <c r="IFA60" s="160"/>
      <c r="IFB60" s="160"/>
      <c r="IFC60" s="160"/>
      <c r="IFD60" s="160"/>
      <c r="IFE60" s="160"/>
      <c r="IFF60" s="160"/>
      <c r="IFG60" s="160"/>
      <c r="IFH60" s="160"/>
      <c r="IFI60" s="160"/>
      <c r="IFJ60" s="160"/>
      <c r="IFK60" s="160"/>
      <c r="IFL60" s="160"/>
      <c r="IFM60" s="160"/>
      <c r="IFN60" s="160"/>
      <c r="IFO60" s="160"/>
      <c r="IFP60" s="160"/>
      <c r="IFQ60" s="160"/>
      <c r="IFR60" s="160"/>
      <c r="IFS60" s="160"/>
      <c r="IFT60" s="160"/>
      <c r="IFU60" s="160"/>
      <c r="IFV60" s="160"/>
      <c r="IFW60" s="160"/>
      <c r="IFX60" s="160"/>
      <c r="IFY60" s="160"/>
      <c r="IFZ60" s="160"/>
      <c r="IGA60" s="160"/>
      <c r="IGB60" s="160"/>
      <c r="IGC60" s="160"/>
      <c r="IGD60" s="160"/>
      <c r="IGE60" s="160"/>
      <c r="IGF60" s="160"/>
      <c r="IGG60" s="160"/>
      <c r="IGH60" s="160"/>
      <c r="IGI60" s="160"/>
      <c r="IGJ60" s="160"/>
      <c r="IGK60" s="160"/>
      <c r="IGL60" s="160"/>
      <c r="IGM60" s="160"/>
      <c r="IGN60" s="160"/>
      <c r="IGO60" s="160"/>
      <c r="IGP60" s="160"/>
      <c r="IGQ60" s="160"/>
      <c r="IGR60" s="160"/>
      <c r="IGS60" s="160"/>
      <c r="IGT60" s="160"/>
      <c r="IGU60" s="160"/>
      <c r="IGV60" s="160"/>
      <c r="IGW60" s="160"/>
      <c r="IGX60" s="160"/>
      <c r="IGY60" s="160"/>
      <c r="IGZ60" s="160"/>
      <c r="IHA60" s="160"/>
      <c r="IHB60" s="160"/>
      <c r="IHC60" s="160"/>
      <c r="IHD60" s="160"/>
      <c r="IHE60" s="160"/>
      <c r="IHF60" s="160"/>
      <c r="IHG60" s="160"/>
      <c r="IHH60" s="160"/>
      <c r="IHI60" s="160"/>
      <c r="IHJ60" s="160"/>
      <c r="IHK60" s="160"/>
      <c r="IHL60" s="160"/>
      <c r="IHM60" s="160"/>
      <c r="IHN60" s="160"/>
      <c r="IHO60" s="160"/>
      <c r="IHP60" s="160"/>
      <c r="IHQ60" s="160"/>
      <c r="IHR60" s="160"/>
      <c r="IHS60" s="160"/>
      <c r="IHT60" s="160"/>
      <c r="IHU60" s="160"/>
      <c r="IHV60" s="160"/>
      <c r="IHW60" s="160"/>
      <c r="IHX60" s="160"/>
      <c r="IHY60" s="160"/>
      <c r="IHZ60" s="160"/>
      <c r="IIA60" s="160"/>
      <c r="IIB60" s="160"/>
      <c r="IIC60" s="160"/>
      <c r="IID60" s="160"/>
      <c r="IIE60" s="160"/>
      <c r="IIF60" s="160"/>
      <c r="IIG60" s="160"/>
      <c r="IIH60" s="160"/>
      <c r="III60" s="160"/>
      <c r="IIJ60" s="160"/>
      <c r="IIK60" s="160"/>
      <c r="IIL60" s="160"/>
      <c r="IIM60" s="160"/>
      <c r="IIN60" s="160"/>
      <c r="IIO60" s="160"/>
      <c r="IIP60" s="160"/>
      <c r="IIQ60" s="160"/>
      <c r="IIR60" s="160"/>
      <c r="IIS60" s="160"/>
      <c r="IIT60" s="160"/>
      <c r="IIU60" s="160"/>
      <c r="IIV60" s="160"/>
      <c r="IIW60" s="160"/>
      <c r="IIX60" s="160"/>
      <c r="IIY60" s="160"/>
      <c r="IIZ60" s="160"/>
      <c r="IJA60" s="160"/>
      <c r="IJB60" s="160"/>
      <c r="IJC60" s="160"/>
      <c r="IJD60" s="160"/>
      <c r="IJE60" s="160"/>
      <c r="IJF60" s="160"/>
      <c r="IJG60" s="160"/>
      <c r="IJH60" s="160"/>
      <c r="IJI60" s="160"/>
      <c r="IJJ60" s="160"/>
      <c r="IJK60" s="160"/>
      <c r="IJL60" s="160"/>
      <c r="IJM60" s="160"/>
      <c r="IJN60" s="160"/>
      <c r="IJO60" s="160"/>
      <c r="IJP60" s="160"/>
      <c r="IJQ60" s="160"/>
      <c r="IJR60" s="160"/>
      <c r="IJS60" s="160"/>
      <c r="IJT60" s="160"/>
      <c r="IJU60" s="160"/>
      <c r="IJV60" s="160"/>
      <c r="IJW60" s="160"/>
      <c r="IJX60" s="160"/>
      <c r="IJY60" s="160"/>
      <c r="IJZ60" s="160"/>
      <c r="IKA60" s="160"/>
      <c r="IKB60" s="160"/>
      <c r="IKC60" s="160"/>
      <c r="IKD60" s="160"/>
      <c r="IKE60" s="160"/>
      <c r="IKF60" s="160"/>
      <c r="IKG60" s="160"/>
      <c r="IKH60" s="160"/>
      <c r="IKI60" s="160"/>
      <c r="IKJ60" s="160"/>
      <c r="IKK60" s="160"/>
      <c r="IKL60" s="160"/>
      <c r="IKM60" s="160"/>
      <c r="IKN60" s="160"/>
      <c r="IKO60" s="160"/>
      <c r="IKP60" s="160"/>
      <c r="IKQ60" s="160"/>
      <c r="IKR60" s="160"/>
      <c r="IKS60" s="160"/>
      <c r="IKT60" s="160"/>
      <c r="IKU60" s="160"/>
      <c r="IKV60" s="160"/>
      <c r="IKW60" s="160"/>
      <c r="IKX60" s="160"/>
      <c r="IKY60" s="160"/>
      <c r="IKZ60" s="160"/>
      <c r="ILA60" s="160"/>
      <c r="ILB60" s="160"/>
      <c r="ILC60" s="160"/>
      <c r="ILD60" s="160"/>
      <c r="ILE60" s="160"/>
      <c r="ILF60" s="160"/>
      <c r="ILG60" s="160"/>
      <c r="ILH60" s="160"/>
      <c r="ILI60" s="160"/>
      <c r="ILJ60" s="160"/>
      <c r="ILK60" s="160"/>
      <c r="ILL60" s="160"/>
      <c r="ILM60" s="160"/>
      <c r="ILN60" s="160"/>
      <c r="ILO60" s="160"/>
      <c r="ILP60" s="160"/>
      <c r="ILQ60" s="160"/>
      <c r="ILR60" s="160"/>
      <c r="ILS60" s="160"/>
      <c r="ILT60" s="160"/>
      <c r="ILU60" s="160"/>
      <c r="ILV60" s="160"/>
      <c r="ILW60" s="160"/>
      <c r="ILX60" s="160"/>
      <c r="ILY60" s="160"/>
      <c r="ILZ60" s="160"/>
      <c r="IMA60" s="160"/>
      <c r="IMB60" s="160"/>
      <c r="IMC60" s="160"/>
      <c r="IMD60" s="160"/>
      <c r="IME60" s="160"/>
      <c r="IMF60" s="160"/>
      <c r="IMG60" s="160"/>
      <c r="IMH60" s="160"/>
      <c r="IMI60" s="160"/>
      <c r="IMJ60" s="160"/>
      <c r="IMK60" s="160"/>
      <c r="IML60" s="160"/>
      <c r="IMM60" s="160"/>
      <c r="IMN60" s="160"/>
      <c r="IMO60" s="160"/>
      <c r="IMP60" s="160"/>
      <c r="IMQ60" s="160"/>
      <c r="IMR60" s="160"/>
      <c r="IMS60" s="160"/>
      <c r="IMT60" s="160"/>
      <c r="IMU60" s="160"/>
      <c r="IMV60" s="160"/>
      <c r="IMW60" s="160"/>
      <c r="IMX60" s="160"/>
      <c r="IMY60" s="160"/>
      <c r="IMZ60" s="160"/>
      <c r="INA60" s="160"/>
      <c r="INB60" s="160"/>
      <c r="INC60" s="160"/>
      <c r="IND60" s="160"/>
      <c r="INE60" s="160"/>
      <c r="INF60" s="160"/>
      <c r="ING60" s="160"/>
      <c r="INH60" s="160"/>
      <c r="INI60" s="160"/>
      <c r="INJ60" s="160"/>
      <c r="INK60" s="160"/>
      <c r="INL60" s="160"/>
      <c r="INM60" s="160"/>
      <c r="INN60" s="160"/>
      <c r="INO60" s="160"/>
      <c r="INP60" s="160"/>
      <c r="INQ60" s="160"/>
      <c r="INR60" s="160"/>
      <c r="INS60" s="160"/>
      <c r="INT60" s="160"/>
      <c r="INU60" s="160"/>
      <c r="INV60" s="160"/>
      <c r="INW60" s="160"/>
      <c r="INX60" s="160"/>
      <c r="INY60" s="160"/>
      <c r="INZ60" s="160"/>
      <c r="IOA60" s="160"/>
      <c r="IOB60" s="160"/>
      <c r="IOC60" s="160"/>
      <c r="IOD60" s="160"/>
      <c r="IOE60" s="160"/>
      <c r="IOF60" s="160"/>
      <c r="IOG60" s="160"/>
      <c r="IOH60" s="160"/>
      <c r="IOI60" s="160"/>
      <c r="IOJ60" s="160"/>
      <c r="IOK60" s="160"/>
      <c r="IOL60" s="160"/>
      <c r="IOM60" s="160"/>
      <c r="ION60" s="160"/>
      <c r="IOO60" s="160"/>
      <c r="IOP60" s="160"/>
      <c r="IOQ60" s="160"/>
      <c r="IOR60" s="160"/>
      <c r="IOS60" s="160"/>
      <c r="IOT60" s="160"/>
      <c r="IOU60" s="160"/>
      <c r="IOV60" s="160"/>
      <c r="IOW60" s="160"/>
      <c r="IOX60" s="160"/>
      <c r="IOY60" s="160"/>
      <c r="IOZ60" s="160"/>
      <c r="IPA60" s="160"/>
      <c r="IPB60" s="160"/>
      <c r="IPC60" s="160"/>
      <c r="IPD60" s="160"/>
      <c r="IPE60" s="160"/>
      <c r="IPF60" s="160"/>
      <c r="IPG60" s="160"/>
      <c r="IPH60" s="160"/>
      <c r="IPI60" s="160"/>
      <c r="IPJ60" s="160"/>
      <c r="IPK60" s="160"/>
      <c r="IPL60" s="160"/>
      <c r="IPM60" s="160"/>
      <c r="IPN60" s="160"/>
      <c r="IPO60" s="160"/>
      <c r="IPP60" s="160"/>
      <c r="IPQ60" s="160"/>
      <c r="IPR60" s="160"/>
      <c r="IPS60" s="160"/>
      <c r="IPT60" s="160"/>
      <c r="IPU60" s="160"/>
      <c r="IPV60" s="160"/>
      <c r="IPW60" s="160"/>
      <c r="IPX60" s="160"/>
      <c r="IPY60" s="160"/>
      <c r="IPZ60" s="160"/>
      <c r="IQA60" s="160"/>
      <c r="IQB60" s="160"/>
      <c r="IQC60" s="160"/>
      <c r="IQD60" s="160"/>
      <c r="IQE60" s="160"/>
      <c r="IQF60" s="160"/>
      <c r="IQG60" s="160"/>
      <c r="IQH60" s="160"/>
      <c r="IQI60" s="160"/>
      <c r="IQJ60" s="160"/>
      <c r="IQK60" s="160"/>
      <c r="IQL60" s="160"/>
      <c r="IQM60" s="160"/>
      <c r="IQN60" s="160"/>
      <c r="IQO60" s="160"/>
      <c r="IQP60" s="160"/>
      <c r="IQQ60" s="160"/>
      <c r="IQR60" s="160"/>
      <c r="IQS60" s="160"/>
      <c r="IQT60" s="160"/>
      <c r="IQU60" s="160"/>
      <c r="IQV60" s="160"/>
      <c r="IQW60" s="160"/>
      <c r="IQX60" s="160"/>
      <c r="IQY60" s="160"/>
      <c r="IQZ60" s="160"/>
      <c r="IRA60" s="160"/>
      <c r="IRB60" s="160"/>
      <c r="IRC60" s="160"/>
      <c r="IRD60" s="160"/>
      <c r="IRE60" s="160"/>
      <c r="IRF60" s="160"/>
      <c r="IRG60" s="160"/>
      <c r="IRH60" s="160"/>
      <c r="IRI60" s="160"/>
      <c r="IRJ60" s="160"/>
      <c r="IRK60" s="160"/>
      <c r="IRL60" s="160"/>
      <c r="IRM60" s="160"/>
      <c r="IRN60" s="160"/>
      <c r="IRO60" s="160"/>
      <c r="IRP60" s="160"/>
      <c r="IRQ60" s="160"/>
      <c r="IRR60" s="160"/>
      <c r="IRS60" s="160"/>
      <c r="IRT60" s="160"/>
      <c r="IRU60" s="160"/>
      <c r="IRV60" s="160"/>
      <c r="IRW60" s="160"/>
      <c r="IRX60" s="160"/>
      <c r="IRY60" s="160"/>
      <c r="IRZ60" s="160"/>
      <c r="ISA60" s="160"/>
      <c r="ISB60" s="160"/>
      <c r="ISC60" s="160"/>
      <c r="ISD60" s="160"/>
      <c r="ISE60" s="160"/>
      <c r="ISF60" s="160"/>
      <c r="ISG60" s="160"/>
      <c r="ISH60" s="160"/>
      <c r="ISI60" s="160"/>
      <c r="ISJ60" s="160"/>
      <c r="ISK60" s="160"/>
      <c r="ISL60" s="160"/>
      <c r="ISM60" s="160"/>
      <c r="ISN60" s="160"/>
      <c r="ISO60" s="160"/>
      <c r="ISP60" s="160"/>
      <c r="ISQ60" s="160"/>
      <c r="ISR60" s="160"/>
      <c r="ISS60" s="160"/>
      <c r="IST60" s="160"/>
      <c r="ISU60" s="160"/>
      <c r="ISV60" s="160"/>
      <c r="ISW60" s="160"/>
      <c r="ISX60" s="160"/>
      <c r="ISY60" s="160"/>
      <c r="ISZ60" s="160"/>
      <c r="ITA60" s="160"/>
      <c r="ITB60" s="160"/>
      <c r="ITC60" s="160"/>
      <c r="ITD60" s="160"/>
      <c r="ITE60" s="160"/>
      <c r="ITF60" s="160"/>
      <c r="ITG60" s="160"/>
      <c r="ITH60" s="160"/>
      <c r="ITI60" s="160"/>
      <c r="ITJ60" s="160"/>
      <c r="ITK60" s="160"/>
      <c r="ITL60" s="160"/>
      <c r="ITM60" s="160"/>
      <c r="ITN60" s="160"/>
      <c r="ITO60" s="160"/>
      <c r="ITP60" s="160"/>
      <c r="ITQ60" s="160"/>
      <c r="ITR60" s="160"/>
      <c r="ITS60" s="160"/>
      <c r="ITT60" s="160"/>
      <c r="ITU60" s="160"/>
      <c r="ITV60" s="160"/>
      <c r="ITW60" s="160"/>
      <c r="ITX60" s="160"/>
      <c r="ITY60" s="160"/>
      <c r="ITZ60" s="160"/>
      <c r="IUA60" s="160"/>
      <c r="IUB60" s="160"/>
      <c r="IUC60" s="160"/>
      <c r="IUD60" s="160"/>
      <c r="IUE60" s="160"/>
      <c r="IUF60" s="160"/>
      <c r="IUG60" s="160"/>
      <c r="IUH60" s="160"/>
      <c r="IUI60" s="160"/>
      <c r="IUJ60" s="160"/>
      <c r="IUK60" s="160"/>
      <c r="IUL60" s="160"/>
      <c r="IUM60" s="160"/>
      <c r="IUN60" s="160"/>
      <c r="IUO60" s="160"/>
      <c r="IUP60" s="160"/>
      <c r="IUQ60" s="160"/>
      <c r="IUR60" s="160"/>
      <c r="IUS60" s="160"/>
      <c r="IUT60" s="160"/>
      <c r="IUU60" s="160"/>
      <c r="IUV60" s="160"/>
      <c r="IUW60" s="160"/>
      <c r="IUX60" s="160"/>
      <c r="IUY60" s="160"/>
      <c r="IUZ60" s="160"/>
      <c r="IVA60" s="160"/>
      <c r="IVB60" s="160"/>
      <c r="IVC60" s="160"/>
      <c r="IVD60" s="160"/>
      <c r="IVE60" s="160"/>
      <c r="IVF60" s="160"/>
      <c r="IVG60" s="160"/>
      <c r="IVH60" s="160"/>
      <c r="IVI60" s="160"/>
      <c r="IVJ60" s="160"/>
      <c r="IVK60" s="160"/>
      <c r="IVL60" s="160"/>
      <c r="IVM60" s="160"/>
      <c r="IVN60" s="160"/>
      <c r="IVO60" s="160"/>
      <c r="IVP60" s="160"/>
      <c r="IVQ60" s="160"/>
      <c r="IVR60" s="160"/>
      <c r="IVS60" s="160"/>
      <c r="IVT60" s="160"/>
      <c r="IVU60" s="160"/>
      <c r="IVV60" s="160"/>
      <c r="IVW60" s="160"/>
      <c r="IVX60" s="160"/>
      <c r="IVY60" s="160"/>
      <c r="IVZ60" s="160"/>
      <c r="IWA60" s="160"/>
      <c r="IWB60" s="160"/>
      <c r="IWC60" s="160"/>
      <c r="IWD60" s="160"/>
      <c r="IWE60" s="160"/>
      <c r="IWF60" s="160"/>
      <c r="IWG60" s="160"/>
      <c r="IWH60" s="160"/>
      <c r="IWI60" s="160"/>
      <c r="IWJ60" s="160"/>
      <c r="IWK60" s="160"/>
      <c r="IWL60" s="160"/>
      <c r="IWM60" s="160"/>
      <c r="IWN60" s="160"/>
      <c r="IWO60" s="160"/>
      <c r="IWP60" s="160"/>
      <c r="IWQ60" s="160"/>
      <c r="IWR60" s="160"/>
      <c r="IWS60" s="160"/>
      <c r="IWT60" s="160"/>
      <c r="IWU60" s="160"/>
      <c r="IWV60" s="160"/>
      <c r="IWW60" s="160"/>
      <c r="IWX60" s="160"/>
      <c r="IWY60" s="160"/>
      <c r="IWZ60" s="160"/>
      <c r="IXA60" s="160"/>
      <c r="IXB60" s="160"/>
      <c r="IXC60" s="160"/>
      <c r="IXD60" s="160"/>
      <c r="IXE60" s="160"/>
      <c r="IXF60" s="160"/>
      <c r="IXG60" s="160"/>
      <c r="IXH60" s="160"/>
      <c r="IXI60" s="160"/>
      <c r="IXJ60" s="160"/>
      <c r="IXK60" s="160"/>
      <c r="IXL60" s="160"/>
      <c r="IXM60" s="160"/>
      <c r="IXN60" s="160"/>
      <c r="IXO60" s="160"/>
      <c r="IXP60" s="160"/>
      <c r="IXQ60" s="160"/>
      <c r="IXR60" s="160"/>
      <c r="IXS60" s="160"/>
      <c r="IXT60" s="160"/>
      <c r="IXU60" s="160"/>
      <c r="IXV60" s="160"/>
      <c r="IXW60" s="160"/>
      <c r="IXX60" s="160"/>
      <c r="IXY60" s="160"/>
      <c r="IXZ60" s="160"/>
      <c r="IYA60" s="160"/>
      <c r="IYB60" s="160"/>
      <c r="IYC60" s="160"/>
      <c r="IYD60" s="160"/>
      <c r="IYE60" s="160"/>
      <c r="IYF60" s="160"/>
      <c r="IYG60" s="160"/>
      <c r="IYH60" s="160"/>
      <c r="IYI60" s="160"/>
      <c r="IYJ60" s="160"/>
      <c r="IYK60" s="160"/>
      <c r="IYL60" s="160"/>
      <c r="IYM60" s="160"/>
      <c r="IYN60" s="160"/>
      <c r="IYO60" s="160"/>
      <c r="IYP60" s="160"/>
      <c r="IYQ60" s="160"/>
      <c r="IYR60" s="160"/>
      <c r="IYS60" s="160"/>
      <c r="IYT60" s="160"/>
      <c r="IYU60" s="160"/>
      <c r="IYV60" s="160"/>
      <c r="IYW60" s="160"/>
      <c r="IYX60" s="160"/>
      <c r="IYY60" s="160"/>
      <c r="IYZ60" s="160"/>
      <c r="IZA60" s="160"/>
      <c r="IZB60" s="160"/>
      <c r="IZC60" s="160"/>
      <c r="IZD60" s="160"/>
      <c r="IZE60" s="160"/>
      <c r="IZF60" s="160"/>
      <c r="IZG60" s="160"/>
      <c r="IZH60" s="160"/>
      <c r="IZI60" s="160"/>
      <c r="IZJ60" s="160"/>
      <c r="IZK60" s="160"/>
      <c r="IZL60" s="160"/>
      <c r="IZM60" s="160"/>
      <c r="IZN60" s="160"/>
      <c r="IZO60" s="160"/>
      <c r="IZP60" s="160"/>
      <c r="IZQ60" s="160"/>
      <c r="IZR60" s="160"/>
      <c r="IZS60" s="160"/>
      <c r="IZT60" s="160"/>
      <c r="IZU60" s="160"/>
      <c r="IZV60" s="160"/>
      <c r="IZW60" s="160"/>
      <c r="IZX60" s="160"/>
      <c r="IZY60" s="160"/>
      <c r="IZZ60" s="160"/>
      <c r="JAA60" s="160"/>
      <c r="JAB60" s="160"/>
      <c r="JAC60" s="160"/>
      <c r="JAD60" s="160"/>
      <c r="JAE60" s="160"/>
      <c r="JAF60" s="160"/>
      <c r="JAG60" s="160"/>
      <c r="JAH60" s="160"/>
      <c r="JAI60" s="160"/>
      <c r="JAJ60" s="160"/>
      <c r="JAK60" s="160"/>
      <c r="JAL60" s="160"/>
      <c r="JAM60" s="160"/>
      <c r="JAN60" s="160"/>
      <c r="JAO60" s="160"/>
      <c r="JAP60" s="160"/>
      <c r="JAQ60" s="160"/>
      <c r="JAR60" s="160"/>
      <c r="JAS60" s="160"/>
      <c r="JAT60" s="160"/>
      <c r="JAU60" s="160"/>
      <c r="JAV60" s="160"/>
      <c r="JAW60" s="160"/>
      <c r="JAX60" s="160"/>
      <c r="JAY60" s="160"/>
      <c r="JAZ60" s="160"/>
      <c r="JBA60" s="160"/>
      <c r="JBB60" s="160"/>
      <c r="JBC60" s="160"/>
      <c r="JBD60" s="160"/>
      <c r="JBE60" s="160"/>
      <c r="JBF60" s="160"/>
      <c r="JBG60" s="160"/>
      <c r="JBH60" s="160"/>
      <c r="JBI60" s="160"/>
      <c r="JBJ60" s="160"/>
      <c r="JBK60" s="160"/>
      <c r="JBL60" s="160"/>
      <c r="JBM60" s="160"/>
      <c r="JBN60" s="160"/>
      <c r="JBO60" s="160"/>
      <c r="JBP60" s="160"/>
      <c r="JBQ60" s="160"/>
      <c r="JBR60" s="160"/>
      <c r="JBS60" s="160"/>
      <c r="JBT60" s="160"/>
      <c r="JBU60" s="160"/>
      <c r="JBV60" s="160"/>
      <c r="JBW60" s="160"/>
      <c r="JBX60" s="160"/>
      <c r="JBY60" s="160"/>
      <c r="JBZ60" s="160"/>
      <c r="JCA60" s="160"/>
      <c r="JCB60" s="160"/>
      <c r="JCC60" s="160"/>
      <c r="JCD60" s="160"/>
      <c r="JCE60" s="160"/>
      <c r="JCF60" s="160"/>
      <c r="JCG60" s="160"/>
      <c r="JCH60" s="160"/>
      <c r="JCI60" s="160"/>
      <c r="JCJ60" s="160"/>
      <c r="JCK60" s="160"/>
      <c r="JCL60" s="160"/>
      <c r="JCM60" s="160"/>
      <c r="JCN60" s="160"/>
      <c r="JCO60" s="160"/>
      <c r="JCP60" s="160"/>
      <c r="JCQ60" s="160"/>
      <c r="JCR60" s="160"/>
      <c r="JCS60" s="160"/>
      <c r="JCT60" s="160"/>
      <c r="JCU60" s="160"/>
      <c r="JCV60" s="160"/>
      <c r="JCW60" s="160"/>
      <c r="JCX60" s="160"/>
      <c r="JCY60" s="160"/>
      <c r="JCZ60" s="160"/>
      <c r="JDA60" s="160"/>
      <c r="JDB60" s="160"/>
      <c r="JDC60" s="160"/>
      <c r="JDD60" s="160"/>
      <c r="JDE60" s="160"/>
      <c r="JDF60" s="160"/>
      <c r="JDG60" s="160"/>
      <c r="JDH60" s="160"/>
      <c r="JDI60" s="160"/>
      <c r="JDJ60" s="160"/>
      <c r="JDK60" s="160"/>
      <c r="JDL60" s="160"/>
      <c r="JDM60" s="160"/>
      <c r="JDN60" s="160"/>
      <c r="JDO60" s="160"/>
      <c r="JDP60" s="160"/>
      <c r="JDQ60" s="160"/>
      <c r="JDR60" s="160"/>
      <c r="JDS60" s="160"/>
      <c r="JDT60" s="160"/>
      <c r="JDU60" s="160"/>
      <c r="JDV60" s="160"/>
      <c r="JDW60" s="160"/>
      <c r="JDX60" s="160"/>
      <c r="JDY60" s="160"/>
      <c r="JDZ60" s="160"/>
      <c r="JEA60" s="160"/>
      <c r="JEB60" s="160"/>
      <c r="JEC60" s="160"/>
      <c r="JED60" s="160"/>
      <c r="JEE60" s="160"/>
      <c r="JEF60" s="160"/>
      <c r="JEG60" s="160"/>
      <c r="JEH60" s="160"/>
      <c r="JEI60" s="160"/>
      <c r="JEJ60" s="160"/>
      <c r="JEK60" s="160"/>
      <c r="JEL60" s="160"/>
      <c r="JEM60" s="160"/>
      <c r="JEN60" s="160"/>
      <c r="JEO60" s="160"/>
      <c r="JEP60" s="160"/>
      <c r="JEQ60" s="160"/>
      <c r="JER60" s="160"/>
      <c r="JES60" s="160"/>
      <c r="JET60" s="160"/>
      <c r="JEU60" s="160"/>
      <c r="JEV60" s="160"/>
      <c r="JEW60" s="160"/>
      <c r="JEX60" s="160"/>
      <c r="JEY60" s="160"/>
      <c r="JEZ60" s="160"/>
      <c r="JFA60" s="160"/>
      <c r="JFB60" s="160"/>
      <c r="JFC60" s="160"/>
      <c r="JFD60" s="160"/>
      <c r="JFE60" s="160"/>
      <c r="JFF60" s="160"/>
      <c r="JFG60" s="160"/>
      <c r="JFH60" s="160"/>
      <c r="JFI60" s="160"/>
      <c r="JFJ60" s="160"/>
      <c r="JFK60" s="160"/>
      <c r="JFL60" s="160"/>
      <c r="JFM60" s="160"/>
      <c r="JFN60" s="160"/>
      <c r="JFO60" s="160"/>
      <c r="JFP60" s="160"/>
      <c r="JFQ60" s="160"/>
      <c r="JFR60" s="160"/>
      <c r="JFS60" s="160"/>
      <c r="JFT60" s="160"/>
      <c r="JFU60" s="160"/>
      <c r="JFV60" s="160"/>
      <c r="JFW60" s="160"/>
      <c r="JFX60" s="160"/>
      <c r="JFY60" s="160"/>
      <c r="JFZ60" s="160"/>
      <c r="JGA60" s="160"/>
      <c r="JGB60" s="160"/>
      <c r="JGC60" s="160"/>
      <c r="JGD60" s="160"/>
      <c r="JGE60" s="160"/>
      <c r="JGF60" s="160"/>
      <c r="JGG60" s="160"/>
      <c r="JGH60" s="160"/>
      <c r="JGI60" s="160"/>
      <c r="JGJ60" s="160"/>
      <c r="JGK60" s="160"/>
      <c r="JGL60" s="160"/>
      <c r="JGM60" s="160"/>
      <c r="JGN60" s="160"/>
      <c r="JGO60" s="160"/>
      <c r="JGP60" s="160"/>
      <c r="JGQ60" s="160"/>
      <c r="JGR60" s="160"/>
      <c r="JGS60" s="160"/>
      <c r="JGT60" s="160"/>
      <c r="JGU60" s="160"/>
      <c r="JGV60" s="160"/>
      <c r="JGW60" s="160"/>
      <c r="JGX60" s="160"/>
      <c r="JGY60" s="160"/>
      <c r="JGZ60" s="160"/>
      <c r="JHA60" s="160"/>
      <c r="JHB60" s="160"/>
      <c r="JHC60" s="160"/>
      <c r="JHD60" s="160"/>
      <c r="JHE60" s="160"/>
      <c r="JHF60" s="160"/>
      <c r="JHG60" s="160"/>
      <c r="JHH60" s="160"/>
      <c r="JHI60" s="160"/>
      <c r="JHJ60" s="160"/>
      <c r="JHK60" s="160"/>
      <c r="JHL60" s="160"/>
      <c r="JHM60" s="160"/>
      <c r="JHN60" s="160"/>
      <c r="JHO60" s="160"/>
      <c r="JHP60" s="160"/>
      <c r="JHQ60" s="160"/>
      <c r="JHR60" s="160"/>
      <c r="JHS60" s="160"/>
      <c r="JHT60" s="160"/>
      <c r="JHU60" s="160"/>
      <c r="JHV60" s="160"/>
      <c r="JHW60" s="160"/>
      <c r="JHX60" s="160"/>
      <c r="JHY60" s="160"/>
      <c r="JHZ60" s="160"/>
      <c r="JIA60" s="160"/>
      <c r="JIB60" s="160"/>
      <c r="JIC60" s="160"/>
      <c r="JID60" s="160"/>
      <c r="JIE60" s="160"/>
      <c r="JIF60" s="160"/>
      <c r="JIG60" s="160"/>
      <c r="JIH60" s="160"/>
      <c r="JII60" s="160"/>
      <c r="JIJ60" s="160"/>
      <c r="JIK60" s="160"/>
      <c r="JIL60" s="160"/>
      <c r="JIM60" s="160"/>
      <c r="JIN60" s="160"/>
      <c r="JIO60" s="160"/>
      <c r="JIP60" s="160"/>
      <c r="JIQ60" s="160"/>
      <c r="JIR60" s="160"/>
      <c r="JIS60" s="160"/>
      <c r="JIT60" s="160"/>
      <c r="JIU60" s="160"/>
      <c r="JIV60" s="160"/>
      <c r="JIW60" s="160"/>
      <c r="JIX60" s="160"/>
      <c r="JIY60" s="160"/>
      <c r="JIZ60" s="160"/>
      <c r="JJA60" s="160"/>
      <c r="JJB60" s="160"/>
      <c r="JJC60" s="160"/>
      <c r="JJD60" s="160"/>
      <c r="JJE60" s="160"/>
      <c r="JJF60" s="160"/>
      <c r="JJG60" s="160"/>
      <c r="JJH60" s="160"/>
      <c r="JJI60" s="160"/>
      <c r="JJJ60" s="160"/>
      <c r="JJK60" s="160"/>
      <c r="JJL60" s="160"/>
      <c r="JJM60" s="160"/>
      <c r="JJN60" s="160"/>
      <c r="JJO60" s="160"/>
      <c r="JJP60" s="160"/>
      <c r="JJQ60" s="160"/>
      <c r="JJR60" s="160"/>
      <c r="JJS60" s="160"/>
      <c r="JJT60" s="160"/>
      <c r="JJU60" s="160"/>
      <c r="JJV60" s="160"/>
      <c r="JJW60" s="160"/>
      <c r="JJX60" s="160"/>
      <c r="JJY60" s="160"/>
      <c r="JJZ60" s="160"/>
      <c r="JKA60" s="160"/>
      <c r="JKB60" s="160"/>
      <c r="JKC60" s="160"/>
      <c r="JKD60" s="160"/>
      <c r="JKE60" s="160"/>
      <c r="JKF60" s="160"/>
      <c r="JKG60" s="160"/>
      <c r="JKH60" s="160"/>
      <c r="JKI60" s="160"/>
      <c r="JKJ60" s="160"/>
      <c r="JKK60" s="160"/>
      <c r="JKL60" s="160"/>
      <c r="JKM60" s="160"/>
      <c r="JKN60" s="160"/>
      <c r="JKO60" s="160"/>
      <c r="JKP60" s="160"/>
      <c r="JKQ60" s="160"/>
      <c r="JKR60" s="160"/>
      <c r="JKS60" s="160"/>
      <c r="JKT60" s="160"/>
      <c r="JKU60" s="160"/>
      <c r="JKV60" s="160"/>
      <c r="JKW60" s="160"/>
      <c r="JKX60" s="160"/>
      <c r="JKY60" s="160"/>
      <c r="JKZ60" s="160"/>
      <c r="JLA60" s="160"/>
      <c r="JLB60" s="160"/>
      <c r="JLC60" s="160"/>
      <c r="JLD60" s="160"/>
      <c r="JLE60" s="160"/>
      <c r="JLF60" s="160"/>
      <c r="JLG60" s="160"/>
      <c r="JLH60" s="160"/>
      <c r="JLI60" s="160"/>
      <c r="JLJ60" s="160"/>
      <c r="JLK60" s="160"/>
      <c r="JLL60" s="160"/>
      <c r="JLM60" s="160"/>
      <c r="JLN60" s="160"/>
      <c r="JLO60" s="160"/>
      <c r="JLP60" s="160"/>
      <c r="JLQ60" s="160"/>
      <c r="JLR60" s="160"/>
      <c r="JLS60" s="160"/>
      <c r="JLT60" s="160"/>
      <c r="JLU60" s="160"/>
      <c r="JLV60" s="160"/>
      <c r="JLW60" s="160"/>
      <c r="JLX60" s="160"/>
      <c r="JLY60" s="160"/>
      <c r="JLZ60" s="160"/>
      <c r="JMA60" s="160"/>
      <c r="JMB60" s="160"/>
      <c r="JMC60" s="160"/>
      <c r="JMD60" s="160"/>
      <c r="JME60" s="160"/>
      <c r="JMF60" s="160"/>
      <c r="JMG60" s="160"/>
      <c r="JMH60" s="160"/>
      <c r="JMI60" s="160"/>
      <c r="JMJ60" s="160"/>
      <c r="JMK60" s="160"/>
      <c r="JML60" s="160"/>
      <c r="JMM60" s="160"/>
      <c r="JMN60" s="160"/>
      <c r="JMO60" s="160"/>
      <c r="JMP60" s="160"/>
      <c r="JMQ60" s="160"/>
      <c r="JMR60" s="160"/>
      <c r="JMS60" s="160"/>
      <c r="JMT60" s="160"/>
      <c r="JMU60" s="160"/>
      <c r="JMV60" s="160"/>
      <c r="JMW60" s="160"/>
      <c r="JMX60" s="160"/>
      <c r="JMY60" s="160"/>
      <c r="JMZ60" s="160"/>
      <c r="JNA60" s="160"/>
      <c r="JNB60" s="160"/>
      <c r="JNC60" s="160"/>
      <c r="JND60" s="160"/>
      <c r="JNE60" s="160"/>
      <c r="JNF60" s="160"/>
      <c r="JNG60" s="160"/>
      <c r="JNH60" s="160"/>
      <c r="JNI60" s="160"/>
      <c r="JNJ60" s="160"/>
      <c r="JNK60" s="160"/>
      <c r="JNL60" s="160"/>
      <c r="JNM60" s="160"/>
      <c r="JNN60" s="160"/>
      <c r="JNO60" s="160"/>
      <c r="JNP60" s="160"/>
      <c r="JNQ60" s="160"/>
      <c r="JNR60" s="160"/>
      <c r="JNS60" s="160"/>
      <c r="JNT60" s="160"/>
      <c r="JNU60" s="160"/>
      <c r="JNV60" s="160"/>
      <c r="JNW60" s="160"/>
      <c r="JNX60" s="160"/>
      <c r="JNY60" s="160"/>
      <c r="JNZ60" s="160"/>
      <c r="JOA60" s="160"/>
      <c r="JOB60" s="160"/>
      <c r="JOC60" s="160"/>
      <c r="JOD60" s="160"/>
      <c r="JOE60" s="160"/>
      <c r="JOF60" s="160"/>
      <c r="JOG60" s="160"/>
      <c r="JOH60" s="160"/>
      <c r="JOI60" s="160"/>
      <c r="JOJ60" s="160"/>
      <c r="JOK60" s="160"/>
      <c r="JOL60" s="160"/>
      <c r="JOM60" s="160"/>
      <c r="JON60" s="160"/>
      <c r="JOO60" s="160"/>
      <c r="JOP60" s="160"/>
      <c r="JOQ60" s="160"/>
      <c r="JOR60" s="160"/>
      <c r="JOS60" s="160"/>
      <c r="JOT60" s="160"/>
      <c r="JOU60" s="160"/>
      <c r="JOV60" s="160"/>
      <c r="JOW60" s="160"/>
      <c r="JOX60" s="160"/>
      <c r="JOY60" s="160"/>
      <c r="JOZ60" s="160"/>
      <c r="JPA60" s="160"/>
      <c r="JPB60" s="160"/>
      <c r="JPC60" s="160"/>
      <c r="JPD60" s="160"/>
      <c r="JPE60" s="160"/>
      <c r="JPF60" s="160"/>
      <c r="JPG60" s="160"/>
      <c r="JPH60" s="160"/>
      <c r="JPI60" s="160"/>
      <c r="JPJ60" s="160"/>
      <c r="JPK60" s="160"/>
      <c r="JPL60" s="160"/>
      <c r="JPM60" s="160"/>
      <c r="JPN60" s="160"/>
      <c r="JPO60" s="160"/>
      <c r="JPP60" s="160"/>
      <c r="JPQ60" s="160"/>
      <c r="JPR60" s="160"/>
      <c r="JPS60" s="160"/>
      <c r="JPT60" s="160"/>
      <c r="JPU60" s="160"/>
      <c r="JPV60" s="160"/>
      <c r="JPW60" s="160"/>
      <c r="JPX60" s="160"/>
      <c r="JPY60" s="160"/>
      <c r="JPZ60" s="160"/>
      <c r="JQA60" s="160"/>
      <c r="JQB60" s="160"/>
      <c r="JQC60" s="160"/>
      <c r="JQD60" s="160"/>
      <c r="JQE60" s="160"/>
      <c r="JQF60" s="160"/>
      <c r="JQG60" s="160"/>
      <c r="JQH60" s="160"/>
      <c r="JQI60" s="160"/>
      <c r="JQJ60" s="160"/>
      <c r="JQK60" s="160"/>
      <c r="JQL60" s="160"/>
      <c r="JQM60" s="160"/>
      <c r="JQN60" s="160"/>
      <c r="JQO60" s="160"/>
      <c r="JQP60" s="160"/>
      <c r="JQQ60" s="160"/>
      <c r="JQR60" s="160"/>
      <c r="JQS60" s="160"/>
      <c r="JQT60" s="160"/>
      <c r="JQU60" s="160"/>
      <c r="JQV60" s="160"/>
      <c r="JQW60" s="160"/>
      <c r="JQX60" s="160"/>
      <c r="JQY60" s="160"/>
      <c r="JQZ60" s="160"/>
      <c r="JRA60" s="160"/>
      <c r="JRB60" s="160"/>
      <c r="JRC60" s="160"/>
      <c r="JRD60" s="160"/>
      <c r="JRE60" s="160"/>
      <c r="JRF60" s="160"/>
      <c r="JRG60" s="160"/>
      <c r="JRH60" s="160"/>
      <c r="JRI60" s="160"/>
      <c r="JRJ60" s="160"/>
      <c r="JRK60" s="160"/>
      <c r="JRL60" s="160"/>
      <c r="JRM60" s="160"/>
      <c r="JRN60" s="160"/>
      <c r="JRO60" s="160"/>
      <c r="JRP60" s="160"/>
      <c r="JRQ60" s="160"/>
      <c r="JRR60" s="160"/>
      <c r="JRS60" s="160"/>
      <c r="JRT60" s="160"/>
      <c r="JRU60" s="160"/>
      <c r="JRV60" s="160"/>
      <c r="JRW60" s="160"/>
      <c r="JRX60" s="160"/>
      <c r="JRY60" s="160"/>
      <c r="JRZ60" s="160"/>
      <c r="JSA60" s="160"/>
      <c r="JSB60" s="160"/>
      <c r="JSC60" s="160"/>
      <c r="JSD60" s="160"/>
      <c r="JSE60" s="160"/>
      <c r="JSF60" s="160"/>
      <c r="JSG60" s="160"/>
      <c r="JSH60" s="160"/>
      <c r="JSI60" s="160"/>
      <c r="JSJ60" s="160"/>
      <c r="JSK60" s="160"/>
      <c r="JSL60" s="160"/>
      <c r="JSM60" s="160"/>
      <c r="JSN60" s="160"/>
      <c r="JSO60" s="160"/>
      <c r="JSP60" s="160"/>
      <c r="JSQ60" s="160"/>
      <c r="JSR60" s="160"/>
      <c r="JSS60" s="160"/>
      <c r="JST60" s="160"/>
      <c r="JSU60" s="160"/>
      <c r="JSV60" s="160"/>
      <c r="JSW60" s="160"/>
      <c r="JSX60" s="160"/>
      <c r="JSY60" s="160"/>
      <c r="JSZ60" s="160"/>
      <c r="JTA60" s="160"/>
      <c r="JTB60" s="160"/>
      <c r="JTC60" s="160"/>
      <c r="JTD60" s="160"/>
      <c r="JTE60" s="160"/>
      <c r="JTF60" s="160"/>
      <c r="JTG60" s="160"/>
      <c r="JTH60" s="160"/>
      <c r="JTI60" s="160"/>
      <c r="JTJ60" s="160"/>
      <c r="JTK60" s="160"/>
      <c r="JTL60" s="160"/>
      <c r="JTM60" s="160"/>
      <c r="JTN60" s="160"/>
      <c r="JTO60" s="160"/>
      <c r="JTP60" s="160"/>
      <c r="JTQ60" s="160"/>
      <c r="JTR60" s="160"/>
      <c r="JTS60" s="160"/>
      <c r="JTT60" s="160"/>
      <c r="JTU60" s="160"/>
      <c r="JTV60" s="160"/>
      <c r="JTW60" s="160"/>
      <c r="JTX60" s="160"/>
      <c r="JTY60" s="160"/>
      <c r="JTZ60" s="160"/>
      <c r="JUA60" s="160"/>
      <c r="JUB60" s="160"/>
      <c r="JUC60" s="160"/>
      <c r="JUD60" s="160"/>
      <c r="JUE60" s="160"/>
      <c r="JUF60" s="160"/>
      <c r="JUG60" s="160"/>
      <c r="JUH60" s="160"/>
      <c r="JUI60" s="160"/>
      <c r="JUJ60" s="160"/>
      <c r="JUK60" s="160"/>
      <c r="JUL60" s="160"/>
      <c r="JUM60" s="160"/>
      <c r="JUN60" s="160"/>
      <c r="JUO60" s="160"/>
      <c r="JUP60" s="160"/>
      <c r="JUQ60" s="160"/>
      <c r="JUR60" s="160"/>
      <c r="JUS60" s="160"/>
      <c r="JUT60" s="160"/>
      <c r="JUU60" s="160"/>
      <c r="JUV60" s="160"/>
      <c r="JUW60" s="160"/>
      <c r="JUX60" s="160"/>
      <c r="JUY60" s="160"/>
      <c r="JUZ60" s="160"/>
      <c r="JVA60" s="160"/>
      <c r="JVB60" s="160"/>
      <c r="JVC60" s="160"/>
      <c r="JVD60" s="160"/>
      <c r="JVE60" s="160"/>
      <c r="JVF60" s="160"/>
      <c r="JVG60" s="160"/>
      <c r="JVH60" s="160"/>
      <c r="JVI60" s="160"/>
      <c r="JVJ60" s="160"/>
      <c r="JVK60" s="160"/>
      <c r="JVL60" s="160"/>
      <c r="JVM60" s="160"/>
      <c r="JVN60" s="160"/>
      <c r="JVO60" s="160"/>
      <c r="JVP60" s="160"/>
      <c r="JVQ60" s="160"/>
      <c r="JVR60" s="160"/>
      <c r="JVS60" s="160"/>
      <c r="JVT60" s="160"/>
      <c r="JVU60" s="160"/>
      <c r="JVV60" s="160"/>
      <c r="JVW60" s="160"/>
      <c r="JVX60" s="160"/>
      <c r="JVY60" s="160"/>
      <c r="JVZ60" s="160"/>
      <c r="JWA60" s="160"/>
      <c r="JWB60" s="160"/>
      <c r="JWC60" s="160"/>
      <c r="JWD60" s="160"/>
      <c r="JWE60" s="160"/>
      <c r="JWF60" s="160"/>
      <c r="JWG60" s="160"/>
      <c r="JWH60" s="160"/>
      <c r="JWI60" s="160"/>
      <c r="JWJ60" s="160"/>
      <c r="JWK60" s="160"/>
      <c r="JWL60" s="160"/>
      <c r="JWM60" s="160"/>
      <c r="JWN60" s="160"/>
      <c r="JWO60" s="160"/>
      <c r="JWP60" s="160"/>
      <c r="JWQ60" s="160"/>
      <c r="JWR60" s="160"/>
      <c r="JWS60" s="160"/>
      <c r="JWT60" s="160"/>
      <c r="JWU60" s="160"/>
      <c r="JWV60" s="160"/>
      <c r="JWW60" s="160"/>
      <c r="JWX60" s="160"/>
      <c r="JWY60" s="160"/>
      <c r="JWZ60" s="160"/>
      <c r="JXA60" s="160"/>
      <c r="JXB60" s="160"/>
      <c r="JXC60" s="160"/>
      <c r="JXD60" s="160"/>
      <c r="JXE60" s="160"/>
      <c r="JXF60" s="160"/>
      <c r="JXG60" s="160"/>
      <c r="JXH60" s="160"/>
      <c r="JXI60" s="160"/>
      <c r="JXJ60" s="160"/>
      <c r="JXK60" s="160"/>
      <c r="JXL60" s="160"/>
      <c r="JXM60" s="160"/>
      <c r="JXN60" s="160"/>
      <c r="JXO60" s="160"/>
      <c r="JXP60" s="160"/>
      <c r="JXQ60" s="160"/>
      <c r="JXR60" s="160"/>
      <c r="JXS60" s="160"/>
      <c r="JXT60" s="160"/>
      <c r="JXU60" s="160"/>
      <c r="JXV60" s="160"/>
      <c r="JXW60" s="160"/>
      <c r="JXX60" s="160"/>
      <c r="JXY60" s="160"/>
      <c r="JXZ60" s="160"/>
      <c r="JYA60" s="160"/>
      <c r="JYB60" s="160"/>
      <c r="JYC60" s="160"/>
      <c r="JYD60" s="160"/>
      <c r="JYE60" s="160"/>
      <c r="JYF60" s="160"/>
      <c r="JYG60" s="160"/>
      <c r="JYH60" s="160"/>
      <c r="JYI60" s="160"/>
      <c r="JYJ60" s="160"/>
      <c r="JYK60" s="160"/>
      <c r="JYL60" s="160"/>
      <c r="JYM60" s="160"/>
      <c r="JYN60" s="160"/>
      <c r="JYO60" s="160"/>
      <c r="JYP60" s="160"/>
      <c r="JYQ60" s="160"/>
      <c r="JYR60" s="160"/>
      <c r="JYS60" s="160"/>
      <c r="JYT60" s="160"/>
      <c r="JYU60" s="160"/>
      <c r="JYV60" s="160"/>
      <c r="JYW60" s="160"/>
      <c r="JYX60" s="160"/>
      <c r="JYY60" s="160"/>
      <c r="JYZ60" s="160"/>
      <c r="JZA60" s="160"/>
      <c r="JZB60" s="160"/>
      <c r="JZC60" s="160"/>
      <c r="JZD60" s="160"/>
      <c r="JZE60" s="160"/>
      <c r="JZF60" s="160"/>
      <c r="JZG60" s="160"/>
      <c r="JZH60" s="160"/>
      <c r="JZI60" s="160"/>
      <c r="JZJ60" s="160"/>
      <c r="JZK60" s="160"/>
      <c r="JZL60" s="160"/>
      <c r="JZM60" s="160"/>
      <c r="JZN60" s="160"/>
      <c r="JZO60" s="160"/>
      <c r="JZP60" s="160"/>
      <c r="JZQ60" s="160"/>
      <c r="JZR60" s="160"/>
      <c r="JZS60" s="160"/>
      <c r="JZT60" s="160"/>
      <c r="JZU60" s="160"/>
      <c r="JZV60" s="160"/>
      <c r="JZW60" s="160"/>
      <c r="JZX60" s="160"/>
      <c r="JZY60" s="160"/>
      <c r="JZZ60" s="160"/>
      <c r="KAA60" s="160"/>
      <c r="KAB60" s="160"/>
      <c r="KAC60" s="160"/>
      <c r="KAD60" s="160"/>
      <c r="KAE60" s="160"/>
      <c r="KAF60" s="160"/>
      <c r="KAG60" s="160"/>
      <c r="KAH60" s="160"/>
      <c r="KAI60" s="160"/>
      <c r="KAJ60" s="160"/>
      <c r="KAK60" s="160"/>
      <c r="KAL60" s="160"/>
      <c r="KAM60" s="160"/>
      <c r="KAN60" s="160"/>
      <c r="KAO60" s="160"/>
      <c r="KAP60" s="160"/>
      <c r="KAQ60" s="160"/>
      <c r="KAR60" s="160"/>
      <c r="KAS60" s="160"/>
      <c r="KAT60" s="160"/>
      <c r="KAU60" s="160"/>
      <c r="KAV60" s="160"/>
      <c r="KAW60" s="160"/>
      <c r="KAX60" s="160"/>
      <c r="KAY60" s="160"/>
      <c r="KAZ60" s="160"/>
      <c r="KBA60" s="160"/>
      <c r="KBB60" s="160"/>
      <c r="KBC60" s="160"/>
      <c r="KBD60" s="160"/>
      <c r="KBE60" s="160"/>
      <c r="KBF60" s="160"/>
      <c r="KBG60" s="160"/>
      <c r="KBH60" s="160"/>
      <c r="KBI60" s="160"/>
      <c r="KBJ60" s="160"/>
      <c r="KBK60" s="160"/>
      <c r="KBL60" s="160"/>
      <c r="KBM60" s="160"/>
      <c r="KBN60" s="160"/>
      <c r="KBO60" s="160"/>
      <c r="KBP60" s="160"/>
      <c r="KBQ60" s="160"/>
      <c r="KBR60" s="160"/>
      <c r="KBS60" s="160"/>
      <c r="KBT60" s="160"/>
      <c r="KBU60" s="160"/>
      <c r="KBV60" s="160"/>
      <c r="KBW60" s="160"/>
      <c r="KBX60" s="160"/>
      <c r="KBY60" s="160"/>
      <c r="KBZ60" s="160"/>
      <c r="KCA60" s="160"/>
      <c r="KCB60" s="160"/>
      <c r="KCC60" s="160"/>
      <c r="KCD60" s="160"/>
      <c r="KCE60" s="160"/>
      <c r="KCF60" s="160"/>
      <c r="KCG60" s="160"/>
      <c r="KCH60" s="160"/>
      <c r="KCI60" s="160"/>
      <c r="KCJ60" s="160"/>
      <c r="KCK60" s="160"/>
      <c r="KCL60" s="160"/>
      <c r="KCM60" s="160"/>
      <c r="KCN60" s="160"/>
      <c r="KCO60" s="160"/>
      <c r="KCP60" s="160"/>
      <c r="KCQ60" s="160"/>
      <c r="KCR60" s="160"/>
      <c r="KCS60" s="160"/>
      <c r="KCT60" s="160"/>
      <c r="KCU60" s="160"/>
      <c r="KCV60" s="160"/>
      <c r="KCW60" s="160"/>
      <c r="KCX60" s="160"/>
      <c r="KCY60" s="160"/>
      <c r="KCZ60" s="160"/>
      <c r="KDA60" s="160"/>
      <c r="KDB60" s="160"/>
      <c r="KDC60" s="160"/>
      <c r="KDD60" s="160"/>
      <c r="KDE60" s="160"/>
      <c r="KDF60" s="160"/>
      <c r="KDG60" s="160"/>
      <c r="KDH60" s="160"/>
      <c r="KDI60" s="160"/>
      <c r="KDJ60" s="160"/>
      <c r="KDK60" s="160"/>
      <c r="KDL60" s="160"/>
      <c r="KDM60" s="160"/>
      <c r="KDN60" s="160"/>
      <c r="KDO60" s="160"/>
      <c r="KDP60" s="160"/>
      <c r="KDQ60" s="160"/>
      <c r="KDR60" s="160"/>
      <c r="KDS60" s="160"/>
      <c r="KDT60" s="160"/>
      <c r="KDU60" s="160"/>
      <c r="KDV60" s="160"/>
      <c r="KDW60" s="160"/>
      <c r="KDX60" s="160"/>
      <c r="KDY60" s="160"/>
      <c r="KDZ60" s="160"/>
      <c r="KEA60" s="160"/>
      <c r="KEB60" s="160"/>
      <c r="KEC60" s="160"/>
      <c r="KED60" s="160"/>
      <c r="KEE60" s="160"/>
      <c r="KEF60" s="160"/>
      <c r="KEG60" s="160"/>
      <c r="KEH60" s="160"/>
      <c r="KEI60" s="160"/>
      <c r="KEJ60" s="160"/>
      <c r="KEK60" s="160"/>
      <c r="KEL60" s="160"/>
      <c r="KEM60" s="160"/>
      <c r="KEN60" s="160"/>
      <c r="KEO60" s="160"/>
      <c r="KEP60" s="160"/>
      <c r="KEQ60" s="160"/>
      <c r="KER60" s="160"/>
      <c r="KES60" s="160"/>
      <c r="KET60" s="160"/>
      <c r="KEU60" s="160"/>
      <c r="KEV60" s="160"/>
      <c r="KEW60" s="160"/>
      <c r="KEX60" s="160"/>
      <c r="KEY60" s="160"/>
      <c r="KEZ60" s="160"/>
      <c r="KFA60" s="160"/>
      <c r="KFB60" s="160"/>
      <c r="KFC60" s="160"/>
      <c r="KFD60" s="160"/>
      <c r="KFE60" s="160"/>
      <c r="KFF60" s="160"/>
      <c r="KFG60" s="160"/>
      <c r="KFH60" s="160"/>
      <c r="KFI60" s="160"/>
      <c r="KFJ60" s="160"/>
      <c r="KFK60" s="160"/>
      <c r="KFL60" s="160"/>
      <c r="KFM60" s="160"/>
      <c r="KFN60" s="160"/>
      <c r="KFO60" s="160"/>
      <c r="KFP60" s="160"/>
      <c r="KFQ60" s="160"/>
      <c r="KFR60" s="160"/>
      <c r="KFS60" s="160"/>
      <c r="KFT60" s="160"/>
      <c r="KFU60" s="160"/>
      <c r="KFV60" s="160"/>
      <c r="KFW60" s="160"/>
      <c r="KFX60" s="160"/>
      <c r="KFY60" s="160"/>
      <c r="KFZ60" s="160"/>
      <c r="KGA60" s="160"/>
      <c r="KGB60" s="160"/>
      <c r="KGC60" s="160"/>
      <c r="KGD60" s="160"/>
      <c r="KGE60" s="160"/>
      <c r="KGF60" s="160"/>
      <c r="KGG60" s="160"/>
      <c r="KGH60" s="160"/>
      <c r="KGI60" s="160"/>
      <c r="KGJ60" s="160"/>
      <c r="KGK60" s="160"/>
      <c r="KGL60" s="160"/>
      <c r="KGM60" s="160"/>
      <c r="KGN60" s="160"/>
      <c r="KGO60" s="160"/>
      <c r="KGP60" s="160"/>
      <c r="KGQ60" s="160"/>
      <c r="KGR60" s="160"/>
      <c r="KGS60" s="160"/>
      <c r="KGT60" s="160"/>
      <c r="KGU60" s="160"/>
      <c r="KGV60" s="160"/>
      <c r="KGW60" s="160"/>
      <c r="KGX60" s="160"/>
      <c r="KGY60" s="160"/>
      <c r="KGZ60" s="160"/>
      <c r="KHA60" s="160"/>
      <c r="KHB60" s="160"/>
      <c r="KHC60" s="160"/>
      <c r="KHD60" s="160"/>
      <c r="KHE60" s="160"/>
      <c r="KHF60" s="160"/>
      <c r="KHG60" s="160"/>
      <c r="KHH60" s="160"/>
      <c r="KHI60" s="160"/>
      <c r="KHJ60" s="160"/>
      <c r="KHK60" s="160"/>
      <c r="KHL60" s="160"/>
      <c r="KHM60" s="160"/>
      <c r="KHN60" s="160"/>
      <c r="KHO60" s="160"/>
      <c r="KHP60" s="160"/>
      <c r="KHQ60" s="160"/>
      <c r="KHR60" s="160"/>
      <c r="KHS60" s="160"/>
      <c r="KHT60" s="160"/>
      <c r="KHU60" s="160"/>
      <c r="KHV60" s="160"/>
      <c r="KHW60" s="160"/>
      <c r="KHX60" s="160"/>
      <c r="KHY60" s="160"/>
      <c r="KHZ60" s="160"/>
      <c r="KIA60" s="160"/>
      <c r="KIB60" s="160"/>
      <c r="KIC60" s="160"/>
      <c r="KID60" s="160"/>
      <c r="KIE60" s="160"/>
      <c r="KIF60" s="160"/>
      <c r="KIG60" s="160"/>
      <c r="KIH60" s="160"/>
      <c r="KII60" s="160"/>
      <c r="KIJ60" s="160"/>
      <c r="KIK60" s="160"/>
      <c r="KIL60" s="160"/>
      <c r="KIM60" s="160"/>
      <c r="KIN60" s="160"/>
      <c r="KIO60" s="160"/>
      <c r="KIP60" s="160"/>
      <c r="KIQ60" s="160"/>
      <c r="KIR60" s="160"/>
      <c r="KIS60" s="160"/>
      <c r="KIT60" s="160"/>
      <c r="KIU60" s="160"/>
      <c r="KIV60" s="160"/>
      <c r="KIW60" s="160"/>
      <c r="KIX60" s="160"/>
      <c r="KIY60" s="160"/>
      <c r="KIZ60" s="160"/>
      <c r="KJA60" s="160"/>
      <c r="KJB60" s="160"/>
      <c r="KJC60" s="160"/>
      <c r="KJD60" s="160"/>
      <c r="KJE60" s="160"/>
      <c r="KJF60" s="160"/>
      <c r="KJG60" s="160"/>
      <c r="KJH60" s="160"/>
      <c r="KJI60" s="160"/>
      <c r="KJJ60" s="160"/>
      <c r="KJK60" s="160"/>
      <c r="KJL60" s="160"/>
      <c r="KJM60" s="160"/>
      <c r="KJN60" s="160"/>
      <c r="KJO60" s="160"/>
      <c r="KJP60" s="160"/>
      <c r="KJQ60" s="160"/>
      <c r="KJR60" s="160"/>
      <c r="KJS60" s="160"/>
      <c r="KJT60" s="160"/>
      <c r="KJU60" s="160"/>
      <c r="KJV60" s="160"/>
      <c r="KJW60" s="160"/>
      <c r="KJX60" s="160"/>
      <c r="KJY60" s="160"/>
      <c r="KJZ60" s="160"/>
      <c r="KKA60" s="160"/>
      <c r="KKB60" s="160"/>
      <c r="KKC60" s="160"/>
      <c r="KKD60" s="160"/>
      <c r="KKE60" s="160"/>
      <c r="KKF60" s="160"/>
      <c r="KKG60" s="160"/>
      <c r="KKH60" s="160"/>
      <c r="KKI60" s="160"/>
      <c r="KKJ60" s="160"/>
      <c r="KKK60" s="160"/>
      <c r="KKL60" s="160"/>
      <c r="KKM60" s="160"/>
      <c r="KKN60" s="160"/>
      <c r="KKO60" s="160"/>
      <c r="KKP60" s="160"/>
      <c r="KKQ60" s="160"/>
      <c r="KKR60" s="160"/>
      <c r="KKS60" s="160"/>
      <c r="KKT60" s="160"/>
      <c r="KKU60" s="160"/>
      <c r="KKV60" s="160"/>
      <c r="KKW60" s="160"/>
      <c r="KKX60" s="160"/>
      <c r="KKY60" s="160"/>
      <c r="KKZ60" s="160"/>
      <c r="KLA60" s="160"/>
      <c r="KLB60" s="160"/>
      <c r="KLC60" s="160"/>
      <c r="KLD60" s="160"/>
      <c r="KLE60" s="160"/>
      <c r="KLF60" s="160"/>
      <c r="KLG60" s="160"/>
      <c r="KLH60" s="160"/>
      <c r="KLI60" s="160"/>
      <c r="KLJ60" s="160"/>
      <c r="KLK60" s="160"/>
      <c r="KLL60" s="160"/>
      <c r="KLM60" s="160"/>
      <c r="KLN60" s="160"/>
      <c r="KLO60" s="160"/>
      <c r="KLP60" s="160"/>
      <c r="KLQ60" s="160"/>
      <c r="KLR60" s="160"/>
      <c r="KLS60" s="160"/>
      <c r="KLT60" s="160"/>
      <c r="KLU60" s="160"/>
      <c r="KLV60" s="160"/>
      <c r="KLW60" s="160"/>
      <c r="KLX60" s="160"/>
      <c r="KLY60" s="160"/>
      <c r="KLZ60" s="160"/>
      <c r="KMA60" s="160"/>
      <c r="KMB60" s="160"/>
      <c r="KMC60" s="160"/>
      <c r="KMD60" s="160"/>
      <c r="KME60" s="160"/>
      <c r="KMF60" s="160"/>
      <c r="KMG60" s="160"/>
      <c r="KMH60" s="160"/>
      <c r="KMI60" s="160"/>
      <c r="KMJ60" s="160"/>
      <c r="KMK60" s="160"/>
      <c r="KML60" s="160"/>
      <c r="KMM60" s="160"/>
      <c r="KMN60" s="160"/>
      <c r="KMO60" s="160"/>
      <c r="KMP60" s="160"/>
      <c r="KMQ60" s="160"/>
      <c r="KMR60" s="160"/>
      <c r="KMS60" s="160"/>
      <c r="KMT60" s="160"/>
      <c r="KMU60" s="160"/>
      <c r="KMV60" s="160"/>
      <c r="KMW60" s="160"/>
      <c r="KMX60" s="160"/>
      <c r="KMY60" s="160"/>
      <c r="KMZ60" s="160"/>
      <c r="KNA60" s="160"/>
      <c r="KNB60" s="160"/>
      <c r="KNC60" s="160"/>
      <c r="KND60" s="160"/>
      <c r="KNE60" s="160"/>
      <c r="KNF60" s="160"/>
      <c r="KNG60" s="160"/>
      <c r="KNH60" s="160"/>
      <c r="KNI60" s="160"/>
      <c r="KNJ60" s="160"/>
      <c r="KNK60" s="160"/>
      <c r="KNL60" s="160"/>
      <c r="KNM60" s="160"/>
      <c r="KNN60" s="160"/>
      <c r="KNO60" s="160"/>
      <c r="KNP60" s="160"/>
      <c r="KNQ60" s="160"/>
      <c r="KNR60" s="160"/>
      <c r="KNS60" s="160"/>
      <c r="KNT60" s="160"/>
      <c r="KNU60" s="160"/>
      <c r="KNV60" s="160"/>
      <c r="KNW60" s="160"/>
      <c r="KNX60" s="160"/>
      <c r="KNY60" s="160"/>
      <c r="KNZ60" s="160"/>
      <c r="KOA60" s="160"/>
      <c r="KOB60" s="160"/>
      <c r="KOC60" s="160"/>
      <c r="KOD60" s="160"/>
      <c r="KOE60" s="160"/>
      <c r="KOF60" s="160"/>
      <c r="KOG60" s="160"/>
      <c r="KOH60" s="160"/>
      <c r="KOI60" s="160"/>
      <c r="KOJ60" s="160"/>
      <c r="KOK60" s="160"/>
      <c r="KOL60" s="160"/>
      <c r="KOM60" s="160"/>
      <c r="KON60" s="160"/>
      <c r="KOO60" s="160"/>
      <c r="KOP60" s="160"/>
      <c r="KOQ60" s="160"/>
      <c r="KOR60" s="160"/>
      <c r="KOS60" s="160"/>
      <c r="KOT60" s="160"/>
      <c r="KOU60" s="160"/>
      <c r="KOV60" s="160"/>
      <c r="KOW60" s="160"/>
      <c r="KOX60" s="160"/>
      <c r="KOY60" s="160"/>
      <c r="KOZ60" s="160"/>
      <c r="KPA60" s="160"/>
      <c r="KPB60" s="160"/>
      <c r="KPC60" s="160"/>
      <c r="KPD60" s="160"/>
      <c r="KPE60" s="160"/>
      <c r="KPF60" s="160"/>
      <c r="KPG60" s="160"/>
      <c r="KPH60" s="160"/>
      <c r="KPI60" s="160"/>
      <c r="KPJ60" s="160"/>
      <c r="KPK60" s="160"/>
      <c r="KPL60" s="160"/>
      <c r="KPM60" s="160"/>
      <c r="KPN60" s="160"/>
      <c r="KPO60" s="160"/>
      <c r="KPP60" s="160"/>
      <c r="KPQ60" s="160"/>
      <c r="KPR60" s="160"/>
      <c r="KPS60" s="160"/>
      <c r="KPT60" s="160"/>
      <c r="KPU60" s="160"/>
      <c r="KPV60" s="160"/>
      <c r="KPW60" s="160"/>
      <c r="KPX60" s="160"/>
      <c r="KPY60" s="160"/>
      <c r="KPZ60" s="160"/>
      <c r="KQA60" s="160"/>
      <c r="KQB60" s="160"/>
      <c r="KQC60" s="160"/>
      <c r="KQD60" s="160"/>
      <c r="KQE60" s="160"/>
      <c r="KQF60" s="160"/>
      <c r="KQG60" s="160"/>
      <c r="KQH60" s="160"/>
      <c r="KQI60" s="160"/>
      <c r="KQJ60" s="160"/>
      <c r="KQK60" s="160"/>
      <c r="KQL60" s="160"/>
      <c r="KQM60" s="160"/>
      <c r="KQN60" s="160"/>
      <c r="KQO60" s="160"/>
      <c r="KQP60" s="160"/>
      <c r="KQQ60" s="160"/>
      <c r="KQR60" s="160"/>
      <c r="KQS60" s="160"/>
      <c r="KQT60" s="160"/>
      <c r="KQU60" s="160"/>
      <c r="KQV60" s="160"/>
      <c r="KQW60" s="160"/>
      <c r="KQX60" s="160"/>
      <c r="KQY60" s="160"/>
      <c r="KQZ60" s="160"/>
      <c r="KRA60" s="160"/>
      <c r="KRB60" s="160"/>
      <c r="KRC60" s="160"/>
      <c r="KRD60" s="160"/>
      <c r="KRE60" s="160"/>
      <c r="KRF60" s="160"/>
      <c r="KRG60" s="160"/>
      <c r="KRH60" s="160"/>
      <c r="KRI60" s="160"/>
      <c r="KRJ60" s="160"/>
      <c r="KRK60" s="160"/>
      <c r="KRL60" s="160"/>
      <c r="KRM60" s="160"/>
      <c r="KRN60" s="160"/>
      <c r="KRO60" s="160"/>
      <c r="KRP60" s="160"/>
      <c r="KRQ60" s="160"/>
      <c r="KRR60" s="160"/>
      <c r="KRS60" s="160"/>
      <c r="KRT60" s="160"/>
      <c r="KRU60" s="160"/>
      <c r="KRV60" s="160"/>
      <c r="KRW60" s="160"/>
      <c r="KRX60" s="160"/>
      <c r="KRY60" s="160"/>
      <c r="KRZ60" s="160"/>
      <c r="KSA60" s="160"/>
      <c r="KSB60" s="160"/>
      <c r="KSC60" s="160"/>
      <c r="KSD60" s="160"/>
      <c r="KSE60" s="160"/>
      <c r="KSF60" s="160"/>
      <c r="KSG60" s="160"/>
      <c r="KSH60" s="160"/>
      <c r="KSI60" s="160"/>
      <c r="KSJ60" s="160"/>
      <c r="KSK60" s="160"/>
      <c r="KSL60" s="160"/>
      <c r="KSM60" s="160"/>
      <c r="KSN60" s="160"/>
      <c r="KSO60" s="160"/>
      <c r="KSP60" s="160"/>
      <c r="KSQ60" s="160"/>
      <c r="KSR60" s="160"/>
      <c r="KSS60" s="160"/>
      <c r="KST60" s="160"/>
      <c r="KSU60" s="160"/>
      <c r="KSV60" s="160"/>
      <c r="KSW60" s="160"/>
      <c r="KSX60" s="160"/>
      <c r="KSY60" s="160"/>
      <c r="KSZ60" s="160"/>
      <c r="KTA60" s="160"/>
      <c r="KTB60" s="160"/>
      <c r="KTC60" s="160"/>
      <c r="KTD60" s="160"/>
      <c r="KTE60" s="160"/>
      <c r="KTF60" s="160"/>
      <c r="KTG60" s="160"/>
      <c r="KTH60" s="160"/>
      <c r="KTI60" s="160"/>
      <c r="KTJ60" s="160"/>
      <c r="KTK60" s="160"/>
      <c r="KTL60" s="160"/>
      <c r="KTM60" s="160"/>
      <c r="KTN60" s="160"/>
      <c r="KTO60" s="160"/>
      <c r="KTP60" s="160"/>
      <c r="KTQ60" s="160"/>
      <c r="KTR60" s="160"/>
      <c r="KTS60" s="160"/>
      <c r="KTT60" s="160"/>
      <c r="KTU60" s="160"/>
      <c r="KTV60" s="160"/>
      <c r="KTW60" s="160"/>
      <c r="KTX60" s="160"/>
      <c r="KTY60" s="160"/>
      <c r="KTZ60" s="160"/>
      <c r="KUA60" s="160"/>
      <c r="KUB60" s="160"/>
      <c r="KUC60" s="160"/>
      <c r="KUD60" s="160"/>
      <c r="KUE60" s="160"/>
      <c r="KUF60" s="160"/>
      <c r="KUG60" s="160"/>
      <c r="KUH60" s="160"/>
      <c r="KUI60" s="160"/>
      <c r="KUJ60" s="160"/>
      <c r="KUK60" s="160"/>
      <c r="KUL60" s="160"/>
      <c r="KUM60" s="160"/>
      <c r="KUN60" s="160"/>
      <c r="KUO60" s="160"/>
      <c r="KUP60" s="160"/>
      <c r="KUQ60" s="160"/>
      <c r="KUR60" s="160"/>
      <c r="KUS60" s="160"/>
      <c r="KUT60" s="160"/>
      <c r="KUU60" s="160"/>
      <c r="KUV60" s="160"/>
      <c r="KUW60" s="160"/>
      <c r="KUX60" s="160"/>
      <c r="KUY60" s="160"/>
      <c r="KUZ60" s="160"/>
      <c r="KVA60" s="160"/>
      <c r="KVB60" s="160"/>
      <c r="KVC60" s="160"/>
      <c r="KVD60" s="160"/>
      <c r="KVE60" s="160"/>
      <c r="KVF60" s="160"/>
      <c r="KVG60" s="160"/>
      <c r="KVH60" s="160"/>
      <c r="KVI60" s="160"/>
      <c r="KVJ60" s="160"/>
      <c r="KVK60" s="160"/>
      <c r="KVL60" s="160"/>
      <c r="KVM60" s="160"/>
      <c r="KVN60" s="160"/>
      <c r="KVO60" s="160"/>
      <c r="KVP60" s="160"/>
      <c r="KVQ60" s="160"/>
      <c r="KVR60" s="160"/>
      <c r="KVS60" s="160"/>
      <c r="KVT60" s="160"/>
      <c r="KVU60" s="160"/>
      <c r="KVV60" s="160"/>
      <c r="KVW60" s="160"/>
      <c r="KVX60" s="160"/>
      <c r="KVY60" s="160"/>
      <c r="KVZ60" s="160"/>
      <c r="KWA60" s="160"/>
      <c r="KWB60" s="160"/>
      <c r="KWC60" s="160"/>
      <c r="KWD60" s="160"/>
      <c r="KWE60" s="160"/>
      <c r="KWF60" s="160"/>
      <c r="KWG60" s="160"/>
      <c r="KWH60" s="160"/>
      <c r="KWI60" s="160"/>
      <c r="KWJ60" s="160"/>
      <c r="KWK60" s="160"/>
      <c r="KWL60" s="160"/>
      <c r="KWM60" s="160"/>
      <c r="KWN60" s="160"/>
      <c r="KWO60" s="160"/>
      <c r="KWP60" s="160"/>
      <c r="KWQ60" s="160"/>
      <c r="KWR60" s="160"/>
      <c r="KWS60" s="160"/>
      <c r="KWT60" s="160"/>
      <c r="KWU60" s="160"/>
      <c r="KWV60" s="160"/>
      <c r="KWW60" s="160"/>
      <c r="KWX60" s="160"/>
      <c r="KWY60" s="160"/>
      <c r="KWZ60" s="160"/>
      <c r="KXA60" s="160"/>
      <c r="KXB60" s="160"/>
      <c r="KXC60" s="160"/>
      <c r="KXD60" s="160"/>
      <c r="KXE60" s="160"/>
      <c r="KXF60" s="160"/>
      <c r="KXG60" s="160"/>
      <c r="KXH60" s="160"/>
      <c r="KXI60" s="160"/>
      <c r="KXJ60" s="160"/>
      <c r="KXK60" s="160"/>
      <c r="KXL60" s="160"/>
      <c r="KXM60" s="160"/>
      <c r="KXN60" s="160"/>
      <c r="KXO60" s="160"/>
      <c r="KXP60" s="160"/>
      <c r="KXQ60" s="160"/>
      <c r="KXR60" s="160"/>
      <c r="KXS60" s="160"/>
      <c r="KXT60" s="160"/>
      <c r="KXU60" s="160"/>
      <c r="KXV60" s="160"/>
      <c r="KXW60" s="160"/>
      <c r="KXX60" s="160"/>
      <c r="KXY60" s="160"/>
      <c r="KXZ60" s="160"/>
      <c r="KYA60" s="160"/>
      <c r="KYB60" s="160"/>
      <c r="KYC60" s="160"/>
      <c r="KYD60" s="160"/>
      <c r="KYE60" s="160"/>
      <c r="KYF60" s="160"/>
      <c r="KYG60" s="160"/>
      <c r="KYH60" s="160"/>
      <c r="KYI60" s="160"/>
      <c r="KYJ60" s="160"/>
      <c r="KYK60" s="160"/>
      <c r="KYL60" s="160"/>
      <c r="KYM60" s="160"/>
      <c r="KYN60" s="160"/>
      <c r="KYO60" s="160"/>
      <c r="KYP60" s="160"/>
      <c r="KYQ60" s="160"/>
      <c r="KYR60" s="160"/>
      <c r="KYS60" s="160"/>
      <c r="KYT60" s="160"/>
      <c r="KYU60" s="160"/>
      <c r="KYV60" s="160"/>
      <c r="KYW60" s="160"/>
      <c r="KYX60" s="160"/>
      <c r="KYY60" s="160"/>
      <c r="KYZ60" s="160"/>
      <c r="KZA60" s="160"/>
      <c r="KZB60" s="160"/>
      <c r="KZC60" s="160"/>
      <c r="KZD60" s="160"/>
      <c r="KZE60" s="160"/>
      <c r="KZF60" s="160"/>
      <c r="KZG60" s="160"/>
      <c r="KZH60" s="160"/>
      <c r="KZI60" s="160"/>
      <c r="KZJ60" s="160"/>
      <c r="KZK60" s="160"/>
      <c r="KZL60" s="160"/>
      <c r="KZM60" s="160"/>
      <c r="KZN60" s="160"/>
      <c r="KZO60" s="160"/>
      <c r="KZP60" s="160"/>
      <c r="KZQ60" s="160"/>
      <c r="KZR60" s="160"/>
      <c r="KZS60" s="160"/>
      <c r="KZT60" s="160"/>
      <c r="KZU60" s="160"/>
      <c r="KZV60" s="160"/>
      <c r="KZW60" s="160"/>
      <c r="KZX60" s="160"/>
      <c r="KZY60" s="160"/>
      <c r="KZZ60" s="160"/>
      <c r="LAA60" s="160"/>
      <c r="LAB60" s="160"/>
      <c r="LAC60" s="160"/>
      <c r="LAD60" s="160"/>
      <c r="LAE60" s="160"/>
      <c r="LAF60" s="160"/>
      <c r="LAG60" s="160"/>
      <c r="LAH60" s="160"/>
      <c r="LAI60" s="160"/>
      <c r="LAJ60" s="160"/>
      <c r="LAK60" s="160"/>
      <c r="LAL60" s="160"/>
      <c r="LAM60" s="160"/>
      <c r="LAN60" s="160"/>
      <c r="LAO60" s="160"/>
      <c r="LAP60" s="160"/>
      <c r="LAQ60" s="160"/>
      <c r="LAR60" s="160"/>
      <c r="LAS60" s="160"/>
      <c r="LAT60" s="160"/>
      <c r="LAU60" s="160"/>
      <c r="LAV60" s="160"/>
      <c r="LAW60" s="160"/>
      <c r="LAX60" s="160"/>
      <c r="LAY60" s="160"/>
      <c r="LAZ60" s="160"/>
      <c r="LBA60" s="160"/>
      <c r="LBB60" s="160"/>
      <c r="LBC60" s="160"/>
      <c r="LBD60" s="160"/>
      <c r="LBE60" s="160"/>
      <c r="LBF60" s="160"/>
      <c r="LBG60" s="160"/>
      <c r="LBH60" s="160"/>
      <c r="LBI60" s="160"/>
      <c r="LBJ60" s="160"/>
      <c r="LBK60" s="160"/>
      <c r="LBL60" s="160"/>
      <c r="LBM60" s="160"/>
      <c r="LBN60" s="160"/>
      <c r="LBO60" s="160"/>
      <c r="LBP60" s="160"/>
      <c r="LBQ60" s="160"/>
      <c r="LBR60" s="160"/>
      <c r="LBS60" s="160"/>
      <c r="LBT60" s="160"/>
      <c r="LBU60" s="160"/>
      <c r="LBV60" s="160"/>
      <c r="LBW60" s="160"/>
      <c r="LBX60" s="160"/>
      <c r="LBY60" s="160"/>
      <c r="LBZ60" s="160"/>
      <c r="LCA60" s="160"/>
      <c r="LCB60" s="160"/>
      <c r="LCC60" s="160"/>
      <c r="LCD60" s="160"/>
      <c r="LCE60" s="160"/>
      <c r="LCF60" s="160"/>
      <c r="LCG60" s="160"/>
      <c r="LCH60" s="160"/>
      <c r="LCI60" s="160"/>
      <c r="LCJ60" s="160"/>
      <c r="LCK60" s="160"/>
      <c r="LCL60" s="160"/>
      <c r="LCM60" s="160"/>
      <c r="LCN60" s="160"/>
      <c r="LCO60" s="160"/>
      <c r="LCP60" s="160"/>
      <c r="LCQ60" s="160"/>
      <c r="LCR60" s="160"/>
      <c r="LCS60" s="160"/>
      <c r="LCT60" s="160"/>
      <c r="LCU60" s="160"/>
      <c r="LCV60" s="160"/>
      <c r="LCW60" s="160"/>
      <c r="LCX60" s="160"/>
      <c r="LCY60" s="160"/>
      <c r="LCZ60" s="160"/>
      <c r="LDA60" s="160"/>
      <c r="LDB60" s="160"/>
      <c r="LDC60" s="160"/>
      <c r="LDD60" s="160"/>
      <c r="LDE60" s="160"/>
      <c r="LDF60" s="160"/>
      <c r="LDG60" s="160"/>
      <c r="LDH60" s="160"/>
      <c r="LDI60" s="160"/>
      <c r="LDJ60" s="160"/>
      <c r="LDK60" s="160"/>
      <c r="LDL60" s="160"/>
      <c r="LDM60" s="160"/>
      <c r="LDN60" s="160"/>
      <c r="LDO60" s="160"/>
      <c r="LDP60" s="160"/>
      <c r="LDQ60" s="160"/>
      <c r="LDR60" s="160"/>
      <c r="LDS60" s="160"/>
      <c r="LDT60" s="160"/>
      <c r="LDU60" s="160"/>
      <c r="LDV60" s="160"/>
      <c r="LDW60" s="160"/>
      <c r="LDX60" s="160"/>
      <c r="LDY60" s="160"/>
      <c r="LDZ60" s="160"/>
      <c r="LEA60" s="160"/>
      <c r="LEB60" s="160"/>
      <c r="LEC60" s="160"/>
      <c r="LED60" s="160"/>
      <c r="LEE60" s="160"/>
      <c r="LEF60" s="160"/>
      <c r="LEG60" s="160"/>
      <c r="LEH60" s="160"/>
      <c r="LEI60" s="160"/>
      <c r="LEJ60" s="160"/>
      <c r="LEK60" s="160"/>
      <c r="LEL60" s="160"/>
      <c r="LEM60" s="160"/>
      <c r="LEN60" s="160"/>
      <c r="LEO60" s="160"/>
      <c r="LEP60" s="160"/>
      <c r="LEQ60" s="160"/>
      <c r="LER60" s="160"/>
      <c r="LES60" s="160"/>
      <c r="LET60" s="160"/>
      <c r="LEU60" s="160"/>
      <c r="LEV60" s="160"/>
      <c r="LEW60" s="160"/>
      <c r="LEX60" s="160"/>
      <c r="LEY60" s="160"/>
      <c r="LEZ60" s="160"/>
      <c r="LFA60" s="160"/>
      <c r="LFB60" s="160"/>
      <c r="LFC60" s="160"/>
      <c r="LFD60" s="160"/>
      <c r="LFE60" s="160"/>
      <c r="LFF60" s="160"/>
      <c r="LFG60" s="160"/>
      <c r="LFH60" s="160"/>
      <c r="LFI60" s="160"/>
      <c r="LFJ60" s="160"/>
      <c r="LFK60" s="160"/>
      <c r="LFL60" s="160"/>
      <c r="LFM60" s="160"/>
      <c r="LFN60" s="160"/>
      <c r="LFO60" s="160"/>
      <c r="LFP60" s="160"/>
      <c r="LFQ60" s="160"/>
      <c r="LFR60" s="160"/>
      <c r="LFS60" s="160"/>
      <c r="LFT60" s="160"/>
      <c r="LFU60" s="160"/>
      <c r="LFV60" s="160"/>
      <c r="LFW60" s="160"/>
      <c r="LFX60" s="160"/>
      <c r="LFY60" s="160"/>
      <c r="LFZ60" s="160"/>
      <c r="LGA60" s="160"/>
      <c r="LGB60" s="160"/>
      <c r="LGC60" s="160"/>
      <c r="LGD60" s="160"/>
      <c r="LGE60" s="160"/>
      <c r="LGF60" s="160"/>
      <c r="LGG60" s="160"/>
      <c r="LGH60" s="160"/>
      <c r="LGI60" s="160"/>
      <c r="LGJ60" s="160"/>
      <c r="LGK60" s="160"/>
      <c r="LGL60" s="160"/>
      <c r="LGM60" s="160"/>
      <c r="LGN60" s="160"/>
      <c r="LGO60" s="160"/>
      <c r="LGP60" s="160"/>
      <c r="LGQ60" s="160"/>
      <c r="LGR60" s="160"/>
      <c r="LGS60" s="160"/>
      <c r="LGT60" s="160"/>
      <c r="LGU60" s="160"/>
      <c r="LGV60" s="160"/>
      <c r="LGW60" s="160"/>
      <c r="LGX60" s="160"/>
      <c r="LGY60" s="160"/>
      <c r="LGZ60" s="160"/>
      <c r="LHA60" s="160"/>
      <c r="LHB60" s="160"/>
      <c r="LHC60" s="160"/>
      <c r="LHD60" s="160"/>
      <c r="LHE60" s="160"/>
      <c r="LHF60" s="160"/>
      <c r="LHG60" s="160"/>
      <c r="LHH60" s="160"/>
      <c r="LHI60" s="160"/>
      <c r="LHJ60" s="160"/>
      <c r="LHK60" s="160"/>
      <c r="LHL60" s="160"/>
      <c r="LHM60" s="160"/>
      <c r="LHN60" s="160"/>
      <c r="LHO60" s="160"/>
      <c r="LHP60" s="160"/>
      <c r="LHQ60" s="160"/>
      <c r="LHR60" s="160"/>
      <c r="LHS60" s="160"/>
      <c r="LHT60" s="160"/>
      <c r="LHU60" s="160"/>
      <c r="LHV60" s="160"/>
      <c r="LHW60" s="160"/>
      <c r="LHX60" s="160"/>
      <c r="LHY60" s="160"/>
      <c r="LHZ60" s="160"/>
      <c r="LIA60" s="160"/>
      <c r="LIB60" s="160"/>
      <c r="LIC60" s="160"/>
      <c r="LID60" s="160"/>
      <c r="LIE60" s="160"/>
      <c r="LIF60" s="160"/>
      <c r="LIG60" s="160"/>
      <c r="LIH60" s="160"/>
      <c r="LII60" s="160"/>
      <c r="LIJ60" s="160"/>
      <c r="LIK60" s="160"/>
      <c r="LIL60" s="160"/>
      <c r="LIM60" s="160"/>
      <c r="LIN60" s="160"/>
      <c r="LIO60" s="160"/>
      <c r="LIP60" s="160"/>
      <c r="LIQ60" s="160"/>
      <c r="LIR60" s="160"/>
      <c r="LIS60" s="160"/>
      <c r="LIT60" s="160"/>
      <c r="LIU60" s="160"/>
      <c r="LIV60" s="160"/>
      <c r="LIW60" s="160"/>
      <c r="LIX60" s="160"/>
      <c r="LIY60" s="160"/>
      <c r="LIZ60" s="160"/>
      <c r="LJA60" s="160"/>
      <c r="LJB60" s="160"/>
      <c r="LJC60" s="160"/>
      <c r="LJD60" s="160"/>
      <c r="LJE60" s="160"/>
      <c r="LJF60" s="160"/>
      <c r="LJG60" s="160"/>
      <c r="LJH60" s="160"/>
      <c r="LJI60" s="160"/>
      <c r="LJJ60" s="160"/>
      <c r="LJK60" s="160"/>
      <c r="LJL60" s="160"/>
      <c r="LJM60" s="160"/>
      <c r="LJN60" s="160"/>
      <c r="LJO60" s="160"/>
      <c r="LJP60" s="160"/>
      <c r="LJQ60" s="160"/>
      <c r="LJR60" s="160"/>
      <c r="LJS60" s="160"/>
      <c r="LJT60" s="160"/>
      <c r="LJU60" s="160"/>
      <c r="LJV60" s="160"/>
      <c r="LJW60" s="160"/>
      <c r="LJX60" s="160"/>
      <c r="LJY60" s="160"/>
      <c r="LJZ60" s="160"/>
      <c r="LKA60" s="160"/>
      <c r="LKB60" s="160"/>
      <c r="LKC60" s="160"/>
      <c r="LKD60" s="160"/>
      <c r="LKE60" s="160"/>
      <c r="LKF60" s="160"/>
      <c r="LKG60" s="160"/>
      <c r="LKH60" s="160"/>
      <c r="LKI60" s="160"/>
      <c r="LKJ60" s="160"/>
      <c r="LKK60" s="160"/>
      <c r="LKL60" s="160"/>
      <c r="LKM60" s="160"/>
      <c r="LKN60" s="160"/>
      <c r="LKO60" s="160"/>
      <c r="LKP60" s="160"/>
      <c r="LKQ60" s="160"/>
      <c r="LKR60" s="160"/>
      <c r="LKS60" s="160"/>
      <c r="LKT60" s="160"/>
      <c r="LKU60" s="160"/>
      <c r="LKV60" s="160"/>
      <c r="LKW60" s="160"/>
      <c r="LKX60" s="160"/>
      <c r="LKY60" s="160"/>
      <c r="LKZ60" s="160"/>
      <c r="LLA60" s="160"/>
      <c r="LLB60" s="160"/>
      <c r="LLC60" s="160"/>
      <c r="LLD60" s="160"/>
      <c r="LLE60" s="160"/>
      <c r="LLF60" s="160"/>
      <c r="LLG60" s="160"/>
      <c r="LLH60" s="160"/>
      <c r="LLI60" s="160"/>
      <c r="LLJ60" s="160"/>
      <c r="LLK60" s="160"/>
      <c r="LLL60" s="160"/>
      <c r="LLM60" s="160"/>
      <c r="LLN60" s="160"/>
      <c r="LLO60" s="160"/>
      <c r="LLP60" s="160"/>
      <c r="LLQ60" s="160"/>
      <c r="LLR60" s="160"/>
      <c r="LLS60" s="160"/>
      <c r="LLT60" s="160"/>
      <c r="LLU60" s="160"/>
      <c r="LLV60" s="160"/>
      <c r="LLW60" s="160"/>
      <c r="LLX60" s="160"/>
      <c r="LLY60" s="160"/>
      <c r="LLZ60" s="160"/>
      <c r="LMA60" s="160"/>
      <c r="LMB60" s="160"/>
      <c r="LMC60" s="160"/>
      <c r="LMD60" s="160"/>
      <c r="LME60" s="160"/>
      <c r="LMF60" s="160"/>
      <c r="LMG60" s="160"/>
      <c r="LMH60" s="160"/>
      <c r="LMI60" s="160"/>
      <c r="LMJ60" s="160"/>
      <c r="LMK60" s="160"/>
      <c r="LML60" s="160"/>
      <c r="LMM60" s="160"/>
      <c r="LMN60" s="160"/>
      <c r="LMO60" s="160"/>
      <c r="LMP60" s="160"/>
      <c r="LMQ60" s="160"/>
      <c r="LMR60" s="160"/>
      <c r="LMS60" s="160"/>
      <c r="LMT60" s="160"/>
      <c r="LMU60" s="160"/>
      <c r="LMV60" s="160"/>
      <c r="LMW60" s="160"/>
      <c r="LMX60" s="160"/>
      <c r="LMY60" s="160"/>
      <c r="LMZ60" s="160"/>
      <c r="LNA60" s="160"/>
      <c r="LNB60" s="160"/>
      <c r="LNC60" s="160"/>
      <c r="LND60" s="160"/>
      <c r="LNE60" s="160"/>
      <c r="LNF60" s="160"/>
      <c r="LNG60" s="160"/>
      <c r="LNH60" s="160"/>
      <c r="LNI60" s="160"/>
      <c r="LNJ60" s="160"/>
      <c r="LNK60" s="160"/>
      <c r="LNL60" s="160"/>
      <c r="LNM60" s="160"/>
      <c r="LNN60" s="160"/>
      <c r="LNO60" s="160"/>
      <c r="LNP60" s="160"/>
      <c r="LNQ60" s="160"/>
      <c r="LNR60" s="160"/>
      <c r="LNS60" s="160"/>
      <c r="LNT60" s="160"/>
      <c r="LNU60" s="160"/>
      <c r="LNV60" s="160"/>
      <c r="LNW60" s="160"/>
      <c r="LNX60" s="160"/>
      <c r="LNY60" s="160"/>
      <c r="LNZ60" s="160"/>
      <c r="LOA60" s="160"/>
      <c r="LOB60" s="160"/>
      <c r="LOC60" s="160"/>
      <c r="LOD60" s="160"/>
      <c r="LOE60" s="160"/>
      <c r="LOF60" s="160"/>
      <c r="LOG60" s="160"/>
      <c r="LOH60" s="160"/>
      <c r="LOI60" s="160"/>
      <c r="LOJ60" s="160"/>
      <c r="LOK60" s="160"/>
      <c r="LOL60" s="160"/>
      <c r="LOM60" s="160"/>
      <c r="LON60" s="160"/>
      <c r="LOO60" s="160"/>
      <c r="LOP60" s="160"/>
      <c r="LOQ60" s="160"/>
      <c r="LOR60" s="160"/>
      <c r="LOS60" s="160"/>
      <c r="LOT60" s="160"/>
      <c r="LOU60" s="160"/>
      <c r="LOV60" s="160"/>
      <c r="LOW60" s="160"/>
      <c r="LOX60" s="160"/>
      <c r="LOY60" s="160"/>
      <c r="LOZ60" s="160"/>
      <c r="LPA60" s="160"/>
      <c r="LPB60" s="160"/>
      <c r="LPC60" s="160"/>
      <c r="LPD60" s="160"/>
      <c r="LPE60" s="160"/>
      <c r="LPF60" s="160"/>
      <c r="LPG60" s="160"/>
      <c r="LPH60" s="160"/>
      <c r="LPI60" s="160"/>
      <c r="LPJ60" s="160"/>
      <c r="LPK60" s="160"/>
      <c r="LPL60" s="160"/>
      <c r="LPM60" s="160"/>
      <c r="LPN60" s="160"/>
      <c r="LPO60" s="160"/>
      <c r="LPP60" s="160"/>
      <c r="LPQ60" s="160"/>
      <c r="LPR60" s="160"/>
      <c r="LPS60" s="160"/>
      <c r="LPT60" s="160"/>
      <c r="LPU60" s="160"/>
      <c r="LPV60" s="160"/>
      <c r="LPW60" s="160"/>
      <c r="LPX60" s="160"/>
      <c r="LPY60" s="160"/>
      <c r="LPZ60" s="160"/>
      <c r="LQA60" s="160"/>
      <c r="LQB60" s="160"/>
      <c r="LQC60" s="160"/>
      <c r="LQD60" s="160"/>
      <c r="LQE60" s="160"/>
      <c r="LQF60" s="160"/>
      <c r="LQG60" s="160"/>
      <c r="LQH60" s="160"/>
      <c r="LQI60" s="160"/>
      <c r="LQJ60" s="160"/>
      <c r="LQK60" s="160"/>
      <c r="LQL60" s="160"/>
      <c r="LQM60" s="160"/>
      <c r="LQN60" s="160"/>
      <c r="LQO60" s="160"/>
      <c r="LQP60" s="160"/>
      <c r="LQQ60" s="160"/>
      <c r="LQR60" s="160"/>
      <c r="LQS60" s="160"/>
      <c r="LQT60" s="160"/>
      <c r="LQU60" s="160"/>
      <c r="LQV60" s="160"/>
      <c r="LQW60" s="160"/>
      <c r="LQX60" s="160"/>
      <c r="LQY60" s="160"/>
      <c r="LQZ60" s="160"/>
      <c r="LRA60" s="160"/>
      <c r="LRB60" s="160"/>
      <c r="LRC60" s="160"/>
      <c r="LRD60" s="160"/>
      <c r="LRE60" s="160"/>
      <c r="LRF60" s="160"/>
      <c r="LRG60" s="160"/>
      <c r="LRH60" s="160"/>
      <c r="LRI60" s="160"/>
      <c r="LRJ60" s="160"/>
      <c r="LRK60" s="160"/>
      <c r="LRL60" s="160"/>
      <c r="LRM60" s="160"/>
      <c r="LRN60" s="160"/>
      <c r="LRO60" s="160"/>
      <c r="LRP60" s="160"/>
      <c r="LRQ60" s="160"/>
      <c r="LRR60" s="160"/>
      <c r="LRS60" s="160"/>
      <c r="LRT60" s="160"/>
      <c r="LRU60" s="160"/>
      <c r="LRV60" s="160"/>
      <c r="LRW60" s="160"/>
      <c r="LRX60" s="160"/>
      <c r="LRY60" s="160"/>
      <c r="LRZ60" s="160"/>
      <c r="LSA60" s="160"/>
      <c r="LSB60" s="160"/>
      <c r="LSC60" s="160"/>
      <c r="LSD60" s="160"/>
      <c r="LSE60" s="160"/>
      <c r="LSF60" s="160"/>
      <c r="LSG60" s="160"/>
      <c r="LSH60" s="160"/>
      <c r="LSI60" s="160"/>
      <c r="LSJ60" s="160"/>
      <c r="LSK60" s="160"/>
      <c r="LSL60" s="160"/>
      <c r="LSM60" s="160"/>
      <c r="LSN60" s="160"/>
      <c r="LSO60" s="160"/>
      <c r="LSP60" s="160"/>
      <c r="LSQ60" s="160"/>
      <c r="LSR60" s="160"/>
      <c r="LSS60" s="160"/>
      <c r="LST60" s="160"/>
      <c r="LSU60" s="160"/>
      <c r="LSV60" s="160"/>
      <c r="LSW60" s="160"/>
      <c r="LSX60" s="160"/>
      <c r="LSY60" s="160"/>
      <c r="LSZ60" s="160"/>
      <c r="LTA60" s="160"/>
      <c r="LTB60" s="160"/>
      <c r="LTC60" s="160"/>
      <c r="LTD60" s="160"/>
      <c r="LTE60" s="160"/>
      <c r="LTF60" s="160"/>
      <c r="LTG60" s="160"/>
      <c r="LTH60" s="160"/>
      <c r="LTI60" s="160"/>
      <c r="LTJ60" s="160"/>
      <c r="LTK60" s="160"/>
      <c r="LTL60" s="160"/>
      <c r="LTM60" s="160"/>
      <c r="LTN60" s="160"/>
      <c r="LTO60" s="160"/>
      <c r="LTP60" s="160"/>
      <c r="LTQ60" s="160"/>
      <c r="LTR60" s="160"/>
      <c r="LTS60" s="160"/>
      <c r="LTT60" s="160"/>
      <c r="LTU60" s="160"/>
      <c r="LTV60" s="160"/>
      <c r="LTW60" s="160"/>
      <c r="LTX60" s="160"/>
      <c r="LTY60" s="160"/>
      <c r="LTZ60" s="160"/>
      <c r="LUA60" s="160"/>
      <c r="LUB60" s="160"/>
      <c r="LUC60" s="160"/>
      <c r="LUD60" s="160"/>
      <c r="LUE60" s="160"/>
      <c r="LUF60" s="160"/>
      <c r="LUG60" s="160"/>
      <c r="LUH60" s="160"/>
      <c r="LUI60" s="160"/>
      <c r="LUJ60" s="160"/>
      <c r="LUK60" s="160"/>
      <c r="LUL60" s="160"/>
      <c r="LUM60" s="160"/>
      <c r="LUN60" s="160"/>
      <c r="LUO60" s="160"/>
      <c r="LUP60" s="160"/>
      <c r="LUQ60" s="160"/>
      <c r="LUR60" s="160"/>
      <c r="LUS60" s="160"/>
      <c r="LUT60" s="160"/>
      <c r="LUU60" s="160"/>
      <c r="LUV60" s="160"/>
      <c r="LUW60" s="160"/>
      <c r="LUX60" s="160"/>
      <c r="LUY60" s="160"/>
      <c r="LUZ60" s="160"/>
      <c r="LVA60" s="160"/>
      <c r="LVB60" s="160"/>
      <c r="LVC60" s="160"/>
      <c r="LVD60" s="160"/>
      <c r="LVE60" s="160"/>
      <c r="LVF60" s="160"/>
      <c r="LVG60" s="160"/>
      <c r="LVH60" s="160"/>
      <c r="LVI60" s="160"/>
      <c r="LVJ60" s="160"/>
      <c r="LVK60" s="160"/>
      <c r="LVL60" s="160"/>
      <c r="LVM60" s="160"/>
      <c r="LVN60" s="160"/>
      <c r="LVO60" s="160"/>
      <c r="LVP60" s="160"/>
      <c r="LVQ60" s="160"/>
      <c r="LVR60" s="160"/>
      <c r="LVS60" s="160"/>
      <c r="LVT60" s="160"/>
      <c r="LVU60" s="160"/>
      <c r="LVV60" s="160"/>
      <c r="LVW60" s="160"/>
      <c r="LVX60" s="160"/>
      <c r="LVY60" s="160"/>
      <c r="LVZ60" s="160"/>
      <c r="LWA60" s="160"/>
      <c r="LWB60" s="160"/>
      <c r="LWC60" s="160"/>
      <c r="LWD60" s="160"/>
      <c r="LWE60" s="160"/>
      <c r="LWF60" s="160"/>
      <c r="LWG60" s="160"/>
      <c r="LWH60" s="160"/>
      <c r="LWI60" s="160"/>
      <c r="LWJ60" s="160"/>
      <c r="LWK60" s="160"/>
      <c r="LWL60" s="160"/>
      <c r="LWM60" s="160"/>
      <c r="LWN60" s="160"/>
      <c r="LWO60" s="160"/>
      <c r="LWP60" s="160"/>
      <c r="LWQ60" s="160"/>
      <c r="LWR60" s="160"/>
      <c r="LWS60" s="160"/>
      <c r="LWT60" s="160"/>
      <c r="LWU60" s="160"/>
      <c r="LWV60" s="160"/>
      <c r="LWW60" s="160"/>
      <c r="LWX60" s="160"/>
      <c r="LWY60" s="160"/>
      <c r="LWZ60" s="160"/>
      <c r="LXA60" s="160"/>
      <c r="LXB60" s="160"/>
      <c r="LXC60" s="160"/>
      <c r="LXD60" s="160"/>
      <c r="LXE60" s="160"/>
      <c r="LXF60" s="160"/>
      <c r="LXG60" s="160"/>
      <c r="LXH60" s="160"/>
      <c r="LXI60" s="160"/>
      <c r="LXJ60" s="160"/>
      <c r="LXK60" s="160"/>
      <c r="LXL60" s="160"/>
      <c r="LXM60" s="160"/>
      <c r="LXN60" s="160"/>
      <c r="LXO60" s="160"/>
      <c r="LXP60" s="160"/>
      <c r="LXQ60" s="160"/>
      <c r="LXR60" s="160"/>
      <c r="LXS60" s="160"/>
      <c r="LXT60" s="160"/>
      <c r="LXU60" s="160"/>
      <c r="LXV60" s="160"/>
      <c r="LXW60" s="160"/>
      <c r="LXX60" s="160"/>
      <c r="LXY60" s="160"/>
      <c r="LXZ60" s="160"/>
      <c r="LYA60" s="160"/>
      <c r="LYB60" s="160"/>
      <c r="LYC60" s="160"/>
      <c r="LYD60" s="160"/>
      <c r="LYE60" s="160"/>
      <c r="LYF60" s="160"/>
      <c r="LYG60" s="160"/>
      <c r="LYH60" s="160"/>
      <c r="LYI60" s="160"/>
      <c r="LYJ60" s="160"/>
      <c r="LYK60" s="160"/>
      <c r="LYL60" s="160"/>
      <c r="LYM60" s="160"/>
      <c r="LYN60" s="160"/>
      <c r="LYO60" s="160"/>
      <c r="LYP60" s="160"/>
      <c r="LYQ60" s="160"/>
      <c r="LYR60" s="160"/>
      <c r="LYS60" s="160"/>
      <c r="LYT60" s="160"/>
      <c r="LYU60" s="160"/>
      <c r="LYV60" s="160"/>
      <c r="LYW60" s="160"/>
      <c r="LYX60" s="160"/>
      <c r="LYY60" s="160"/>
      <c r="LYZ60" s="160"/>
      <c r="LZA60" s="160"/>
      <c r="LZB60" s="160"/>
      <c r="LZC60" s="160"/>
      <c r="LZD60" s="160"/>
      <c r="LZE60" s="160"/>
      <c r="LZF60" s="160"/>
      <c r="LZG60" s="160"/>
      <c r="LZH60" s="160"/>
      <c r="LZI60" s="160"/>
      <c r="LZJ60" s="160"/>
      <c r="LZK60" s="160"/>
      <c r="LZL60" s="160"/>
      <c r="LZM60" s="160"/>
      <c r="LZN60" s="160"/>
      <c r="LZO60" s="160"/>
      <c r="LZP60" s="160"/>
      <c r="LZQ60" s="160"/>
      <c r="LZR60" s="160"/>
      <c r="LZS60" s="160"/>
      <c r="LZT60" s="160"/>
      <c r="LZU60" s="160"/>
      <c r="LZV60" s="160"/>
      <c r="LZW60" s="160"/>
      <c r="LZX60" s="160"/>
      <c r="LZY60" s="160"/>
      <c r="LZZ60" s="160"/>
      <c r="MAA60" s="160"/>
      <c r="MAB60" s="160"/>
      <c r="MAC60" s="160"/>
      <c r="MAD60" s="160"/>
      <c r="MAE60" s="160"/>
      <c r="MAF60" s="160"/>
      <c r="MAG60" s="160"/>
      <c r="MAH60" s="160"/>
      <c r="MAI60" s="160"/>
      <c r="MAJ60" s="160"/>
      <c r="MAK60" s="160"/>
      <c r="MAL60" s="160"/>
      <c r="MAM60" s="160"/>
      <c r="MAN60" s="160"/>
      <c r="MAO60" s="160"/>
      <c r="MAP60" s="160"/>
      <c r="MAQ60" s="160"/>
      <c r="MAR60" s="160"/>
      <c r="MAS60" s="160"/>
      <c r="MAT60" s="160"/>
      <c r="MAU60" s="160"/>
      <c r="MAV60" s="160"/>
      <c r="MAW60" s="160"/>
      <c r="MAX60" s="160"/>
      <c r="MAY60" s="160"/>
      <c r="MAZ60" s="160"/>
      <c r="MBA60" s="160"/>
      <c r="MBB60" s="160"/>
      <c r="MBC60" s="160"/>
      <c r="MBD60" s="160"/>
      <c r="MBE60" s="160"/>
      <c r="MBF60" s="160"/>
      <c r="MBG60" s="160"/>
      <c r="MBH60" s="160"/>
      <c r="MBI60" s="160"/>
      <c r="MBJ60" s="160"/>
      <c r="MBK60" s="160"/>
      <c r="MBL60" s="160"/>
      <c r="MBM60" s="160"/>
      <c r="MBN60" s="160"/>
      <c r="MBO60" s="160"/>
      <c r="MBP60" s="160"/>
      <c r="MBQ60" s="160"/>
      <c r="MBR60" s="160"/>
      <c r="MBS60" s="160"/>
      <c r="MBT60" s="160"/>
      <c r="MBU60" s="160"/>
      <c r="MBV60" s="160"/>
      <c r="MBW60" s="160"/>
      <c r="MBX60" s="160"/>
      <c r="MBY60" s="160"/>
      <c r="MBZ60" s="160"/>
      <c r="MCA60" s="160"/>
      <c r="MCB60" s="160"/>
      <c r="MCC60" s="160"/>
      <c r="MCD60" s="160"/>
      <c r="MCE60" s="160"/>
      <c r="MCF60" s="160"/>
      <c r="MCG60" s="160"/>
      <c r="MCH60" s="160"/>
      <c r="MCI60" s="160"/>
      <c r="MCJ60" s="160"/>
      <c r="MCK60" s="160"/>
      <c r="MCL60" s="160"/>
      <c r="MCM60" s="160"/>
      <c r="MCN60" s="160"/>
      <c r="MCO60" s="160"/>
      <c r="MCP60" s="160"/>
      <c r="MCQ60" s="160"/>
      <c r="MCR60" s="160"/>
      <c r="MCS60" s="160"/>
      <c r="MCT60" s="160"/>
      <c r="MCU60" s="160"/>
      <c r="MCV60" s="160"/>
      <c r="MCW60" s="160"/>
      <c r="MCX60" s="160"/>
      <c r="MCY60" s="160"/>
      <c r="MCZ60" s="160"/>
      <c r="MDA60" s="160"/>
      <c r="MDB60" s="160"/>
      <c r="MDC60" s="160"/>
      <c r="MDD60" s="160"/>
      <c r="MDE60" s="160"/>
      <c r="MDF60" s="160"/>
      <c r="MDG60" s="160"/>
      <c r="MDH60" s="160"/>
      <c r="MDI60" s="160"/>
      <c r="MDJ60" s="160"/>
      <c r="MDK60" s="160"/>
      <c r="MDL60" s="160"/>
      <c r="MDM60" s="160"/>
      <c r="MDN60" s="160"/>
      <c r="MDO60" s="160"/>
      <c r="MDP60" s="160"/>
      <c r="MDQ60" s="160"/>
      <c r="MDR60" s="160"/>
      <c r="MDS60" s="160"/>
      <c r="MDT60" s="160"/>
      <c r="MDU60" s="160"/>
      <c r="MDV60" s="160"/>
      <c r="MDW60" s="160"/>
      <c r="MDX60" s="160"/>
      <c r="MDY60" s="160"/>
      <c r="MDZ60" s="160"/>
      <c r="MEA60" s="160"/>
      <c r="MEB60" s="160"/>
      <c r="MEC60" s="160"/>
      <c r="MED60" s="160"/>
      <c r="MEE60" s="160"/>
      <c r="MEF60" s="160"/>
      <c r="MEG60" s="160"/>
      <c r="MEH60" s="160"/>
      <c r="MEI60" s="160"/>
      <c r="MEJ60" s="160"/>
      <c r="MEK60" s="160"/>
      <c r="MEL60" s="160"/>
      <c r="MEM60" s="160"/>
      <c r="MEN60" s="160"/>
      <c r="MEO60" s="160"/>
      <c r="MEP60" s="160"/>
      <c r="MEQ60" s="160"/>
      <c r="MER60" s="160"/>
      <c r="MES60" s="160"/>
      <c r="MET60" s="160"/>
      <c r="MEU60" s="160"/>
      <c r="MEV60" s="160"/>
      <c r="MEW60" s="160"/>
      <c r="MEX60" s="160"/>
      <c r="MEY60" s="160"/>
      <c r="MEZ60" s="160"/>
      <c r="MFA60" s="160"/>
      <c r="MFB60" s="160"/>
      <c r="MFC60" s="160"/>
      <c r="MFD60" s="160"/>
      <c r="MFE60" s="160"/>
      <c r="MFF60" s="160"/>
      <c r="MFG60" s="160"/>
      <c r="MFH60" s="160"/>
      <c r="MFI60" s="160"/>
      <c r="MFJ60" s="160"/>
      <c r="MFK60" s="160"/>
      <c r="MFL60" s="160"/>
      <c r="MFM60" s="160"/>
      <c r="MFN60" s="160"/>
      <c r="MFO60" s="160"/>
      <c r="MFP60" s="160"/>
      <c r="MFQ60" s="160"/>
      <c r="MFR60" s="160"/>
      <c r="MFS60" s="160"/>
      <c r="MFT60" s="160"/>
      <c r="MFU60" s="160"/>
      <c r="MFV60" s="160"/>
      <c r="MFW60" s="160"/>
      <c r="MFX60" s="160"/>
      <c r="MFY60" s="160"/>
      <c r="MFZ60" s="160"/>
      <c r="MGA60" s="160"/>
      <c r="MGB60" s="160"/>
      <c r="MGC60" s="160"/>
      <c r="MGD60" s="160"/>
      <c r="MGE60" s="160"/>
      <c r="MGF60" s="160"/>
      <c r="MGG60" s="160"/>
      <c r="MGH60" s="160"/>
      <c r="MGI60" s="160"/>
      <c r="MGJ60" s="160"/>
      <c r="MGK60" s="160"/>
      <c r="MGL60" s="160"/>
      <c r="MGM60" s="160"/>
      <c r="MGN60" s="160"/>
      <c r="MGO60" s="160"/>
      <c r="MGP60" s="160"/>
      <c r="MGQ60" s="160"/>
      <c r="MGR60" s="160"/>
      <c r="MGS60" s="160"/>
      <c r="MGT60" s="160"/>
      <c r="MGU60" s="160"/>
      <c r="MGV60" s="160"/>
      <c r="MGW60" s="160"/>
      <c r="MGX60" s="160"/>
      <c r="MGY60" s="160"/>
      <c r="MGZ60" s="160"/>
      <c r="MHA60" s="160"/>
      <c r="MHB60" s="160"/>
      <c r="MHC60" s="160"/>
      <c r="MHD60" s="160"/>
      <c r="MHE60" s="160"/>
      <c r="MHF60" s="160"/>
      <c r="MHG60" s="160"/>
      <c r="MHH60" s="160"/>
      <c r="MHI60" s="160"/>
      <c r="MHJ60" s="160"/>
      <c r="MHK60" s="160"/>
      <c r="MHL60" s="160"/>
      <c r="MHM60" s="160"/>
      <c r="MHN60" s="160"/>
      <c r="MHO60" s="160"/>
      <c r="MHP60" s="160"/>
      <c r="MHQ60" s="160"/>
      <c r="MHR60" s="160"/>
      <c r="MHS60" s="160"/>
      <c r="MHT60" s="160"/>
      <c r="MHU60" s="160"/>
      <c r="MHV60" s="160"/>
      <c r="MHW60" s="160"/>
      <c r="MHX60" s="160"/>
      <c r="MHY60" s="160"/>
      <c r="MHZ60" s="160"/>
      <c r="MIA60" s="160"/>
      <c r="MIB60" s="160"/>
      <c r="MIC60" s="160"/>
      <c r="MID60" s="160"/>
      <c r="MIE60" s="160"/>
      <c r="MIF60" s="160"/>
      <c r="MIG60" s="160"/>
      <c r="MIH60" s="160"/>
      <c r="MII60" s="160"/>
      <c r="MIJ60" s="160"/>
      <c r="MIK60" s="160"/>
      <c r="MIL60" s="160"/>
      <c r="MIM60" s="160"/>
      <c r="MIN60" s="160"/>
      <c r="MIO60" s="160"/>
      <c r="MIP60" s="160"/>
      <c r="MIQ60" s="160"/>
      <c r="MIR60" s="160"/>
      <c r="MIS60" s="160"/>
      <c r="MIT60" s="160"/>
      <c r="MIU60" s="160"/>
      <c r="MIV60" s="160"/>
      <c r="MIW60" s="160"/>
      <c r="MIX60" s="160"/>
      <c r="MIY60" s="160"/>
      <c r="MIZ60" s="160"/>
      <c r="MJA60" s="160"/>
      <c r="MJB60" s="160"/>
      <c r="MJC60" s="160"/>
      <c r="MJD60" s="160"/>
      <c r="MJE60" s="160"/>
      <c r="MJF60" s="160"/>
      <c r="MJG60" s="160"/>
      <c r="MJH60" s="160"/>
      <c r="MJI60" s="160"/>
      <c r="MJJ60" s="160"/>
      <c r="MJK60" s="160"/>
      <c r="MJL60" s="160"/>
      <c r="MJM60" s="160"/>
      <c r="MJN60" s="160"/>
      <c r="MJO60" s="160"/>
      <c r="MJP60" s="160"/>
      <c r="MJQ60" s="160"/>
      <c r="MJR60" s="160"/>
      <c r="MJS60" s="160"/>
      <c r="MJT60" s="160"/>
      <c r="MJU60" s="160"/>
      <c r="MJV60" s="160"/>
      <c r="MJW60" s="160"/>
      <c r="MJX60" s="160"/>
      <c r="MJY60" s="160"/>
      <c r="MJZ60" s="160"/>
      <c r="MKA60" s="160"/>
      <c r="MKB60" s="160"/>
      <c r="MKC60" s="160"/>
      <c r="MKD60" s="160"/>
      <c r="MKE60" s="160"/>
      <c r="MKF60" s="160"/>
      <c r="MKG60" s="160"/>
      <c r="MKH60" s="160"/>
      <c r="MKI60" s="160"/>
      <c r="MKJ60" s="160"/>
      <c r="MKK60" s="160"/>
      <c r="MKL60" s="160"/>
      <c r="MKM60" s="160"/>
      <c r="MKN60" s="160"/>
      <c r="MKO60" s="160"/>
      <c r="MKP60" s="160"/>
      <c r="MKQ60" s="160"/>
      <c r="MKR60" s="160"/>
      <c r="MKS60" s="160"/>
      <c r="MKT60" s="160"/>
      <c r="MKU60" s="160"/>
      <c r="MKV60" s="160"/>
      <c r="MKW60" s="160"/>
      <c r="MKX60" s="160"/>
      <c r="MKY60" s="160"/>
      <c r="MKZ60" s="160"/>
      <c r="MLA60" s="160"/>
      <c r="MLB60" s="160"/>
      <c r="MLC60" s="160"/>
      <c r="MLD60" s="160"/>
      <c r="MLE60" s="160"/>
      <c r="MLF60" s="160"/>
      <c r="MLG60" s="160"/>
      <c r="MLH60" s="160"/>
      <c r="MLI60" s="160"/>
      <c r="MLJ60" s="160"/>
      <c r="MLK60" s="160"/>
      <c r="MLL60" s="160"/>
      <c r="MLM60" s="160"/>
      <c r="MLN60" s="160"/>
      <c r="MLO60" s="160"/>
      <c r="MLP60" s="160"/>
      <c r="MLQ60" s="160"/>
      <c r="MLR60" s="160"/>
      <c r="MLS60" s="160"/>
      <c r="MLT60" s="160"/>
      <c r="MLU60" s="160"/>
      <c r="MLV60" s="160"/>
      <c r="MLW60" s="160"/>
      <c r="MLX60" s="160"/>
      <c r="MLY60" s="160"/>
      <c r="MLZ60" s="160"/>
      <c r="MMA60" s="160"/>
      <c r="MMB60" s="160"/>
      <c r="MMC60" s="160"/>
      <c r="MMD60" s="160"/>
      <c r="MME60" s="160"/>
      <c r="MMF60" s="160"/>
      <c r="MMG60" s="160"/>
      <c r="MMH60" s="160"/>
      <c r="MMI60" s="160"/>
      <c r="MMJ60" s="160"/>
      <c r="MMK60" s="160"/>
      <c r="MML60" s="160"/>
      <c r="MMM60" s="160"/>
      <c r="MMN60" s="160"/>
      <c r="MMO60" s="160"/>
      <c r="MMP60" s="160"/>
      <c r="MMQ60" s="160"/>
      <c r="MMR60" s="160"/>
      <c r="MMS60" s="160"/>
      <c r="MMT60" s="160"/>
      <c r="MMU60" s="160"/>
      <c r="MMV60" s="160"/>
      <c r="MMW60" s="160"/>
      <c r="MMX60" s="160"/>
      <c r="MMY60" s="160"/>
      <c r="MMZ60" s="160"/>
      <c r="MNA60" s="160"/>
      <c r="MNB60" s="160"/>
      <c r="MNC60" s="160"/>
      <c r="MND60" s="160"/>
      <c r="MNE60" s="160"/>
      <c r="MNF60" s="160"/>
      <c r="MNG60" s="160"/>
      <c r="MNH60" s="160"/>
      <c r="MNI60" s="160"/>
      <c r="MNJ60" s="160"/>
      <c r="MNK60" s="160"/>
      <c r="MNL60" s="160"/>
      <c r="MNM60" s="160"/>
      <c r="MNN60" s="160"/>
      <c r="MNO60" s="160"/>
      <c r="MNP60" s="160"/>
      <c r="MNQ60" s="160"/>
      <c r="MNR60" s="160"/>
      <c r="MNS60" s="160"/>
      <c r="MNT60" s="160"/>
      <c r="MNU60" s="160"/>
      <c r="MNV60" s="160"/>
      <c r="MNW60" s="160"/>
      <c r="MNX60" s="160"/>
      <c r="MNY60" s="160"/>
      <c r="MNZ60" s="160"/>
      <c r="MOA60" s="160"/>
      <c r="MOB60" s="160"/>
      <c r="MOC60" s="160"/>
      <c r="MOD60" s="160"/>
      <c r="MOE60" s="160"/>
      <c r="MOF60" s="160"/>
      <c r="MOG60" s="160"/>
      <c r="MOH60" s="160"/>
      <c r="MOI60" s="160"/>
      <c r="MOJ60" s="160"/>
      <c r="MOK60" s="160"/>
      <c r="MOL60" s="160"/>
      <c r="MOM60" s="160"/>
      <c r="MON60" s="160"/>
      <c r="MOO60" s="160"/>
      <c r="MOP60" s="160"/>
      <c r="MOQ60" s="160"/>
      <c r="MOR60" s="160"/>
      <c r="MOS60" s="160"/>
      <c r="MOT60" s="160"/>
      <c r="MOU60" s="160"/>
      <c r="MOV60" s="160"/>
      <c r="MOW60" s="160"/>
      <c r="MOX60" s="160"/>
      <c r="MOY60" s="160"/>
      <c r="MOZ60" s="160"/>
      <c r="MPA60" s="160"/>
      <c r="MPB60" s="160"/>
      <c r="MPC60" s="160"/>
      <c r="MPD60" s="160"/>
      <c r="MPE60" s="160"/>
      <c r="MPF60" s="160"/>
      <c r="MPG60" s="160"/>
      <c r="MPH60" s="160"/>
      <c r="MPI60" s="160"/>
      <c r="MPJ60" s="160"/>
      <c r="MPK60" s="160"/>
      <c r="MPL60" s="160"/>
      <c r="MPM60" s="160"/>
      <c r="MPN60" s="160"/>
      <c r="MPO60" s="160"/>
      <c r="MPP60" s="160"/>
      <c r="MPQ60" s="160"/>
      <c r="MPR60" s="160"/>
      <c r="MPS60" s="160"/>
      <c r="MPT60" s="160"/>
      <c r="MPU60" s="160"/>
      <c r="MPV60" s="160"/>
      <c r="MPW60" s="160"/>
      <c r="MPX60" s="160"/>
      <c r="MPY60" s="160"/>
      <c r="MPZ60" s="160"/>
      <c r="MQA60" s="160"/>
      <c r="MQB60" s="160"/>
      <c r="MQC60" s="160"/>
      <c r="MQD60" s="160"/>
      <c r="MQE60" s="160"/>
      <c r="MQF60" s="160"/>
      <c r="MQG60" s="160"/>
      <c r="MQH60" s="160"/>
      <c r="MQI60" s="160"/>
      <c r="MQJ60" s="160"/>
      <c r="MQK60" s="160"/>
      <c r="MQL60" s="160"/>
      <c r="MQM60" s="160"/>
      <c r="MQN60" s="160"/>
      <c r="MQO60" s="160"/>
      <c r="MQP60" s="160"/>
      <c r="MQQ60" s="160"/>
      <c r="MQR60" s="160"/>
      <c r="MQS60" s="160"/>
      <c r="MQT60" s="160"/>
      <c r="MQU60" s="160"/>
      <c r="MQV60" s="160"/>
      <c r="MQW60" s="160"/>
      <c r="MQX60" s="160"/>
      <c r="MQY60" s="160"/>
      <c r="MQZ60" s="160"/>
      <c r="MRA60" s="160"/>
      <c r="MRB60" s="160"/>
      <c r="MRC60" s="160"/>
      <c r="MRD60" s="160"/>
      <c r="MRE60" s="160"/>
      <c r="MRF60" s="160"/>
      <c r="MRG60" s="160"/>
      <c r="MRH60" s="160"/>
      <c r="MRI60" s="160"/>
      <c r="MRJ60" s="160"/>
      <c r="MRK60" s="160"/>
      <c r="MRL60" s="160"/>
      <c r="MRM60" s="160"/>
      <c r="MRN60" s="160"/>
      <c r="MRO60" s="160"/>
      <c r="MRP60" s="160"/>
      <c r="MRQ60" s="160"/>
      <c r="MRR60" s="160"/>
      <c r="MRS60" s="160"/>
      <c r="MRT60" s="160"/>
      <c r="MRU60" s="160"/>
      <c r="MRV60" s="160"/>
      <c r="MRW60" s="160"/>
      <c r="MRX60" s="160"/>
      <c r="MRY60" s="160"/>
      <c r="MRZ60" s="160"/>
      <c r="MSA60" s="160"/>
      <c r="MSB60" s="160"/>
      <c r="MSC60" s="160"/>
      <c r="MSD60" s="160"/>
      <c r="MSE60" s="160"/>
      <c r="MSF60" s="160"/>
      <c r="MSG60" s="160"/>
      <c r="MSH60" s="160"/>
      <c r="MSI60" s="160"/>
      <c r="MSJ60" s="160"/>
      <c r="MSK60" s="160"/>
      <c r="MSL60" s="160"/>
      <c r="MSM60" s="160"/>
      <c r="MSN60" s="160"/>
      <c r="MSO60" s="160"/>
      <c r="MSP60" s="160"/>
      <c r="MSQ60" s="160"/>
      <c r="MSR60" s="160"/>
      <c r="MSS60" s="160"/>
      <c r="MST60" s="160"/>
      <c r="MSU60" s="160"/>
      <c r="MSV60" s="160"/>
      <c r="MSW60" s="160"/>
      <c r="MSX60" s="160"/>
      <c r="MSY60" s="160"/>
      <c r="MSZ60" s="160"/>
      <c r="MTA60" s="160"/>
      <c r="MTB60" s="160"/>
      <c r="MTC60" s="160"/>
      <c r="MTD60" s="160"/>
      <c r="MTE60" s="160"/>
      <c r="MTF60" s="160"/>
      <c r="MTG60" s="160"/>
      <c r="MTH60" s="160"/>
      <c r="MTI60" s="160"/>
      <c r="MTJ60" s="160"/>
      <c r="MTK60" s="160"/>
      <c r="MTL60" s="160"/>
      <c r="MTM60" s="160"/>
      <c r="MTN60" s="160"/>
      <c r="MTO60" s="160"/>
      <c r="MTP60" s="160"/>
      <c r="MTQ60" s="160"/>
      <c r="MTR60" s="160"/>
      <c r="MTS60" s="160"/>
      <c r="MTT60" s="160"/>
      <c r="MTU60" s="160"/>
      <c r="MTV60" s="160"/>
      <c r="MTW60" s="160"/>
      <c r="MTX60" s="160"/>
      <c r="MTY60" s="160"/>
      <c r="MTZ60" s="160"/>
      <c r="MUA60" s="160"/>
      <c r="MUB60" s="160"/>
      <c r="MUC60" s="160"/>
      <c r="MUD60" s="160"/>
      <c r="MUE60" s="160"/>
      <c r="MUF60" s="160"/>
      <c r="MUG60" s="160"/>
      <c r="MUH60" s="160"/>
      <c r="MUI60" s="160"/>
      <c r="MUJ60" s="160"/>
      <c r="MUK60" s="160"/>
      <c r="MUL60" s="160"/>
      <c r="MUM60" s="160"/>
      <c r="MUN60" s="160"/>
      <c r="MUO60" s="160"/>
      <c r="MUP60" s="160"/>
      <c r="MUQ60" s="160"/>
      <c r="MUR60" s="160"/>
      <c r="MUS60" s="160"/>
      <c r="MUT60" s="160"/>
      <c r="MUU60" s="160"/>
      <c r="MUV60" s="160"/>
      <c r="MUW60" s="160"/>
      <c r="MUX60" s="160"/>
      <c r="MUY60" s="160"/>
      <c r="MUZ60" s="160"/>
      <c r="MVA60" s="160"/>
      <c r="MVB60" s="160"/>
      <c r="MVC60" s="160"/>
      <c r="MVD60" s="160"/>
      <c r="MVE60" s="160"/>
      <c r="MVF60" s="160"/>
      <c r="MVG60" s="160"/>
      <c r="MVH60" s="160"/>
      <c r="MVI60" s="160"/>
      <c r="MVJ60" s="160"/>
      <c r="MVK60" s="160"/>
      <c r="MVL60" s="160"/>
      <c r="MVM60" s="160"/>
      <c r="MVN60" s="160"/>
      <c r="MVO60" s="160"/>
      <c r="MVP60" s="160"/>
      <c r="MVQ60" s="160"/>
      <c r="MVR60" s="160"/>
      <c r="MVS60" s="160"/>
      <c r="MVT60" s="160"/>
      <c r="MVU60" s="160"/>
      <c r="MVV60" s="160"/>
      <c r="MVW60" s="160"/>
      <c r="MVX60" s="160"/>
      <c r="MVY60" s="160"/>
      <c r="MVZ60" s="160"/>
      <c r="MWA60" s="160"/>
      <c r="MWB60" s="160"/>
      <c r="MWC60" s="160"/>
      <c r="MWD60" s="160"/>
      <c r="MWE60" s="160"/>
      <c r="MWF60" s="160"/>
      <c r="MWG60" s="160"/>
      <c r="MWH60" s="160"/>
      <c r="MWI60" s="160"/>
      <c r="MWJ60" s="160"/>
      <c r="MWK60" s="160"/>
      <c r="MWL60" s="160"/>
      <c r="MWM60" s="160"/>
      <c r="MWN60" s="160"/>
      <c r="MWO60" s="160"/>
      <c r="MWP60" s="160"/>
      <c r="MWQ60" s="160"/>
      <c r="MWR60" s="160"/>
      <c r="MWS60" s="160"/>
      <c r="MWT60" s="160"/>
      <c r="MWU60" s="160"/>
      <c r="MWV60" s="160"/>
      <c r="MWW60" s="160"/>
      <c r="MWX60" s="160"/>
      <c r="MWY60" s="160"/>
      <c r="MWZ60" s="160"/>
      <c r="MXA60" s="160"/>
      <c r="MXB60" s="160"/>
      <c r="MXC60" s="160"/>
      <c r="MXD60" s="160"/>
      <c r="MXE60" s="160"/>
      <c r="MXF60" s="160"/>
      <c r="MXG60" s="160"/>
      <c r="MXH60" s="160"/>
      <c r="MXI60" s="160"/>
      <c r="MXJ60" s="160"/>
      <c r="MXK60" s="160"/>
      <c r="MXL60" s="160"/>
      <c r="MXM60" s="160"/>
      <c r="MXN60" s="160"/>
      <c r="MXO60" s="160"/>
      <c r="MXP60" s="160"/>
      <c r="MXQ60" s="160"/>
      <c r="MXR60" s="160"/>
      <c r="MXS60" s="160"/>
      <c r="MXT60" s="160"/>
      <c r="MXU60" s="160"/>
      <c r="MXV60" s="160"/>
      <c r="MXW60" s="160"/>
      <c r="MXX60" s="160"/>
      <c r="MXY60" s="160"/>
      <c r="MXZ60" s="160"/>
      <c r="MYA60" s="160"/>
      <c r="MYB60" s="160"/>
      <c r="MYC60" s="160"/>
      <c r="MYD60" s="160"/>
      <c r="MYE60" s="160"/>
      <c r="MYF60" s="160"/>
      <c r="MYG60" s="160"/>
      <c r="MYH60" s="160"/>
      <c r="MYI60" s="160"/>
      <c r="MYJ60" s="160"/>
      <c r="MYK60" s="160"/>
      <c r="MYL60" s="160"/>
      <c r="MYM60" s="160"/>
      <c r="MYN60" s="160"/>
      <c r="MYO60" s="160"/>
      <c r="MYP60" s="160"/>
      <c r="MYQ60" s="160"/>
      <c r="MYR60" s="160"/>
      <c r="MYS60" s="160"/>
      <c r="MYT60" s="160"/>
      <c r="MYU60" s="160"/>
      <c r="MYV60" s="160"/>
      <c r="MYW60" s="160"/>
      <c r="MYX60" s="160"/>
      <c r="MYY60" s="160"/>
      <c r="MYZ60" s="160"/>
      <c r="MZA60" s="160"/>
      <c r="MZB60" s="160"/>
      <c r="MZC60" s="160"/>
      <c r="MZD60" s="160"/>
      <c r="MZE60" s="160"/>
      <c r="MZF60" s="160"/>
      <c r="MZG60" s="160"/>
      <c r="MZH60" s="160"/>
      <c r="MZI60" s="160"/>
      <c r="MZJ60" s="160"/>
      <c r="MZK60" s="160"/>
      <c r="MZL60" s="160"/>
      <c r="MZM60" s="160"/>
      <c r="MZN60" s="160"/>
      <c r="MZO60" s="160"/>
      <c r="MZP60" s="160"/>
      <c r="MZQ60" s="160"/>
      <c r="MZR60" s="160"/>
      <c r="MZS60" s="160"/>
      <c r="MZT60" s="160"/>
      <c r="MZU60" s="160"/>
      <c r="MZV60" s="160"/>
      <c r="MZW60" s="160"/>
      <c r="MZX60" s="160"/>
      <c r="MZY60" s="160"/>
      <c r="MZZ60" s="160"/>
      <c r="NAA60" s="160"/>
      <c r="NAB60" s="160"/>
      <c r="NAC60" s="160"/>
      <c r="NAD60" s="160"/>
      <c r="NAE60" s="160"/>
      <c r="NAF60" s="160"/>
      <c r="NAG60" s="160"/>
      <c r="NAH60" s="160"/>
      <c r="NAI60" s="160"/>
      <c r="NAJ60" s="160"/>
      <c r="NAK60" s="160"/>
      <c r="NAL60" s="160"/>
      <c r="NAM60" s="160"/>
      <c r="NAN60" s="160"/>
      <c r="NAO60" s="160"/>
      <c r="NAP60" s="160"/>
      <c r="NAQ60" s="160"/>
      <c r="NAR60" s="160"/>
      <c r="NAS60" s="160"/>
      <c r="NAT60" s="160"/>
      <c r="NAU60" s="160"/>
      <c r="NAV60" s="160"/>
      <c r="NAW60" s="160"/>
      <c r="NAX60" s="160"/>
      <c r="NAY60" s="160"/>
      <c r="NAZ60" s="160"/>
      <c r="NBA60" s="160"/>
      <c r="NBB60" s="160"/>
      <c r="NBC60" s="160"/>
      <c r="NBD60" s="160"/>
      <c r="NBE60" s="160"/>
      <c r="NBF60" s="160"/>
      <c r="NBG60" s="160"/>
      <c r="NBH60" s="160"/>
      <c r="NBI60" s="160"/>
      <c r="NBJ60" s="160"/>
      <c r="NBK60" s="160"/>
      <c r="NBL60" s="160"/>
      <c r="NBM60" s="160"/>
      <c r="NBN60" s="160"/>
      <c r="NBO60" s="160"/>
      <c r="NBP60" s="160"/>
      <c r="NBQ60" s="160"/>
      <c r="NBR60" s="160"/>
      <c r="NBS60" s="160"/>
      <c r="NBT60" s="160"/>
      <c r="NBU60" s="160"/>
      <c r="NBV60" s="160"/>
      <c r="NBW60" s="160"/>
      <c r="NBX60" s="160"/>
      <c r="NBY60" s="160"/>
      <c r="NBZ60" s="160"/>
      <c r="NCA60" s="160"/>
      <c r="NCB60" s="160"/>
      <c r="NCC60" s="160"/>
      <c r="NCD60" s="160"/>
      <c r="NCE60" s="160"/>
      <c r="NCF60" s="160"/>
      <c r="NCG60" s="160"/>
      <c r="NCH60" s="160"/>
      <c r="NCI60" s="160"/>
      <c r="NCJ60" s="160"/>
      <c r="NCK60" s="160"/>
      <c r="NCL60" s="160"/>
      <c r="NCM60" s="160"/>
      <c r="NCN60" s="160"/>
      <c r="NCO60" s="160"/>
      <c r="NCP60" s="160"/>
      <c r="NCQ60" s="160"/>
      <c r="NCR60" s="160"/>
      <c r="NCS60" s="160"/>
      <c r="NCT60" s="160"/>
      <c r="NCU60" s="160"/>
      <c r="NCV60" s="160"/>
      <c r="NCW60" s="160"/>
      <c r="NCX60" s="160"/>
      <c r="NCY60" s="160"/>
      <c r="NCZ60" s="160"/>
      <c r="NDA60" s="160"/>
      <c r="NDB60" s="160"/>
      <c r="NDC60" s="160"/>
      <c r="NDD60" s="160"/>
      <c r="NDE60" s="160"/>
      <c r="NDF60" s="160"/>
      <c r="NDG60" s="160"/>
      <c r="NDH60" s="160"/>
      <c r="NDI60" s="160"/>
      <c r="NDJ60" s="160"/>
      <c r="NDK60" s="160"/>
      <c r="NDL60" s="160"/>
      <c r="NDM60" s="160"/>
      <c r="NDN60" s="160"/>
      <c r="NDO60" s="160"/>
      <c r="NDP60" s="160"/>
      <c r="NDQ60" s="160"/>
      <c r="NDR60" s="160"/>
      <c r="NDS60" s="160"/>
      <c r="NDT60" s="160"/>
      <c r="NDU60" s="160"/>
      <c r="NDV60" s="160"/>
      <c r="NDW60" s="160"/>
      <c r="NDX60" s="160"/>
      <c r="NDY60" s="160"/>
      <c r="NDZ60" s="160"/>
      <c r="NEA60" s="160"/>
      <c r="NEB60" s="160"/>
      <c r="NEC60" s="160"/>
      <c r="NED60" s="160"/>
      <c r="NEE60" s="160"/>
      <c r="NEF60" s="160"/>
      <c r="NEG60" s="160"/>
      <c r="NEH60" s="160"/>
      <c r="NEI60" s="160"/>
      <c r="NEJ60" s="160"/>
      <c r="NEK60" s="160"/>
      <c r="NEL60" s="160"/>
      <c r="NEM60" s="160"/>
      <c r="NEN60" s="160"/>
      <c r="NEO60" s="160"/>
      <c r="NEP60" s="160"/>
      <c r="NEQ60" s="160"/>
      <c r="NER60" s="160"/>
      <c r="NES60" s="160"/>
      <c r="NET60" s="160"/>
      <c r="NEU60" s="160"/>
      <c r="NEV60" s="160"/>
      <c r="NEW60" s="160"/>
      <c r="NEX60" s="160"/>
      <c r="NEY60" s="160"/>
      <c r="NEZ60" s="160"/>
      <c r="NFA60" s="160"/>
      <c r="NFB60" s="160"/>
      <c r="NFC60" s="160"/>
      <c r="NFD60" s="160"/>
      <c r="NFE60" s="160"/>
      <c r="NFF60" s="160"/>
      <c r="NFG60" s="160"/>
      <c r="NFH60" s="160"/>
      <c r="NFI60" s="160"/>
      <c r="NFJ60" s="160"/>
      <c r="NFK60" s="160"/>
      <c r="NFL60" s="160"/>
      <c r="NFM60" s="160"/>
      <c r="NFN60" s="160"/>
      <c r="NFO60" s="160"/>
      <c r="NFP60" s="160"/>
      <c r="NFQ60" s="160"/>
      <c r="NFR60" s="160"/>
      <c r="NFS60" s="160"/>
      <c r="NFT60" s="160"/>
      <c r="NFU60" s="160"/>
      <c r="NFV60" s="160"/>
      <c r="NFW60" s="160"/>
      <c r="NFX60" s="160"/>
      <c r="NFY60" s="160"/>
      <c r="NFZ60" s="160"/>
      <c r="NGA60" s="160"/>
      <c r="NGB60" s="160"/>
      <c r="NGC60" s="160"/>
      <c r="NGD60" s="160"/>
      <c r="NGE60" s="160"/>
      <c r="NGF60" s="160"/>
      <c r="NGG60" s="160"/>
      <c r="NGH60" s="160"/>
      <c r="NGI60" s="160"/>
      <c r="NGJ60" s="160"/>
      <c r="NGK60" s="160"/>
      <c r="NGL60" s="160"/>
      <c r="NGM60" s="160"/>
      <c r="NGN60" s="160"/>
      <c r="NGO60" s="160"/>
      <c r="NGP60" s="160"/>
      <c r="NGQ60" s="160"/>
      <c r="NGR60" s="160"/>
      <c r="NGS60" s="160"/>
      <c r="NGT60" s="160"/>
      <c r="NGU60" s="160"/>
      <c r="NGV60" s="160"/>
      <c r="NGW60" s="160"/>
      <c r="NGX60" s="160"/>
      <c r="NGY60" s="160"/>
      <c r="NGZ60" s="160"/>
      <c r="NHA60" s="160"/>
      <c r="NHB60" s="160"/>
      <c r="NHC60" s="160"/>
      <c r="NHD60" s="160"/>
      <c r="NHE60" s="160"/>
      <c r="NHF60" s="160"/>
      <c r="NHG60" s="160"/>
      <c r="NHH60" s="160"/>
      <c r="NHI60" s="160"/>
      <c r="NHJ60" s="160"/>
      <c r="NHK60" s="160"/>
      <c r="NHL60" s="160"/>
      <c r="NHM60" s="160"/>
      <c r="NHN60" s="160"/>
      <c r="NHO60" s="160"/>
      <c r="NHP60" s="160"/>
      <c r="NHQ60" s="160"/>
      <c r="NHR60" s="160"/>
      <c r="NHS60" s="160"/>
      <c r="NHT60" s="160"/>
      <c r="NHU60" s="160"/>
      <c r="NHV60" s="160"/>
      <c r="NHW60" s="160"/>
      <c r="NHX60" s="160"/>
      <c r="NHY60" s="160"/>
      <c r="NHZ60" s="160"/>
      <c r="NIA60" s="160"/>
      <c r="NIB60" s="160"/>
      <c r="NIC60" s="160"/>
      <c r="NID60" s="160"/>
      <c r="NIE60" s="160"/>
      <c r="NIF60" s="160"/>
      <c r="NIG60" s="160"/>
      <c r="NIH60" s="160"/>
      <c r="NII60" s="160"/>
      <c r="NIJ60" s="160"/>
      <c r="NIK60" s="160"/>
      <c r="NIL60" s="160"/>
      <c r="NIM60" s="160"/>
      <c r="NIN60" s="160"/>
      <c r="NIO60" s="160"/>
      <c r="NIP60" s="160"/>
      <c r="NIQ60" s="160"/>
      <c r="NIR60" s="160"/>
      <c r="NIS60" s="160"/>
      <c r="NIT60" s="160"/>
      <c r="NIU60" s="160"/>
      <c r="NIV60" s="160"/>
      <c r="NIW60" s="160"/>
      <c r="NIX60" s="160"/>
      <c r="NIY60" s="160"/>
      <c r="NIZ60" s="160"/>
      <c r="NJA60" s="160"/>
      <c r="NJB60" s="160"/>
      <c r="NJC60" s="160"/>
      <c r="NJD60" s="160"/>
      <c r="NJE60" s="160"/>
      <c r="NJF60" s="160"/>
      <c r="NJG60" s="160"/>
      <c r="NJH60" s="160"/>
      <c r="NJI60" s="160"/>
      <c r="NJJ60" s="160"/>
      <c r="NJK60" s="160"/>
      <c r="NJL60" s="160"/>
      <c r="NJM60" s="160"/>
      <c r="NJN60" s="160"/>
      <c r="NJO60" s="160"/>
      <c r="NJP60" s="160"/>
      <c r="NJQ60" s="160"/>
      <c r="NJR60" s="160"/>
      <c r="NJS60" s="160"/>
      <c r="NJT60" s="160"/>
      <c r="NJU60" s="160"/>
      <c r="NJV60" s="160"/>
      <c r="NJW60" s="160"/>
      <c r="NJX60" s="160"/>
      <c r="NJY60" s="160"/>
      <c r="NJZ60" s="160"/>
      <c r="NKA60" s="160"/>
      <c r="NKB60" s="160"/>
      <c r="NKC60" s="160"/>
      <c r="NKD60" s="160"/>
      <c r="NKE60" s="160"/>
      <c r="NKF60" s="160"/>
      <c r="NKG60" s="160"/>
      <c r="NKH60" s="160"/>
      <c r="NKI60" s="160"/>
      <c r="NKJ60" s="160"/>
      <c r="NKK60" s="160"/>
      <c r="NKL60" s="160"/>
      <c r="NKM60" s="160"/>
      <c r="NKN60" s="160"/>
      <c r="NKO60" s="160"/>
      <c r="NKP60" s="160"/>
      <c r="NKQ60" s="160"/>
      <c r="NKR60" s="160"/>
      <c r="NKS60" s="160"/>
      <c r="NKT60" s="160"/>
      <c r="NKU60" s="160"/>
      <c r="NKV60" s="160"/>
      <c r="NKW60" s="160"/>
      <c r="NKX60" s="160"/>
      <c r="NKY60" s="160"/>
      <c r="NKZ60" s="160"/>
      <c r="NLA60" s="160"/>
      <c r="NLB60" s="160"/>
      <c r="NLC60" s="160"/>
      <c r="NLD60" s="160"/>
      <c r="NLE60" s="160"/>
      <c r="NLF60" s="160"/>
      <c r="NLG60" s="160"/>
      <c r="NLH60" s="160"/>
      <c r="NLI60" s="160"/>
      <c r="NLJ60" s="160"/>
      <c r="NLK60" s="160"/>
      <c r="NLL60" s="160"/>
      <c r="NLM60" s="160"/>
      <c r="NLN60" s="160"/>
      <c r="NLO60" s="160"/>
      <c r="NLP60" s="160"/>
      <c r="NLQ60" s="160"/>
      <c r="NLR60" s="160"/>
      <c r="NLS60" s="160"/>
      <c r="NLT60" s="160"/>
      <c r="NLU60" s="160"/>
      <c r="NLV60" s="160"/>
      <c r="NLW60" s="160"/>
      <c r="NLX60" s="160"/>
      <c r="NLY60" s="160"/>
      <c r="NLZ60" s="160"/>
      <c r="NMA60" s="160"/>
      <c r="NMB60" s="160"/>
      <c r="NMC60" s="160"/>
      <c r="NMD60" s="160"/>
      <c r="NME60" s="160"/>
      <c r="NMF60" s="160"/>
      <c r="NMG60" s="160"/>
      <c r="NMH60" s="160"/>
      <c r="NMI60" s="160"/>
      <c r="NMJ60" s="160"/>
      <c r="NMK60" s="160"/>
      <c r="NML60" s="160"/>
      <c r="NMM60" s="160"/>
      <c r="NMN60" s="160"/>
      <c r="NMO60" s="160"/>
      <c r="NMP60" s="160"/>
      <c r="NMQ60" s="160"/>
      <c r="NMR60" s="160"/>
      <c r="NMS60" s="160"/>
      <c r="NMT60" s="160"/>
      <c r="NMU60" s="160"/>
      <c r="NMV60" s="160"/>
      <c r="NMW60" s="160"/>
      <c r="NMX60" s="160"/>
      <c r="NMY60" s="160"/>
      <c r="NMZ60" s="160"/>
      <c r="NNA60" s="160"/>
      <c r="NNB60" s="160"/>
      <c r="NNC60" s="160"/>
      <c r="NND60" s="160"/>
      <c r="NNE60" s="160"/>
      <c r="NNF60" s="160"/>
      <c r="NNG60" s="160"/>
      <c r="NNH60" s="160"/>
      <c r="NNI60" s="160"/>
      <c r="NNJ60" s="160"/>
      <c r="NNK60" s="160"/>
      <c r="NNL60" s="160"/>
      <c r="NNM60" s="160"/>
      <c r="NNN60" s="160"/>
      <c r="NNO60" s="160"/>
      <c r="NNP60" s="160"/>
      <c r="NNQ60" s="160"/>
      <c r="NNR60" s="160"/>
      <c r="NNS60" s="160"/>
      <c r="NNT60" s="160"/>
      <c r="NNU60" s="160"/>
      <c r="NNV60" s="160"/>
      <c r="NNW60" s="160"/>
      <c r="NNX60" s="160"/>
      <c r="NNY60" s="160"/>
      <c r="NNZ60" s="160"/>
      <c r="NOA60" s="160"/>
      <c r="NOB60" s="160"/>
      <c r="NOC60" s="160"/>
      <c r="NOD60" s="160"/>
      <c r="NOE60" s="160"/>
      <c r="NOF60" s="160"/>
      <c r="NOG60" s="160"/>
      <c r="NOH60" s="160"/>
      <c r="NOI60" s="160"/>
      <c r="NOJ60" s="160"/>
      <c r="NOK60" s="160"/>
      <c r="NOL60" s="160"/>
      <c r="NOM60" s="160"/>
      <c r="NON60" s="160"/>
      <c r="NOO60" s="160"/>
      <c r="NOP60" s="160"/>
      <c r="NOQ60" s="160"/>
      <c r="NOR60" s="160"/>
      <c r="NOS60" s="160"/>
      <c r="NOT60" s="160"/>
      <c r="NOU60" s="160"/>
      <c r="NOV60" s="160"/>
      <c r="NOW60" s="160"/>
      <c r="NOX60" s="160"/>
      <c r="NOY60" s="160"/>
      <c r="NOZ60" s="160"/>
      <c r="NPA60" s="160"/>
      <c r="NPB60" s="160"/>
      <c r="NPC60" s="160"/>
      <c r="NPD60" s="160"/>
      <c r="NPE60" s="160"/>
      <c r="NPF60" s="160"/>
      <c r="NPG60" s="160"/>
      <c r="NPH60" s="160"/>
      <c r="NPI60" s="160"/>
      <c r="NPJ60" s="160"/>
      <c r="NPK60" s="160"/>
      <c r="NPL60" s="160"/>
      <c r="NPM60" s="160"/>
      <c r="NPN60" s="160"/>
      <c r="NPO60" s="160"/>
      <c r="NPP60" s="160"/>
      <c r="NPQ60" s="160"/>
      <c r="NPR60" s="160"/>
      <c r="NPS60" s="160"/>
      <c r="NPT60" s="160"/>
      <c r="NPU60" s="160"/>
      <c r="NPV60" s="160"/>
      <c r="NPW60" s="160"/>
      <c r="NPX60" s="160"/>
      <c r="NPY60" s="160"/>
      <c r="NPZ60" s="160"/>
      <c r="NQA60" s="160"/>
      <c r="NQB60" s="160"/>
      <c r="NQC60" s="160"/>
      <c r="NQD60" s="160"/>
      <c r="NQE60" s="160"/>
      <c r="NQF60" s="160"/>
      <c r="NQG60" s="160"/>
      <c r="NQH60" s="160"/>
      <c r="NQI60" s="160"/>
      <c r="NQJ60" s="160"/>
      <c r="NQK60" s="160"/>
      <c r="NQL60" s="160"/>
      <c r="NQM60" s="160"/>
      <c r="NQN60" s="160"/>
      <c r="NQO60" s="160"/>
      <c r="NQP60" s="160"/>
      <c r="NQQ60" s="160"/>
      <c r="NQR60" s="160"/>
      <c r="NQS60" s="160"/>
      <c r="NQT60" s="160"/>
      <c r="NQU60" s="160"/>
      <c r="NQV60" s="160"/>
      <c r="NQW60" s="160"/>
      <c r="NQX60" s="160"/>
      <c r="NQY60" s="160"/>
      <c r="NQZ60" s="160"/>
      <c r="NRA60" s="160"/>
      <c r="NRB60" s="160"/>
      <c r="NRC60" s="160"/>
      <c r="NRD60" s="160"/>
      <c r="NRE60" s="160"/>
      <c r="NRF60" s="160"/>
      <c r="NRG60" s="160"/>
      <c r="NRH60" s="160"/>
      <c r="NRI60" s="160"/>
      <c r="NRJ60" s="160"/>
      <c r="NRK60" s="160"/>
      <c r="NRL60" s="160"/>
      <c r="NRM60" s="160"/>
      <c r="NRN60" s="160"/>
      <c r="NRO60" s="160"/>
      <c r="NRP60" s="160"/>
      <c r="NRQ60" s="160"/>
      <c r="NRR60" s="160"/>
      <c r="NRS60" s="160"/>
      <c r="NRT60" s="160"/>
      <c r="NRU60" s="160"/>
      <c r="NRV60" s="160"/>
      <c r="NRW60" s="160"/>
      <c r="NRX60" s="160"/>
      <c r="NRY60" s="160"/>
      <c r="NRZ60" s="160"/>
      <c r="NSA60" s="160"/>
      <c r="NSB60" s="160"/>
      <c r="NSC60" s="160"/>
      <c r="NSD60" s="160"/>
      <c r="NSE60" s="160"/>
      <c r="NSF60" s="160"/>
      <c r="NSG60" s="160"/>
      <c r="NSH60" s="160"/>
      <c r="NSI60" s="160"/>
      <c r="NSJ60" s="160"/>
      <c r="NSK60" s="160"/>
      <c r="NSL60" s="160"/>
      <c r="NSM60" s="160"/>
      <c r="NSN60" s="160"/>
      <c r="NSO60" s="160"/>
      <c r="NSP60" s="160"/>
      <c r="NSQ60" s="160"/>
      <c r="NSR60" s="160"/>
      <c r="NSS60" s="160"/>
      <c r="NST60" s="160"/>
      <c r="NSU60" s="160"/>
      <c r="NSV60" s="160"/>
      <c r="NSW60" s="160"/>
      <c r="NSX60" s="160"/>
      <c r="NSY60" s="160"/>
      <c r="NSZ60" s="160"/>
      <c r="NTA60" s="160"/>
      <c r="NTB60" s="160"/>
      <c r="NTC60" s="160"/>
      <c r="NTD60" s="160"/>
      <c r="NTE60" s="160"/>
      <c r="NTF60" s="160"/>
      <c r="NTG60" s="160"/>
      <c r="NTH60" s="160"/>
      <c r="NTI60" s="160"/>
      <c r="NTJ60" s="160"/>
      <c r="NTK60" s="160"/>
      <c r="NTL60" s="160"/>
      <c r="NTM60" s="160"/>
      <c r="NTN60" s="160"/>
      <c r="NTO60" s="160"/>
      <c r="NTP60" s="160"/>
      <c r="NTQ60" s="160"/>
      <c r="NTR60" s="160"/>
      <c r="NTS60" s="160"/>
      <c r="NTT60" s="160"/>
      <c r="NTU60" s="160"/>
      <c r="NTV60" s="160"/>
      <c r="NTW60" s="160"/>
      <c r="NTX60" s="160"/>
      <c r="NTY60" s="160"/>
      <c r="NTZ60" s="160"/>
      <c r="NUA60" s="160"/>
      <c r="NUB60" s="160"/>
      <c r="NUC60" s="160"/>
      <c r="NUD60" s="160"/>
      <c r="NUE60" s="160"/>
      <c r="NUF60" s="160"/>
      <c r="NUG60" s="160"/>
      <c r="NUH60" s="160"/>
      <c r="NUI60" s="160"/>
      <c r="NUJ60" s="160"/>
      <c r="NUK60" s="160"/>
      <c r="NUL60" s="160"/>
      <c r="NUM60" s="160"/>
      <c r="NUN60" s="160"/>
      <c r="NUO60" s="160"/>
      <c r="NUP60" s="160"/>
      <c r="NUQ60" s="160"/>
      <c r="NUR60" s="160"/>
      <c r="NUS60" s="160"/>
      <c r="NUT60" s="160"/>
      <c r="NUU60" s="160"/>
      <c r="NUV60" s="160"/>
      <c r="NUW60" s="160"/>
      <c r="NUX60" s="160"/>
      <c r="NUY60" s="160"/>
      <c r="NUZ60" s="160"/>
      <c r="NVA60" s="160"/>
      <c r="NVB60" s="160"/>
      <c r="NVC60" s="160"/>
      <c r="NVD60" s="160"/>
      <c r="NVE60" s="160"/>
      <c r="NVF60" s="160"/>
      <c r="NVG60" s="160"/>
      <c r="NVH60" s="160"/>
      <c r="NVI60" s="160"/>
      <c r="NVJ60" s="160"/>
      <c r="NVK60" s="160"/>
      <c r="NVL60" s="160"/>
      <c r="NVM60" s="160"/>
      <c r="NVN60" s="160"/>
      <c r="NVO60" s="160"/>
      <c r="NVP60" s="160"/>
      <c r="NVQ60" s="160"/>
      <c r="NVR60" s="160"/>
      <c r="NVS60" s="160"/>
      <c r="NVT60" s="160"/>
      <c r="NVU60" s="160"/>
      <c r="NVV60" s="160"/>
      <c r="NVW60" s="160"/>
      <c r="NVX60" s="160"/>
      <c r="NVY60" s="160"/>
      <c r="NVZ60" s="160"/>
      <c r="NWA60" s="160"/>
      <c r="NWB60" s="160"/>
      <c r="NWC60" s="160"/>
      <c r="NWD60" s="160"/>
      <c r="NWE60" s="160"/>
      <c r="NWF60" s="160"/>
      <c r="NWG60" s="160"/>
      <c r="NWH60" s="160"/>
      <c r="NWI60" s="160"/>
      <c r="NWJ60" s="160"/>
      <c r="NWK60" s="160"/>
      <c r="NWL60" s="160"/>
      <c r="NWM60" s="160"/>
      <c r="NWN60" s="160"/>
      <c r="NWO60" s="160"/>
      <c r="NWP60" s="160"/>
      <c r="NWQ60" s="160"/>
      <c r="NWR60" s="160"/>
      <c r="NWS60" s="160"/>
      <c r="NWT60" s="160"/>
      <c r="NWU60" s="160"/>
      <c r="NWV60" s="160"/>
      <c r="NWW60" s="160"/>
      <c r="NWX60" s="160"/>
      <c r="NWY60" s="160"/>
      <c r="NWZ60" s="160"/>
      <c r="NXA60" s="160"/>
      <c r="NXB60" s="160"/>
      <c r="NXC60" s="160"/>
      <c r="NXD60" s="160"/>
      <c r="NXE60" s="160"/>
      <c r="NXF60" s="160"/>
      <c r="NXG60" s="160"/>
      <c r="NXH60" s="160"/>
      <c r="NXI60" s="160"/>
      <c r="NXJ60" s="160"/>
      <c r="NXK60" s="160"/>
      <c r="NXL60" s="160"/>
      <c r="NXM60" s="160"/>
      <c r="NXN60" s="160"/>
      <c r="NXO60" s="160"/>
      <c r="NXP60" s="160"/>
      <c r="NXQ60" s="160"/>
      <c r="NXR60" s="160"/>
      <c r="NXS60" s="160"/>
      <c r="NXT60" s="160"/>
      <c r="NXU60" s="160"/>
      <c r="NXV60" s="160"/>
      <c r="NXW60" s="160"/>
      <c r="NXX60" s="160"/>
      <c r="NXY60" s="160"/>
      <c r="NXZ60" s="160"/>
      <c r="NYA60" s="160"/>
      <c r="NYB60" s="160"/>
      <c r="NYC60" s="160"/>
      <c r="NYD60" s="160"/>
      <c r="NYE60" s="160"/>
      <c r="NYF60" s="160"/>
      <c r="NYG60" s="160"/>
      <c r="NYH60" s="160"/>
      <c r="NYI60" s="160"/>
      <c r="NYJ60" s="160"/>
      <c r="NYK60" s="160"/>
      <c r="NYL60" s="160"/>
      <c r="NYM60" s="160"/>
      <c r="NYN60" s="160"/>
      <c r="NYO60" s="160"/>
      <c r="NYP60" s="160"/>
      <c r="NYQ60" s="160"/>
      <c r="NYR60" s="160"/>
      <c r="NYS60" s="160"/>
      <c r="NYT60" s="160"/>
      <c r="NYU60" s="160"/>
      <c r="NYV60" s="160"/>
      <c r="NYW60" s="160"/>
      <c r="NYX60" s="160"/>
      <c r="NYY60" s="160"/>
      <c r="NYZ60" s="160"/>
      <c r="NZA60" s="160"/>
      <c r="NZB60" s="160"/>
      <c r="NZC60" s="160"/>
      <c r="NZD60" s="160"/>
      <c r="NZE60" s="160"/>
      <c r="NZF60" s="160"/>
      <c r="NZG60" s="160"/>
      <c r="NZH60" s="160"/>
      <c r="NZI60" s="160"/>
      <c r="NZJ60" s="160"/>
      <c r="NZK60" s="160"/>
      <c r="NZL60" s="160"/>
      <c r="NZM60" s="160"/>
      <c r="NZN60" s="160"/>
      <c r="NZO60" s="160"/>
      <c r="NZP60" s="160"/>
      <c r="NZQ60" s="160"/>
      <c r="NZR60" s="160"/>
      <c r="NZS60" s="160"/>
      <c r="NZT60" s="160"/>
      <c r="NZU60" s="160"/>
      <c r="NZV60" s="160"/>
      <c r="NZW60" s="160"/>
      <c r="NZX60" s="160"/>
      <c r="NZY60" s="160"/>
      <c r="NZZ60" s="160"/>
      <c r="OAA60" s="160"/>
      <c r="OAB60" s="160"/>
      <c r="OAC60" s="160"/>
      <c r="OAD60" s="160"/>
      <c r="OAE60" s="160"/>
      <c r="OAF60" s="160"/>
      <c r="OAG60" s="160"/>
      <c r="OAH60" s="160"/>
      <c r="OAI60" s="160"/>
      <c r="OAJ60" s="160"/>
      <c r="OAK60" s="160"/>
      <c r="OAL60" s="160"/>
      <c r="OAM60" s="160"/>
      <c r="OAN60" s="160"/>
      <c r="OAO60" s="160"/>
      <c r="OAP60" s="160"/>
      <c r="OAQ60" s="160"/>
      <c r="OAR60" s="160"/>
      <c r="OAS60" s="160"/>
      <c r="OAT60" s="160"/>
      <c r="OAU60" s="160"/>
      <c r="OAV60" s="160"/>
      <c r="OAW60" s="160"/>
      <c r="OAX60" s="160"/>
      <c r="OAY60" s="160"/>
      <c r="OAZ60" s="160"/>
      <c r="OBA60" s="160"/>
      <c r="OBB60" s="160"/>
      <c r="OBC60" s="160"/>
      <c r="OBD60" s="160"/>
      <c r="OBE60" s="160"/>
      <c r="OBF60" s="160"/>
      <c r="OBG60" s="160"/>
      <c r="OBH60" s="160"/>
      <c r="OBI60" s="160"/>
      <c r="OBJ60" s="160"/>
      <c r="OBK60" s="160"/>
      <c r="OBL60" s="160"/>
      <c r="OBM60" s="160"/>
      <c r="OBN60" s="160"/>
      <c r="OBO60" s="160"/>
      <c r="OBP60" s="160"/>
      <c r="OBQ60" s="160"/>
      <c r="OBR60" s="160"/>
      <c r="OBS60" s="160"/>
      <c r="OBT60" s="160"/>
      <c r="OBU60" s="160"/>
      <c r="OBV60" s="160"/>
      <c r="OBW60" s="160"/>
      <c r="OBX60" s="160"/>
      <c r="OBY60" s="160"/>
      <c r="OBZ60" s="160"/>
      <c r="OCA60" s="160"/>
      <c r="OCB60" s="160"/>
      <c r="OCC60" s="160"/>
      <c r="OCD60" s="160"/>
      <c r="OCE60" s="160"/>
      <c r="OCF60" s="160"/>
      <c r="OCG60" s="160"/>
      <c r="OCH60" s="160"/>
      <c r="OCI60" s="160"/>
      <c r="OCJ60" s="160"/>
      <c r="OCK60" s="160"/>
      <c r="OCL60" s="160"/>
      <c r="OCM60" s="160"/>
      <c r="OCN60" s="160"/>
      <c r="OCO60" s="160"/>
      <c r="OCP60" s="160"/>
      <c r="OCQ60" s="160"/>
      <c r="OCR60" s="160"/>
      <c r="OCS60" s="160"/>
      <c r="OCT60" s="160"/>
      <c r="OCU60" s="160"/>
      <c r="OCV60" s="160"/>
      <c r="OCW60" s="160"/>
      <c r="OCX60" s="160"/>
      <c r="OCY60" s="160"/>
      <c r="OCZ60" s="160"/>
      <c r="ODA60" s="160"/>
      <c r="ODB60" s="160"/>
      <c r="ODC60" s="160"/>
      <c r="ODD60" s="160"/>
      <c r="ODE60" s="160"/>
      <c r="ODF60" s="160"/>
      <c r="ODG60" s="160"/>
      <c r="ODH60" s="160"/>
      <c r="ODI60" s="160"/>
      <c r="ODJ60" s="160"/>
      <c r="ODK60" s="160"/>
      <c r="ODL60" s="160"/>
      <c r="ODM60" s="160"/>
      <c r="ODN60" s="160"/>
      <c r="ODO60" s="160"/>
      <c r="ODP60" s="160"/>
      <c r="ODQ60" s="160"/>
      <c r="ODR60" s="160"/>
      <c r="ODS60" s="160"/>
      <c r="ODT60" s="160"/>
      <c r="ODU60" s="160"/>
      <c r="ODV60" s="160"/>
      <c r="ODW60" s="160"/>
      <c r="ODX60" s="160"/>
      <c r="ODY60" s="160"/>
      <c r="ODZ60" s="160"/>
      <c r="OEA60" s="160"/>
      <c r="OEB60" s="160"/>
      <c r="OEC60" s="160"/>
      <c r="OED60" s="160"/>
      <c r="OEE60" s="160"/>
      <c r="OEF60" s="160"/>
      <c r="OEG60" s="160"/>
      <c r="OEH60" s="160"/>
      <c r="OEI60" s="160"/>
      <c r="OEJ60" s="160"/>
      <c r="OEK60" s="160"/>
      <c r="OEL60" s="160"/>
      <c r="OEM60" s="160"/>
      <c r="OEN60" s="160"/>
      <c r="OEO60" s="160"/>
      <c r="OEP60" s="160"/>
      <c r="OEQ60" s="160"/>
      <c r="OER60" s="160"/>
      <c r="OES60" s="160"/>
      <c r="OET60" s="160"/>
      <c r="OEU60" s="160"/>
      <c r="OEV60" s="160"/>
      <c r="OEW60" s="160"/>
      <c r="OEX60" s="160"/>
      <c r="OEY60" s="160"/>
      <c r="OEZ60" s="160"/>
      <c r="OFA60" s="160"/>
      <c r="OFB60" s="160"/>
      <c r="OFC60" s="160"/>
      <c r="OFD60" s="160"/>
      <c r="OFE60" s="160"/>
      <c r="OFF60" s="160"/>
      <c r="OFG60" s="160"/>
      <c r="OFH60" s="160"/>
      <c r="OFI60" s="160"/>
      <c r="OFJ60" s="160"/>
      <c r="OFK60" s="160"/>
      <c r="OFL60" s="160"/>
      <c r="OFM60" s="160"/>
      <c r="OFN60" s="160"/>
      <c r="OFO60" s="160"/>
      <c r="OFP60" s="160"/>
      <c r="OFQ60" s="160"/>
      <c r="OFR60" s="160"/>
      <c r="OFS60" s="160"/>
      <c r="OFT60" s="160"/>
      <c r="OFU60" s="160"/>
      <c r="OFV60" s="160"/>
      <c r="OFW60" s="160"/>
      <c r="OFX60" s="160"/>
      <c r="OFY60" s="160"/>
      <c r="OFZ60" s="160"/>
      <c r="OGA60" s="160"/>
      <c r="OGB60" s="160"/>
      <c r="OGC60" s="160"/>
      <c r="OGD60" s="160"/>
      <c r="OGE60" s="160"/>
      <c r="OGF60" s="160"/>
      <c r="OGG60" s="160"/>
      <c r="OGH60" s="160"/>
      <c r="OGI60" s="160"/>
      <c r="OGJ60" s="160"/>
      <c r="OGK60" s="160"/>
      <c r="OGL60" s="160"/>
      <c r="OGM60" s="160"/>
      <c r="OGN60" s="160"/>
      <c r="OGO60" s="160"/>
      <c r="OGP60" s="160"/>
      <c r="OGQ60" s="160"/>
      <c r="OGR60" s="160"/>
      <c r="OGS60" s="160"/>
      <c r="OGT60" s="160"/>
      <c r="OGU60" s="160"/>
      <c r="OGV60" s="160"/>
      <c r="OGW60" s="160"/>
      <c r="OGX60" s="160"/>
      <c r="OGY60" s="160"/>
      <c r="OGZ60" s="160"/>
      <c r="OHA60" s="160"/>
      <c r="OHB60" s="160"/>
      <c r="OHC60" s="160"/>
      <c r="OHD60" s="160"/>
      <c r="OHE60" s="160"/>
      <c r="OHF60" s="160"/>
      <c r="OHG60" s="160"/>
      <c r="OHH60" s="160"/>
      <c r="OHI60" s="160"/>
      <c r="OHJ60" s="160"/>
      <c r="OHK60" s="160"/>
      <c r="OHL60" s="160"/>
      <c r="OHM60" s="160"/>
      <c r="OHN60" s="160"/>
      <c r="OHO60" s="160"/>
      <c r="OHP60" s="160"/>
      <c r="OHQ60" s="160"/>
      <c r="OHR60" s="160"/>
      <c r="OHS60" s="160"/>
      <c r="OHT60" s="160"/>
      <c r="OHU60" s="160"/>
      <c r="OHV60" s="160"/>
      <c r="OHW60" s="160"/>
      <c r="OHX60" s="160"/>
      <c r="OHY60" s="160"/>
      <c r="OHZ60" s="160"/>
      <c r="OIA60" s="160"/>
      <c r="OIB60" s="160"/>
      <c r="OIC60" s="160"/>
      <c r="OID60" s="160"/>
      <c r="OIE60" s="160"/>
      <c r="OIF60" s="160"/>
      <c r="OIG60" s="160"/>
      <c r="OIH60" s="160"/>
      <c r="OII60" s="160"/>
      <c r="OIJ60" s="160"/>
      <c r="OIK60" s="160"/>
      <c r="OIL60" s="160"/>
      <c r="OIM60" s="160"/>
      <c r="OIN60" s="160"/>
      <c r="OIO60" s="160"/>
      <c r="OIP60" s="160"/>
      <c r="OIQ60" s="160"/>
      <c r="OIR60" s="160"/>
      <c r="OIS60" s="160"/>
      <c r="OIT60" s="160"/>
      <c r="OIU60" s="160"/>
      <c r="OIV60" s="160"/>
      <c r="OIW60" s="160"/>
      <c r="OIX60" s="160"/>
      <c r="OIY60" s="160"/>
      <c r="OIZ60" s="160"/>
      <c r="OJA60" s="160"/>
      <c r="OJB60" s="160"/>
      <c r="OJC60" s="160"/>
      <c r="OJD60" s="160"/>
      <c r="OJE60" s="160"/>
      <c r="OJF60" s="160"/>
      <c r="OJG60" s="160"/>
      <c r="OJH60" s="160"/>
      <c r="OJI60" s="160"/>
      <c r="OJJ60" s="160"/>
      <c r="OJK60" s="160"/>
      <c r="OJL60" s="160"/>
      <c r="OJM60" s="160"/>
      <c r="OJN60" s="160"/>
      <c r="OJO60" s="160"/>
      <c r="OJP60" s="160"/>
      <c r="OJQ60" s="160"/>
      <c r="OJR60" s="160"/>
      <c r="OJS60" s="160"/>
      <c r="OJT60" s="160"/>
      <c r="OJU60" s="160"/>
      <c r="OJV60" s="160"/>
      <c r="OJW60" s="160"/>
      <c r="OJX60" s="160"/>
      <c r="OJY60" s="160"/>
      <c r="OJZ60" s="160"/>
      <c r="OKA60" s="160"/>
      <c r="OKB60" s="160"/>
      <c r="OKC60" s="160"/>
      <c r="OKD60" s="160"/>
      <c r="OKE60" s="160"/>
      <c r="OKF60" s="160"/>
      <c r="OKG60" s="160"/>
      <c r="OKH60" s="160"/>
      <c r="OKI60" s="160"/>
      <c r="OKJ60" s="160"/>
      <c r="OKK60" s="160"/>
      <c r="OKL60" s="160"/>
      <c r="OKM60" s="160"/>
      <c r="OKN60" s="160"/>
      <c r="OKO60" s="160"/>
      <c r="OKP60" s="160"/>
      <c r="OKQ60" s="160"/>
      <c r="OKR60" s="160"/>
      <c r="OKS60" s="160"/>
      <c r="OKT60" s="160"/>
      <c r="OKU60" s="160"/>
      <c r="OKV60" s="160"/>
      <c r="OKW60" s="160"/>
      <c r="OKX60" s="160"/>
      <c r="OKY60" s="160"/>
      <c r="OKZ60" s="160"/>
      <c r="OLA60" s="160"/>
      <c r="OLB60" s="160"/>
      <c r="OLC60" s="160"/>
      <c r="OLD60" s="160"/>
      <c r="OLE60" s="160"/>
      <c r="OLF60" s="160"/>
      <c r="OLG60" s="160"/>
      <c r="OLH60" s="160"/>
      <c r="OLI60" s="160"/>
      <c r="OLJ60" s="160"/>
      <c r="OLK60" s="160"/>
      <c r="OLL60" s="160"/>
      <c r="OLM60" s="160"/>
      <c r="OLN60" s="160"/>
      <c r="OLO60" s="160"/>
      <c r="OLP60" s="160"/>
      <c r="OLQ60" s="160"/>
      <c r="OLR60" s="160"/>
      <c r="OLS60" s="160"/>
      <c r="OLT60" s="160"/>
      <c r="OLU60" s="160"/>
      <c r="OLV60" s="160"/>
      <c r="OLW60" s="160"/>
      <c r="OLX60" s="160"/>
      <c r="OLY60" s="160"/>
      <c r="OLZ60" s="160"/>
      <c r="OMA60" s="160"/>
      <c r="OMB60" s="160"/>
      <c r="OMC60" s="160"/>
      <c r="OMD60" s="160"/>
      <c r="OME60" s="160"/>
      <c r="OMF60" s="160"/>
      <c r="OMG60" s="160"/>
      <c r="OMH60" s="160"/>
      <c r="OMI60" s="160"/>
      <c r="OMJ60" s="160"/>
      <c r="OMK60" s="160"/>
      <c r="OML60" s="160"/>
      <c r="OMM60" s="160"/>
      <c r="OMN60" s="160"/>
      <c r="OMO60" s="160"/>
      <c r="OMP60" s="160"/>
      <c r="OMQ60" s="160"/>
      <c r="OMR60" s="160"/>
      <c r="OMS60" s="160"/>
      <c r="OMT60" s="160"/>
      <c r="OMU60" s="160"/>
      <c r="OMV60" s="160"/>
      <c r="OMW60" s="160"/>
      <c r="OMX60" s="160"/>
      <c r="OMY60" s="160"/>
      <c r="OMZ60" s="160"/>
      <c r="ONA60" s="160"/>
      <c r="ONB60" s="160"/>
      <c r="ONC60" s="160"/>
      <c r="OND60" s="160"/>
      <c r="ONE60" s="160"/>
      <c r="ONF60" s="160"/>
      <c r="ONG60" s="160"/>
      <c r="ONH60" s="160"/>
      <c r="ONI60" s="160"/>
      <c r="ONJ60" s="160"/>
      <c r="ONK60" s="160"/>
      <c r="ONL60" s="160"/>
      <c r="ONM60" s="160"/>
      <c r="ONN60" s="160"/>
      <c r="ONO60" s="160"/>
      <c r="ONP60" s="160"/>
      <c r="ONQ60" s="160"/>
      <c r="ONR60" s="160"/>
      <c r="ONS60" s="160"/>
      <c r="ONT60" s="160"/>
      <c r="ONU60" s="160"/>
      <c r="ONV60" s="160"/>
      <c r="ONW60" s="160"/>
      <c r="ONX60" s="160"/>
      <c r="ONY60" s="160"/>
      <c r="ONZ60" s="160"/>
      <c r="OOA60" s="160"/>
      <c r="OOB60" s="160"/>
      <c r="OOC60" s="160"/>
      <c r="OOD60" s="160"/>
      <c r="OOE60" s="160"/>
      <c r="OOF60" s="160"/>
      <c r="OOG60" s="160"/>
      <c r="OOH60" s="160"/>
      <c r="OOI60" s="160"/>
      <c r="OOJ60" s="160"/>
      <c r="OOK60" s="160"/>
      <c r="OOL60" s="160"/>
      <c r="OOM60" s="160"/>
      <c r="OON60" s="160"/>
      <c r="OOO60" s="160"/>
      <c r="OOP60" s="160"/>
      <c r="OOQ60" s="160"/>
      <c r="OOR60" s="160"/>
      <c r="OOS60" s="160"/>
      <c r="OOT60" s="160"/>
      <c r="OOU60" s="160"/>
      <c r="OOV60" s="160"/>
      <c r="OOW60" s="160"/>
      <c r="OOX60" s="160"/>
      <c r="OOY60" s="160"/>
      <c r="OOZ60" s="160"/>
      <c r="OPA60" s="160"/>
      <c r="OPB60" s="160"/>
      <c r="OPC60" s="160"/>
      <c r="OPD60" s="160"/>
      <c r="OPE60" s="160"/>
      <c r="OPF60" s="160"/>
      <c r="OPG60" s="160"/>
      <c r="OPH60" s="160"/>
      <c r="OPI60" s="160"/>
      <c r="OPJ60" s="160"/>
      <c r="OPK60" s="160"/>
      <c r="OPL60" s="160"/>
      <c r="OPM60" s="160"/>
      <c r="OPN60" s="160"/>
      <c r="OPO60" s="160"/>
      <c r="OPP60" s="160"/>
      <c r="OPQ60" s="160"/>
      <c r="OPR60" s="160"/>
      <c r="OPS60" s="160"/>
      <c r="OPT60" s="160"/>
      <c r="OPU60" s="160"/>
      <c r="OPV60" s="160"/>
      <c r="OPW60" s="160"/>
      <c r="OPX60" s="160"/>
      <c r="OPY60" s="160"/>
      <c r="OPZ60" s="160"/>
      <c r="OQA60" s="160"/>
      <c r="OQB60" s="160"/>
      <c r="OQC60" s="160"/>
      <c r="OQD60" s="160"/>
      <c r="OQE60" s="160"/>
      <c r="OQF60" s="160"/>
      <c r="OQG60" s="160"/>
      <c r="OQH60" s="160"/>
      <c r="OQI60" s="160"/>
      <c r="OQJ60" s="160"/>
      <c r="OQK60" s="160"/>
      <c r="OQL60" s="160"/>
      <c r="OQM60" s="160"/>
      <c r="OQN60" s="160"/>
      <c r="OQO60" s="160"/>
      <c r="OQP60" s="160"/>
      <c r="OQQ60" s="160"/>
      <c r="OQR60" s="160"/>
      <c r="OQS60" s="160"/>
      <c r="OQT60" s="160"/>
      <c r="OQU60" s="160"/>
      <c r="OQV60" s="160"/>
      <c r="OQW60" s="160"/>
      <c r="OQX60" s="160"/>
      <c r="OQY60" s="160"/>
      <c r="OQZ60" s="160"/>
      <c r="ORA60" s="160"/>
      <c r="ORB60" s="160"/>
      <c r="ORC60" s="160"/>
      <c r="ORD60" s="160"/>
      <c r="ORE60" s="160"/>
      <c r="ORF60" s="160"/>
      <c r="ORG60" s="160"/>
      <c r="ORH60" s="160"/>
      <c r="ORI60" s="160"/>
      <c r="ORJ60" s="160"/>
      <c r="ORK60" s="160"/>
      <c r="ORL60" s="160"/>
      <c r="ORM60" s="160"/>
      <c r="ORN60" s="160"/>
      <c r="ORO60" s="160"/>
      <c r="ORP60" s="160"/>
      <c r="ORQ60" s="160"/>
      <c r="ORR60" s="160"/>
      <c r="ORS60" s="160"/>
      <c r="ORT60" s="160"/>
      <c r="ORU60" s="160"/>
      <c r="ORV60" s="160"/>
      <c r="ORW60" s="160"/>
      <c r="ORX60" s="160"/>
      <c r="ORY60" s="160"/>
      <c r="ORZ60" s="160"/>
      <c r="OSA60" s="160"/>
      <c r="OSB60" s="160"/>
      <c r="OSC60" s="160"/>
      <c r="OSD60" s="160"/>
      <c r="OSE60" s="160"/>
      <c r="OSF60" s="160"/>
      <c r="OSG60" s="160"/>
      <c r="OSH60" s="160"/>
      <c r="OSI60" s="160"/>
      <c r="OSJ60" s="160"/>
      <c r="OSK60" s="160"/>
      <c r="OSL60" s="160"/>
      <c r="OSM60" s="160"/>
      <c r="OSN60" s="160"/>
      <c r="OSO60" s="160"/>
      <c r="OSP60" s="160"/>
      <c r="OSQ60" s="160"/>
      <c r="OSR60" s="160"/>
      <c r="OSS60" s="160"/>
      <c r="OST60" s="160"/>
      <c r="OSU60" s="160"/>
      <c r="OSV60" s="160"/>
      <c r="OSW60" s="160"/>
      <c r="OSX60" s="160"/>
      <c r="OSY60" s="160"/>
      <c r="OSZ60" s="160"/>
      <c r="OTA60" s="160"/>
      <c r="OTB60" s="160"/>
      <c r="OTC60" s="160"/>
      <c r="OTD60" s="160"/>
      <c r="OTE60" s="160"/>
      <c r="OTF60" s="160"/>
      <c r="OTG60" s="160"/>
      <c r="OTH60" s="160"/>
      <c r="OTI60" s="160"/>
      <c r="OTJ60" s="160"/>
      <c r="OTK60" s="160"/>
      <c r="OTL60" s="160"/>
      <c r="OTM60" s="160"/>
      <c r="OTN60" s="160"/>
      <c r="OTO60" s="160"/>
      <c r="OTP60" s="160"/>
      <c r="OTQ60" s="160"/>
      <c r="OTR60" s="160"/>
      <c r="OTS60" s="160"/>
      <c r="OTT60" s="160"/>
      <c r="OTU60" s="160"/>
      <c r="OTV60" s="160"/>
      <c r="OTW60" s="160"/>
      <c r="OTX60" s="160"/>
      <c r="OTY60" s="160"/>
      <c r="OTZ60" s="160"/>
      <c r="OUA60" s="160"/>
      <c r="OUB60" s="160"/>
      <c r="OUC60" s="160"/>
      <c r="OUD60" s="160"/>
      <c r="OUE60" s="160"/>
      <c r="OUF60" s="160"/>
      <c r="OUG60" s="160"/>
      <c r="OUH60" s="160"/>
      <c r="OUI60" s="160"/>
      <c r="OUJ60" s="160"/>
      <c r="OUK60" s="160"/>
      <c r="OUL60" s="160"/>
      <c r="OUM60" s="160"/>
      <c r="OUN60" s="160"/>
      <c r="OUO60" s="160"/>
      <c r="OUP60" s="160"/>
      <c r="OUQ60" s="160"/>
      <c r="OUR60" s="160"/>
      <c r="OUS60" s="160"/>
      <c r="OUT60" s="160"/>
      <c r="OUU60" s="160"/>
      <c r="OUV60" s="160"/>
      <c r="OUW60" s="160"/>
      <c r="OUX60" s="160"/>
      <c r="OUY60" s="160"/>
      <c r="OUZ60" s="160"/>
      <c r="OVA60" s="160"/>
      <c r="OVB60" s="160"/>
      <c r="OVC60" s="160"/>
      <c r="OVD60" s="160"/>
      <c r="OVE60" s="160"/>
      <c r="OVF60" s="160"/>
      <c r="OVG60" s="160"/>
      <c r="OVH60" s="160"/>
      <c r="OVI60" s="160"/>
      <c r="OVJ60" s="160"/>
      <c r="OVK60" s="160"/>
      <c r="OVL60" s="160"/>
      <c r="OVM60" s="160"/>
      <c r="OVN60" s="160"/>
      <c r="OVO60" s="160"/>
      <c r="OVP60" s="160"/>
      <c r="OVQ60" s="160"/>
      <c r="OVR60" s="160"/>
      <c r="OVS60" s="160"/>
      <c r="OVT60" s="160"/>
      <c r="OVU60" s="160"/>
      <c r="OVV60" s="160"/>
      <c r="OVW60" s="160"/>
      <c r="OVX60" s="160"/>
      <c r="OVY60" s="160"/>
      <c r="OVZ60" s="160"/>
      <c r="OWA60" s="160"/>
      <c r="OWB60" s="160"/>
      <c r="OWC60" s="160"/>
      <c r="OWD60" s="160"/>
      <c r="OWE60" s="160"/>
      <c r="OWF60" s="160"/>
      <c r="OWG60" s="160"/>
      <c r="OWH60" s="160"/>
      <c r="OWI60" s="160"/>
      <c r="OWJ60" s="160"/>
      <c r="OWK60" s="160"/>
      <c r="OWL60" s="160"/>
      <c r="OWM60" s="160"/>
      <c r="OWN60" s="160"/>
      <c r="OWO60" s="160"/>
      <c r="OWP60" s="160"/>
      <c r="OWQ60" s="160"/>
      <c r="OWR60" s="160"/>
      <c r="OWS60" s="160"/>
      <c r="OWT60" s="160"/>
      <c r="OWU60" s="160"/>
      <c r="OWV60" s="160"/>
      <c r="OWW60" s="160"/>
      <c r="OWX60" s="160"/>
      <c r="OWY60" s="160"/>
      <c r="OWZ60" s="160"/>
      <c r="OXA60" s="160"/>
      <c r="OXB60" s="160"/>
      <c r="OXC60" s="160"/>
      <c r="OXD60" s="160"/>
      <c r="OXE60" s="160"/>
      <c r="OXF60" s="160"/>
      <c r="OXG60" s="160"/>
      <c r="OXH60" s="160"/>
      <c r="OXI60" s="160"/>
      <c r="OXJ60" s="160"/>
      <c r="OXK60" s="160"/>
      <c r="OXL60" s="160"/>
      <c r="OXM60" s="160"/>
      <c r="OXN60" s="160"/>
      <c r="OXO60" s="160"/>
      <c r="OXP60" s="160"/>
      <c r="OXQ60" s="160"/>
      <c r="OXR60" s="160"/>
      <c r="OXS60" s="160"/>
      <c r="OXT60" s="160"/>
      <c r="OXU60" s="160"/>
      <c r="OXV60" s="160"/>
      <c r="OXW60" s="160"/>
      <c r="OXX60" s="160"/>
      <c r="OXY60" s="160"/>
      <c r="OXZ60" s="160"/>
      <c r="OYA60" s="160"/>
      <c r="OYB60" s="160"/>
      <c r="OYC60" s="160"/>
      <c r="OYD60" s="160"/>
      <c r="OYE60" s="160"/>
      <c r="OYF60" s="160"/>
      <c r="OYG60" s="160"/>
      <c r="OYH60" s="160"/>
      <c r="OYI60" s="160"/>
      <c r="OYJ60" s="160"/>
      <c r="OYK60" s="160"/>
      <c r="OYL60" s="160"/>
      <c r="OYM60" s="160"/>
      <c r="OYN60" s="160"/>
      <c r="OYO60" s="160"/>
      <c r="OYP60" s="160"/>
      <c r="OYQ60" s="160"/>
      <c r="OYR60" s="160"/>
      <c r="OYS60" s="160"/>
      <c r="OYT60" s="160"/>
      <c r="OYU60" s="160"/>
      <c r="OYV60" s="160"/>
      <c r="OYW60" s="160"/>
      <c r="OYX60" s="160"/>
      <c r="OYY60" s="160"/>
      <c r="OYZ60" s="160"/>
      <c r="OZA60" s="160"/>
      <c r="OZB60" s="160"/>
      <c r="OZC60" s="160"/>
      <c r="OZD60" s="160"/>
      <c r="OZE60" s="160"/>
      <c r="OZF60" s="160"/>
      <c r="OZG60" s="160"/>
      <c r="OZH60" s="160"/>
      <c r="OZI60" s="160"/>
      <c r="OZJ60" s="160"/>
      <c r="OZK60" s="160"/>
      <c r="OZL60" s="160"/>
      <c r="OZM60" s="160"/>
      <c r="OZN60" s="160"/>
      <c r="OZO60" s="160"/>
      <c r="OZP60" s="160"/>
      <c r="OZQ60" s="160"/>
      <c r="OZR60" s="160"/>
      <c r="OZS60" s="160"/>
      <c r="OZT60" s="160"/>
      <c r="OZU60" s="160"/>
      <c r="OZV60" s="160"/>
      <c r="OZW60" s="160"/>
      <c r="OZX60" s="160"/>
      <c r="OZY60" s="160"/>
      <c r="OZZ60" s="160"/>
      <c r="PAA60" s="160"/>
      <c r="PAB60" s="160"/>
      <c r="PAC60" s="160"/>
      <c r="PAD60" s="160"/>
      <c r="PAE60" s="160"/>
      <c r="PAF60" s="160"/>
      <c r="PAG60" s="160"/>
      <c r="PAH60" s="160"/>
      <c r="PAI60" s="160"/>
      <c r="PAJ60" s="160"/>
      <c r="PAK60" s="160"/>
      <c r="PAL60" s="160"/>
      <c r="PAM60" s="160"/>
      <c r="PAN60" s="160"/>
      <c r="PAO60" s="160"/>
      <c r="PAP60" s="160"/>
      <c r="PAQ60" s="160"/>
      <c r="PAR60" s="160"/>
      <c r="PAS60" s="160"/>
      <c r="PAT60" s="160"/>
      <c r="PAU60" s="160"/>
      <c r="PAV60" s="160"/>
      <c r="PAW60" s="160"/>
      <c r="PAX60" s="160"/>
      <c r="PAY60" s="160"/>
      <c r="PAZ60" s="160"/>
      <c r="PBA60" s="160"/>
      <c r="PBB60" s="160"/>
      <c r="PBC60" s="160"/>
      <c r="PBD60" s="160"/>
      <c r="PBE60" s="160"/>
      <c r="PBF60" s="160"/>
      <c r="PBG60" s="160"/>
      <c r="PBH60" s="160"/>
      <c r="PBI60" s="160"/>
      <c r="PBJ60" s="160"/>
      <c r="PBK60" s="160"/>
      <c r="PBL60" s="160"/>
      <c r="PBM60" s="160"/>
      <c r="PBN60" s="160"/>
      <c r="PBO60" s="160"/>
      <c r="PBP60" s="160"/>
      <c r="PBQ60" s="160"/>
      <c r="PBR60" s="160"/>
      <c r="PBS60" s="160"/>
      <c r="PBT60" s="160"/>
      <c r="PBU60" s="160"/>
      <c r="PBV60" s="160"/>
      <c r="PBW60" s="160"/>
      <c r="PBX60" s="160"/>
      <c r="PBY60" s="160"/>
      <c r="PBZ60" s="160"/>
      <c r="PCA60" s="160"/>
      <c r="PCB60" s="160"/>
      <c r="PCC60" s="160"/>
      <c r="PCD60" s="160"/>
      <c r="PCE60" s="160"/>
      <c r="PCF60" s="160"/>
      <c r="PCG60" s="160"/>
      <c r="PCH60" s="160"/>
      <c r="PCI60" s="160"/>
      <c r="PCJ60" s="160"/>
      <c r="PCK60" s="160"/>
      <c r="PCL60" s="160"/>
      <c r="PCM60" s="160"/>
      <c r="PCN60" s="160"/>
      <c r="PCO60" s="160"/>
      <c r="PCP60" s="160"/>
      <c r="PCQ60" s="160"/>
      <c r="PCR60" s="160"/>
      <c r="PCS60" s="160"/>
      <c r="PCT60" s="160"/>
      <c r="PCU60" s="160"/>
      <c r="PCV60" s="160"/>
      <c r="PCW60" s="160"/>
      <c r="PCX60" s="160"/>
      <c r="PCY60" s="160"/>
      <c r="PCZ60" s="160"/>
      <c r="PDA60" s="160"/>
      <c r="PDB60" s="160"/>
      <c r="PDC60" s="160"/>
      <c r="PDD60" s="160"/>
      <c r="PDE60" s="160"/>
      <c r="PDF60" s="160"/>
      <c r="PDG60" s="160"/>
      <c r="PDH60" s="160"/>
      <c r="PDI60" s="160"/>
      <c r="PDJ60" s="160"/>
      <c r="PDK60" s="160"/>
      <c r="PDL60" s="160"/>
      <c r="PDM60" s="160"/>
      <c r="PDN60" s="160"/>
      <c r="PDO60" s="160"/>
      <c r="PDP60" s="160"/>
      <c r="PDQ60" s="160"/>
      <c r="PDR60" s="160"/>
      <c r="PDS60" s="160"/>
      <c r="PDT60" s="160"/>
      <c r="PDU60" s="160"/>
      <c r="PDV60" s="160"/>
      <c r="PDW60" s="160"/>
      <c r="PDX60" s="160"/>
      <c r="PDY60" s="160"/>
      <c r="PDZ60" s="160"/>
      <c r="PEA60" s="160"/>
      <c r="PEB60" s="160"/>
      <c r="PEC60" s="160"/>
      <c r="PED60" s="160"/>
      <c r="PEE60" s="160"/>
      <c r="PEF60" s="160"/>
      <c r="PEG60" s="160"/>
      <c r="PEH60" s="160"/>
      <c r="PEI60" s="160"/>
      <c r="PEJ60" s="160"/>
      <c r="PEK60" s="160"/>
      <c r="PEL60" s="160"/>
      <c r="PEM60" s="160"/>
      <c r="PEN60" s="160"/>
      <c r="PEO60" s="160"/>
      <c r="PEP60" s="160"/>
      <c r="PEQ60" s="160"/>
      <c r="PER60" s="160"/>
      <c r="PES60" s="160"/>
      <c r="PET60" s="160"/>
      <c r="PEU60" s="160"/>
      <c r="PEV60" s="160"/>
      <c r="PEW60" s="160"/>
      <c r="PEX60" s="160"/>
      <c r="PEY60" s="160"/>
      <c r="PEZ60" s="160"/>
      <c r="PFA60" s="160"/>
      <c r="PFB60" s="160"/>
      <c r="PFC60" s="160"/>
      <c r="PFD60" s="160"/>
      <c r="PFE60" s="160"/>
      <c r="PFF60" s="160"/>
      <c r="PFG60" s="160"/>
      <c r="PFH60" s="160"/>
      <c r="PFI60" s="160"/>
      <c r="PFJ60" s="160"/>
      <c r="PFK60" s="160"/>
      <c r="PFL60" s="160"/>
      <c r="PFM60" s="160"/>
      <c r="PFN60" s="160"/>
      <c r="PFO60" s="160"/>
      <c r="PFP60" s="160"/>
      <c r="PFQ60" s="160"/>
      <c r="PFR60" s="160"/>
      <c r="PFS60" s="160"/>
      <c r="PFT60" s="160"/>
      <c r="PFU60" s="160"/>
      <c r="PFV60" s="160"/>
      <c r="PFW60" s="160"/>
      <c r="PFX60" s="160"/>
      <c r="PFY60" s="160"/>
      <c r="PFZ60" s="160"/>
      <c r="PGA60" s="160"/>
      <c r="PGB60" s="160"/>
      <c r="PGC60" s="160"/>
      <c r="PGD60" s="160"/>
      <c r="PGE60" s="160"/>
      <c r="PGF60" s="160"/>
      <c r="PGG60" s="160"/>
      <c r="PGH60" s="160"/>
      <c r="PGI60" s="160"/>
      <c r="PGJ60" s="160"/>
      <c r="PGK60" s="160"/>
      <c r="PGL60" s="160"/>
      <c r="PGM60" s="160"/>
      <c r="PGN60" s="160"/>
      <c r="PGO60" s="160"/>
      <c r="PGP60" s="160"/>
      <c r="PGQ60" s="160"/>
      <c r="PGR60" s="160"/>
      <c r="PGS60" s="160"/>
      <c r="PGT60" s="160"/>
      <c r="PGU60" s="160"/>
      <c r="PGV60" s="160"/>
      <c r="PGW60" s="160"/>
      <c r="PGX60" s="160"/>
      <c r="PGY60" s="160"/>
      <c r="PGZ60" s="160"/>
      <c r="PHA60" s="160"/>
      <c r="PHB60" s="160"/>
      <c r="PHC60" s="160"/>
      <c r="PHD60" s="160"/>
      <c r="PHE60" s="160"/>
      <c r="PHF60" s="160"/>
      <c r="PHG60" s="160"/>
      <c r="PHH60" s="160"/>
      <c r="PHI60" s="160"/>
      <c r="PHJ60" s="160"/>
      <c r="PHK60" s="160"/>
      <c r="PHL60" s="160"/>
      <c r="PHM60" s="160"/>
      <c r="PHN60" s="160"/>
      <c r="PHO60" s="160"/>
      <c r="PHP60" s="160"/>
      <c r="PHQ60" s="160"/>
      <c r="PHR60" s="160"/>
      <c r="PHS60" s="160"/>
      <c r="PHT60" s="160"/>
      <c r="PHU60" s="160"/>
      <c r="PHV60" s="160"/>
      <c r="PHW60" s="160"/>
      <c r="PHX60" s="160"/>
      <c r="PHY60" s="160"/>
      <c r="PHZ60" s="160"/>
      <c r="PIA60" s="160"/>
      <c r="PIB60" s="160"/>
      <c r="PIC60" s="160"/>
      <c r="PID60" s="160"/>
      <c r="PIE60" s="160"/>
      <c r="PIF60" s="160"/>
      <c r="PIG60" s="160"/>
      <c r="PIH60" s="160"/>
      <c r="PII60" s="160"/>
      <c r="PIJ60" s="160"/>
      <c r="PIK60" s="160"/>
      <c r="PIL60" s="160"/>
      <c r="PIM60" s="160"/>
      <c r="PIN60" s="160"/>
      <c r="PIO60" s="160"/>
      <c r="PIP60" s="160"/>
      <c r="PIQ60" s="160"/>
      <c r="PIR60" s="160"/>
      <c r="PIS60" s="160"/>
      <c r="PIT60" s="160"/>
      <c r="PIU60" s="160"/>
      <c r="PIV60" s="160"/>
      <c r="PIW60" s="160"/>
      <c r="PIX60" s="160"/>
      <c r="PIY60" s="160"/>
      <c r="PIZ60" s="160"/>
      <c r="PJA60" s="160"/>
      <c r="PJB60" s="160"/>
      <c r="PJC60" s="160"/>
      <c r="PJD60" s="160"/>
      <c r="PJE60" s="160"/>
      <c r="PJF60" s="160"/>
      <c r="PJG60" s="160"/>
      <c r="PJH60" s="160"/>
      <c r="PJI60" s="160"/>
      <c r="PJJ60" s="160"/>
      <c r="PJK60" s="160"/>
      <c r="PJL60" s="160"/>
      <c r="PJM60" s="160"/>
      <c r="PJN60" s="160"/>
      <c r="PJO60" s="160"/>
      <c r="PJP60" s="160"/>
      <c r="PJQ60" s="160"/>
      <c r="PJR60" s="160"/>
      <c r="PJS60" s="160"/>
      <c r="PJT60" s="160"/>
      <c r="PJU60" s="160"/>
      <c r="PJV60" s="160"/>
      <c r="PJW60" s="160"/>
      <c r="PJX60" s="160"/>
      <c r="PJY60" s="160"/>
      <c r="PJZ60" s="160"/>
      <c r="PKA60" s="160"/>
      <c r="PKB60" s="160"/>
      <c r="PKC60" s="160"/>
      <c r="PKD60" s="160"/>
      <c r="PKE60" s="160"/>
      <c r="PKF60" s="160"/>
      <c r="PKG60" s="160"/>
      <c r="PKH60" s="160"/>
      <c r="PKI60" s="160"/>
      <c r="PKJ60" s="160"/>
      <c r="PKK60" s="160"/>
      <c r="PKL60" s="160"/>
      <c r="PKM60" s="160"/>
      <c r="PKN60" s="160"/>
      <c r="PKO60" s="160"/>
      <c r="PKP60" s="160"/>
      <c r="PKQ60" s="160"/>
      <c r="PKR60" s="160"/>
      <c r="PKS60" s="160"/>
      <c r="PKT60" s="160"/>
      <c r="PKU60" s="160"/>
      <c r="PKV60" s="160"/>
      <c r="PKW60" s="160"/>
      <c r="PKX60" s="160"/>
      <c r="PKY60" s="160"/>
      <c r="PKZ60" s="160"/>
      <c r="PLA60" s="160"/>
      <c r="PLB60" s="160"/>
      <c r="PLC60" s="160"/>
      <c r="PLD60" s="160"/>
      <c r="PLE60" s="160"/>
      <c r="PLF60" s="160"/>
      <c r="PLG60" s="160"/>
      <c r="PLH60" s="160"/>
      <c r="PLI60" s="160"/>
      <c r="PLJ60" s="160"/>
      <c r="PLK60" s="160"/>
      <c r="PLL60" s="160"/>
      <c r="PLM60" s="160"/>
      <c r="PLN60" s="160"/>
      <c r="PLO60" s="160"/>
      <c r="PLP60" s="160"/>
      <c r="PLQ60" s="160"/>
      <c r="PLR60" s="160"/>
      <c r="PLS60" s="160"/>
      <c r="PLT60" s="160"/>
      <c r="PLU60" s="160"/>
      <c r="PLV60" s="160"/>
      <c r="PLW60" s="160"/>
      <c r="PLX60" s="160"/>
      <c r="PLY60" s="160"/>
      <c r="PLZ60" s="160"/>
      <c r="PMA60" s="160"/>
      <c r="PMB60" s="160"/>
      <c r="PMC60" s="160"/>
      <c r="PMD60" s="160"/>
      <c r="PME60" s="160"/>
      <c r="PMF60" s="160"/>
      <c r="PMG60" s="160"/>
      <c r="PMH60" s="160"/>
      <c r="PMI60" s="160"/>
      <c r="PMJ60" s="160"/>
      <c r="PMK60" s="160"/>
      <c r="PML60" s="160"/>
      <c r="PMM60" s="160"/>
      <c r="PMN60" s="160"/>
      <c r="PMO60" s="160"/>
      <c r="PMP60" s="160"/>
      <c r="PMQ60" s="160"/>
      <c r="PMR60" s="160"/>
      <c r="PMS60" s="160"/>
      <c r="PMT60" s="160"/>
      <c r="PMU60" s="160"/>
      <c r="PMV60" s="160"/>
      <c r="PMW60" s="160"/>
      <c r="PMX60" s="160"/>
      <c r="PMY60" s="160"/>
      <c r="PMZ60" s="160"/>
      <c r="PNA60" s="160"/>
      <c r="PNB60" s="160"/>
      <c r="PNC60" s="160"/>
      <c r="PND60" s="160"/>
      <c r="PNE60" s="160"/>
      <c r="PNF60" s="160"/>
      <c r="PNG60" s="160"/>
      <c r="PNH60" s="160"/>
      <c r="PNI60" s="160"/>
      <c r="PNJ60" s="160"/>
      <c r="PNK60" s="160"/>
      <c r="PNL60" s="160"/>
      <c r="PNM60" s="160"/>
      <c r="PNN60" s="160"/>
      <c r="PNO60" s="160"/>
      <c r="PNP60" s="160"/>
      <c r="PNQ60" s="160"/>
      <c r="PNR60" s="160"/>
      <c r="PNS60" s="160"/>
      <c r="PNT60" s="160"/>
      <c r="PNU60" s="160"/>
      <c r="PNV60" s="160"/>
      <c r="PNW60" s="160"/>
      <c r="PNX60" s="160"/>
      <c r="PNY60" s="160"/>
      <c r="PNZ60" s="160"/>
      <c r="POA60" s="160"/>
      <c r="POB60" s="160"/>
      <c r="POC60" s="160"/>
      <c r="POD60" s="160"/>
      <c r="POE60" s="160"/>
      <c r="POF60" s="160"/>
      <c r="POG60" s="160"/>
      <c r="POH60" s="160"/>
      <c r="POI60" s="160"/>
      <c r="POJ60" s="160"/>
      <c r="POK60" s="160"/>
      <c r="POL60" s="160"/>
      <c r="POM60" s="160"/>
      <c r="PON60" s="160"/>
      <c r="POO60" s="160"/>
      <c r="POP60" s="160"/>
      <c r="POQ60" s="160"/>
      <c r="POR60" s="160"/>
      <c r="POS60" s="160"/>
      <c r="POT60" s="160"/>
      <c r="POU60" s="160"/>
      <c r="POV60" s="160"/>
      <c r="POW60" s="160"/>
      <c r="POX60" s="160"/>
      <c r="POY60" s="160"/>
      <c r="POZ60" s="160"/>
      <c r="PPA60" s="160"/>
      <c r="PPB60" s="160"/>
      <c r="PPC60" s="160"/>
      <c r="PPD60" s="160"/>
      <c r="PPE60" s="160"/>
      <c r="PPF60" s="160"/>
      <c r="PPG60" s="160"/>
      <c r="PPH60" s="160"/>
      <c r="PPI60" s="160"/>
      <c r="PPJ60" s="160"/>
      <c r="PPK60" s="160"/>
      <c r="PPL60" s="160"/>
      <c r="PPM60" s="160"/>
      <c r="PPN60" s="160"/>
      <c r="PPO60" s="160"/>
      <c r="PPP60" s="160"/>
      <c r="PPQ60" s="160"/>
      <c r="PPR60" s="160"/>
      <c r="PPS60" s="160"/>
      <c r="PPT60" s="160"/>
      <c r="PPU60" s="160"/>
      <c r="PPV60" s="160"/>
      <c r="PPW60" s="160"/>
      <c r="PPX60" s="160"/>
      <c r="PPY60" s="160"/>
      <c r="PPZ60" s="160"/>
      <c r="PQA60" s="160"/>
      <c r="PQB60" s="160"/>
      <c r="PQC60" s="160"/>
      <c r="PQD60" s="160"/>
      <c r="PQE60" s="160"/>
      <c r="PQF60" s="160"/>
      <c r="PQG60" s="160"/>
      <c r="PQH60" s="160"/>
      <c r="PQI60" s="160"/>
      <c r="PQJ60" s="160"/>
      <c r="PQK60" s="160"/>
      <c r="PQL60" s="160"/>
      <c r="PQM60" s="160"/>
      <c r="PQN60" s="160"/>
      <c r="PQO60" s="160"/>
      <c r="PQP60" s="160"/>
      <c r="PQQ60" s="160"/>
      <c r="PQR60" s="160"/>
      <c r="PQS60" s="160"/>
      <c r="PQT60" s="160"/>
      <c r="PQU60" s="160"/>
      <c r="PQV60" s="160"/>
      <c r="PQW60" s="160"/>
      <c r="PQX60" s="160"/>
      <c r="PQY60" s="160"/>
      <c r="PQZ60" s="160"/>
      <c r="PRA60" s="160"/>
      <c r="PRB60" s="160"/>
      <c r="PRC60" s="160"/>
      <c r="PRD60" s="160"/>
      <c r="PRE60" s="160"/>
      <c r="PRF60" s="160"/>
      <c r="PRG60" s="160"/>
      <c r="PRH60" s="160"/>
      <c r="PRI60" s="160"/>
      <c r="PRJ60" s="160"/>
      <c r="PRK60" s="160"/>
      <c r="PRL60" s="160"/>
      <c r="PRM60" s="160"/>
      <c r="PRN60" s="160"/>
      <c r="PRO60" s="160"/>
      <c r="PRP60" s="160"/>
      <c r="PRQ60" s="160"/>
      <c r="PRR60" s="160"/>
      <c r="PRS60" s="160"/>
      <c r="PRT60" s="160"/>
      <c r="PRU60" s="160"/>
      <c r="PRV60" s="160"/>
      <c r="PRW60" s="160"/>
      <c r="PRX60" s="160"/>
      <c r="PRY60" s="160"/>
      <c r="PRZ60" s="160"/>
      <c r="PSA60" s="160"/>
      <c r="PSB60" s="160"/>
      <c r="PSC60" s="160"/>
      <c r="PSD60" s="160"/>
      <c r="PSE60" s="160"/>
      <c r="PSF60" s="160"/>
      <c r="PSG60" s="160"/>
      <c r="PSH60" s="160"/>
      <c r="PSI60" s="160"/>
      <c r="PSJ60" s="160"/>
      <c r="PSK60" s="160"/>
      <c r="PSL60" s="160"/>
      <c r="PSM60" s="160"/>
      <c r="PSN60" s="160"/>
      <c r="PSO60" s="160"/>
      <c r="PSP60" s="160"/>
      <c r="PSQ60" s="160"/>
      <c r="PSR60" s="160"/>
      <c r="PSS60" s="160"/>
      <c r="PST60" s="160"/>
      <c r="PSU60" s="160"/>
      <c r="PSV60" s="160"/>
      <c r="PSW60" s="160"/>
      <c r="PSX60" s="160"/>
      <c r="PSY60" s="160"/>
      <c r="PSZ60" s="160"/>
      <c r="PTA60" s="160"/>
      <c r="PTB60" s="160"/>
      <c r="PTC60" s="160"/>
      <c r="PTD60" s="160"/>
      <c r="PTE60" s="160"/>
      <c r="PTF60" s="160"/>
      <c r="PTG60" s="160"/>
      <c r="PTH60" s="160"/>
      <c r="PTI60" s="160"/>
      <c r="PTJ60" s="160"/>
      <c r="PTK60" s="160"/>
      <c r="PTL60" s="160"/>
      <c r="PTM60" s="160"/>
      <c r="PTN60" s="160"/>
      <c r="PTO60" s="160"/>
      <c r="PTP60" s="160"/>
      <c r="PTQ60" s="160"/>
      <c r="PTR60" s="160"/>
      <c r="PTS60" s="160"/>
      <c r="PTT60" s="160"/>
      <c r="PTU60" s="160"/>
      <c r="PTV60" s="160"/>
      <c r="PTW60" s="160"/>
      <c r="PTX60" s="160"/>
      <c r="PTY60" s="160"/>
      <c r="PTZ60" s="160"/>
      <c r="PUA60" s="160"/>
      <c r="PUB60" s="160"/>
      <c r="PUC60" s="160"/>
      <c r="PUD60" s="160"/>
      <c r="PUE60" s="160"/>
      <c r="PUF60" s="160"/>
      <c r="PUG60" s="160"/>
      <c r="PUH60" s="160"/>
      <c r="PUI60" s="160"/>
      <c r="PUJ60" s="160"/>
      <c r="PUK60" s="160"/>
      <c r="PUL60" s="160"/>
      <c r="PUM60" s="160"/>
      <c r="PUN60" s="160"/>
      <c r="PUO60" s="160"/>
      <c r="PUP60" s="160"/>
      <c r="PUQ60" s="160"/>
      <c r="PUR60" s="160"/>
      <c r="PUS60" s="160"/>
      <c r="PUT60" s="160"/>
      <c r="PUU60" s="160"/>
      <c r="PUV60" s="160"/>
      <c r="PUW60" s="160"/>
      <c r="PUX60" s="160"/>
      <c r="PUY60" s="160"/>
      <c r="PUZ60" s="160"/>
      <c r="PVA60" s="160"/>
      <c r="PVB60" s="160"/>
      <c r="PVC60" s="160"/>
      <c r="PVD60" s="160"/>
      <c r="PVE60" s="160"/>
      <c r="PVF60" s="160"/>
      <c r="PVG60" s="160"/>
      <c r="PVH60" s="160"/>
      <c r="PVI60" s="160"/>
      <c r="PVJ60" s="160"/>
      <c r="PVK60" s="160"/>
      <c r="PVL60" s="160"/>
      <c r="PVM60" s="160"/>
      <c r="PVN60" s="160"/>
      <c r="PVO60" s="160"/>
      <c r="PVP60" s="160"/>
      <c r="PVQ60" s="160"/>
      <c r="PVR60" s="160"/>
      <c r="PVS60" s="160"/>
      <c r="PVT60" s="160"/>
      <c r="PVU60" s="160"/>
      <c r="PVV60" s="160"/>
      <c r="PVW60" s="160"/>
      <c r="PVX60" s="160"/>
      <c r="PVY60" s="160"/>
      <c r="PVZ60" s="160"/>
      <c r="PWA60" s="160"/>
      <c r="PWB60" s="160"/>
      <c r="PWC60" s="160"/>
      <c r="PWD60" s="160"/>
      <c r="PWE60" s="160"/>
      <c r="PWF60" s="160"/>
      <c r="PWG60" s="160"/>
      <c r="PWH60" s="160"/>
      <c r="PWI60" s="160"/>
      <c r="PWJ60" s="160"/>
      <c r="PWK60" s="160"/>
      <c r="PWL60" s="160"/>
      <c r="PWM60" s="160"/>
      <c r="PWN60" s="160"/>
      <c r="PWO60" s="160"/>
      <c r="PWP60" s="160"/>
      <c r="PWQ60" s="160"/>
      <c r="PWR60" s="160"/>
      <c r="PWS60" s="160"/>
      <c r="PWT60" s="160"/>
      <c r="PWU60" s="160"/>
      <c r="PWV60" s="160"/>
      <c r="PWW60" s="160"/>
      <c r="PWX60" s="160"/>
      <c r="PWY60" s="160"/>
      <c r="PWZ60" s="160"/>
      <c r="PXA60" s="160"/>
      <c r="PXB60" s="160"/>
      <c r="PXC60" s="160"/>
      <c r="PXD60" s="160"/>
      <c r="PXE60" s="160"/>
      <c r="PXF60" s="160"/>
      <c r="PXG60" s="160"/>
      <c r="PXH60" s="160"/>
      <c r="PXI60" s="160"/>
      <c r="PXJ60" s="160"/>
      <c r="PXK60" s="160"/>
      <c r="PXL60" s="160"/>
      <c r="PXM60" s="160"/>
      <c r="PXN60" s="160"/>
      <c r="PXO60" s="160"/>
      <c r="PXP60" s="160"/>
      <c r="PXQ60" s="160"/>
      <c r="PXR60" s="160"/>
      <c r="PXS60" s="160"/>
      <c r="PXT60" s="160"/>
      <c r="PXU60" s="160"/>
      <c r="PXV60" s="160"/>
      <c r="PXW60" s="160"/>
      <c r="PXX60" s="160"/>
      <c r="PXY60" s="160"/>
      <c r="PXZ60" s="160"/>
      <c r="PYA60" s="160"/>
      <c r="PYB60" s="160"/>
      <c r="PYC60" s="160"/>
      <c r="PYD60" s="160"/>
      <c r="PYE60" s="160"/>
      <c r="PYF60" s="160"/>
      <c r="PYG60" s="160"/>
      <c r="PYH60" s="160"/>
      <c r="PYI60" s="160"/>
      <c r="PYJ60" s="160"/>
      <c r="PYK60" s="160"/>
      <c r="PYL60" s="160"/>
      <c r="PYM60" s="160"/>
      <c r="PYN60" s="160"/>
      <c r="PYO60" s="160"/>
      <c r="PYP60" s="160"/>
      <c r="PYQ60" s="160"/>
      <c r="PYR60" s="160"/>
      <c r="PYS60" s="160"/>
      <c r="PYT60" s="160"/>
      <c r="PYU60" s="160"/>
      <c r="PYV60" s="160"/>
      <c r="PYW60" s="160"/>
      <c r="PYX60" s="160"/>
      <c r="PYY60" s="160"/>
      <c r="PYZ60" s="160"/>
      <c r="PZA60" s="160"/>
      <c r="PZB60" s="160"/>
      <c r="PZC60" s="160"/>
      <c r="PZD60" s="160"/>
      <c r="PZE60" s="160"/>
      <c r="PZF60" s="160"/>
      <c r="PZG60" s="160"/>
      <c r="PZH60" s="160"/>
      <c r="PZI60" s="160"/>
      <c r="PZJ60" s="160"/>
      <c r="PZK60" s="160"/>
      <c r="PZL60" s="160"/>
      <c r="PZM60" s="160"/>
      <c r="PZN60" s="160"/>
      <c r="PZO60" s="160"/>
      <c r="PZP60" s="160"/>
      <c r="PZQ60" s="160"/>
      <c r="PZR60" s="160"/>
      <c r="PZS60" s="160"/>
      <c r="PZT60" s="160"/>
      <c r="PZU60" s="160"/>
      <c r="PZV60" s="160"/>
      <c r="PZW60" s="160"/>
      <c r="PZX60" s="160"/>
      <c r="PZY60" s="160"/>
      <c r="PZZ60" s="160"/>
      <c r="QAA60" s="160"/>
      <c r="QAB60" s="160"/>
      <c r="QAC60" s="160"/>
      <c r="QAD60" s="160"/>
      <c r="QAE60" s="160"/>
      <c r="QAF60" s="160"/>
      <c r="QAG60" s="160"/>
      <c r="QAH60" s="160"/>
      <c r="QAI60" s="160"/>
      <c r="QAJ60" s="160"/>
      <c r="QAK60" s="160"/>
      <c r="QAL60" s="160"/>
      <c r="QAM60" s="160"/>
      <c r="QAN60" s="160"/>
      <c r="QAO60" s="160"/>
      <c r="QAP60" s="160"/>
      <c r="QAQ60" s="160"/>
      <c r="QAR60" s="160"/>
      <c r="QAS60" s="160"/>
      <c r="QAT60" s="160"/>
      <c r="QAU60" s="160"/>
      <c r="QAV60" s="160"/>
      <c r="QAW60" s="160"/>
      <c r="QAX60" s="160"/>
      <c r="QAY60" s="160"/>
      <c r="QAZ60" s="160"/>
      <c r="QBA60" s="160"/>
      <c r="QBB60" s="160"/>
      <c r="QBC60" s="160"/>
      <c r="QBD60" s="160"/>
      <c r="QBE60" s="160"/>
      <c r="QBF60" s="160"/>
      <c r="QBG60" s="160"/>
      <c r="QBH60" s="160"/>
      <c r="QBI60" s="160"/>
      <c r="QBJ60" s="160"/>
      <c r="QBK60" s="160"/>
      <c r="QBL60" s="160"/>
      <c r="QBM60" s="160"/>
      <c r="QBN60" s="160"/>
      <c r="QBO60" s="160"/>
      <c r="QBP60" s="160"/>
      <c r="QBQ60" s="160"/>
      <c r="QBR60" s="160"/>
      <c r="QBS60" s="160"/>
      <c r="QBT60" s="160"/>
      <c r="QBU60" s="160"/>
      <c r="QBV60" s="160"/>
      <c r="QBW60" s="160"/>
      <c r="QBX60" s="160"/>
      <c r="QBY60" s="160"/>
      <c r="QBZ60" s="160"/>
      <c r="QCA60" s="160"/>
      <c r="QCB60" s="160"/>
      <c r="QCC60" s="160"/>
      <c r="QCD60" s="160"/>
      <c r="QCE60" s="160"/>
      <c r="QCF60" s="160"/>
      <c r="QCG60" s="160"/>
      <c r="QCH60" s="160"/>
      <c r="QCI60" s="160"/>
      <c r="QCJ60" s="160"/>
      <c r="QCK60" s="160"/>
      <c r="QCL60" s="160"/>
      <c r="QCM60" s="160"/>
      <c r="QCN60" s="160"/>
      <c r="QCO60" s="160"/>
      <c r="QCP60" s="160"/>
      <c r="QCQ60" s="160"/>
      <c r="QCR60" s="160"/>
      <c r="QCS60" s="160"/>
      <c r="QCT60" s="160"/>
      <c r="QCU60" s="160"/>
      <c r="QCV60" s="160"/>
      <c r="QCW60" s="160"/>
      <c r="QCX60" s="160"/>
      <c r="QCY60" s="160"/>
      <c r="QCZ60" s="160"/>
      <c r="QDA60" s="160"/>
      <c r="QDB60" s="160"/>
      <c r="QDC60" s="160"/>
      <c r="QDD60" s="160"/>
      <c r="QDE60" s="160"/>
      <c r="QDF60" s="160"/>
      <c r="QDG60" s="160"/>
      <c r="QDH60" s="160"/>
      <c r="QDI60" s="160"/>
      <c r="QDJ60" s="160"/>
      <c r="QDK60" s="160"/>
      <c r="QDL60" s="160"/>
      <c r="QDM60" s="160"/>
      <c r="QDN60" s="160"/>
      <c r="QDO60" s="160"/>
      <c r="QDP60" s="160"/>
      <c r="QDQ60" s="160"/>
      <c r="QDR60" s="160"/>
      <c r="QDS60" s="160"/>
      <c r="QDT60" s="160"/>
      <c r="QDU60" s="160"/>
      <c r="QDV60" s="160"/>
      <c r="QDW60" s="160"/>
      <c r="QDX60" s="160"/>
      <c r="QDY60" s="160"/>
      <c r="QDZ60" s="160"/>
      <c r="QEA60" s="160"/>
      <c r="QEB60" s="160"/>
      <c r="QEC60" s="160"/>
      <c r="QED60" s="160"/>
      <c r="QEE60" s="160"/>
      <c r="QEF60" s="160"/>
      <c r="QEG60" s="160"/>
      <c r="QEH60" s="160"/>
      <c r="QEI60" s="160"/>
      <c r="QEJ60" s="160"/>
      <c r="QEK60" s="160"/>
      <c r="QEL60" s="160"/>
      <c r="QEM60" s="160"/>
      <c r="QEN60" s="160"/>
      <c r="QEO60" s="160"/>
      <c r="QEP60" s="160"/>
      <c r="QEQ60" s="160"/>
      <c r="QER60" s="160"/>
      <c r="QES60" s="160"/>
      <c r="QET60" s="160"/>
      <c r="QEU60" s="160"/>
      <c r="QEV60" s="160"/>
      <c r="QEW60" s="160"/>
      <c r="QEX60" s="160"/>
      <c r="QEY60" s="160"/>
      <c r="QEZ60" s="160"/>
      <c r="QFA60" s="160"/>
      <c r="QFB60" s="160"/>
      <c r="QFC60" s="160"/>
      <c r="QFD60" s="160"/>
      <c r="QFE60" s="160"/>
      <c r="QFF60" s="160"/>
      <c r="QFG60" s="160"/>
      <c r="QFH60" s="160"/>
      <c r="QFI60" s="160"/>
      <c r="QFJ60" s="160"/>
      <c r="QFK60" s="160"/>
      <c r="QFL60" s="160"/>
      <c r="QFM60" s="160"/>
      <c r="QFN60" s="160"/>
      <c r="QFO60" s="160"/>
      <c r="QFP60" s="160"/>
      <c r="QFQ60" s="160"/>
      <c r="QFR60" s="160"/>
      <c r="QFS60" s="160"/>
      <c r="QFT60" s="160"/>
      <c r="QFU60" s="160"/>
      <c r="QFV60" s="160"/>
      <c r="QFW60" s="160"/>
      <c r="QFX60" s="160"/>
      <c r="QFY60" s="160"/>
      <c r="QFZ60" s="160"/>
      <c r="QGA60" s="160"/>
      <c r="QGB60" s="160"/>
      <c r="QGC60" s="160"/>
      <c r="QGD60" s="160"/>
      <c r="QGE60" s="160"/>
      <c r="QGF60" s="160"/>
      <c r="QGG60" s="160"/>
      <c r="QGH60" s="160"/>
      <c r="QGI60" s="160"/>
      <c r="QGJ60" s="160"/>
      <c r="QGK60" s="160"/>
      <c r="QGL60" s="160"/>
      <c r="QGM60" s="160"/>
      <c r="QGN60" s="160"/>
      <c r="QGO60" s="160"/>
      <c r="QGP60" s="160"/>
      <c r="QGQ60" s="160"/>
      <c r="QGR60" s="160"/>
      <c r="QGS60" s="160"/>
      <c r="QGT60" s="160"/>
      <c r="QGU60" s="160"/>
      <c r="QGV60" s="160"/>
      <c r="QGW60" s="160"/>
      <c r="QGX60" s="160"/>
      <c r="QGY60" s="160"/>
      <c r="QGZ60" s="160"/>
      <c r="QHA60" s="160"/>
      <c r="QHB60" s="160"/>
      <c r="QHC60" s="160"/>
      <c r="QHD60" s="160"/>
      <c r="QHE60" s="160"/>
      <c r="QHF60" s="160"/>
      <c r="QHG60" s="160"/>
      <c r="QHH60" s="160"/>
      <c r="QHI60" s="160"/>
      <c r="QHJ60" s="160"/>
      <c r="QHK60" s="160"/>
      <c r="QHL60" s="160"/>
      <c r="QHM60" s="160"/>
      <c r="QHN60" s="160"/>
      <c r="QHO60" s="160"/>
      <c r="QHP60" s="160"/>
      <c r="QHQ60" s="160"/>
      <c r="QHR60" s="160"/>
      <c r="QHS60" s="160"/>
      <c r="QHT60" s="160"/>
      <c r="QHU60" s="160"/>
      <c r="QHV60" s="160"/>
      <c r="QHW60" s="160"/>
      <c r="QHX60" s="160"/>
      <c r="QHY60" s="160"/>
      <c r="QHZ60" s="160"/>
      <c r="QIA60" s="160"/>
      <c r="QIB60" s="160"/>
      <c r="QIC60" s="160"/>
      <c r="QID60" s="160"/>
      <c r="QIE60" s="160"/>
      <c r="QIF60" s="160"/>
      <c r="QIG60" s="160"/>
      <c r="QIH60" s="160"/>
      <c r="QII60" s="160"/>
      <c r="QIJ60" s="160"/>
      <c r="QIK60" s="160"/>
      <c r="QIL60" s="160"/>
      <c r="QIM60" s="160"/>
      <c r="QIN60" s="160"/>
      <c r="QIO60" s="160"/>
      <c r="QIP60" s="160"/>
      <c r="QIQ60" s="160"/>
      <c r="QIR60" s="160"/>
      <c r="QIS60" s="160"/>
      <c r="QIT60" s="160"/>
      <c r="QIU60" s="160"/>
      <c r="QIV60" s="160"/>
      <c r="QIW60" s="160"/>
      <c r="QIX60" s="160"/>
      <c r="QIY60" s="160"/>
      <c r="QIZ60" s="160"/>
      <c r="QJA60" s="160"/>
      <c r="QJB60" s="160"/>
      <c r="QJC60" s="160"/>
      <c r="QJD60" s="160"/>
      <c r="QJE60" s="160"/>
      <c r="QJF60" s="160"/>
      <c r="QJG60" s="160"/>
      <c r="QJH60" s="160"/>
      <c r="QJI60" s="160"/>
      <c r="QJJ60" s="160"/>
      <c r="QJK60" s="160"/>
      <c r="QJL60" s="160"/>
      <c r="QJM60" s="160"/>
      <c r="QJN60" s="160"/>
      <c r="QJO60" s="160"/>
      <c r="QJP60" s="160"/>
      <c r="QJQ60" s="160"/>
      <c r="QJR60" s="160"/>
      <c r="QJS60" s="160"/>
      <c r="QJT60" s="160"/>
      <c r="QJU60" s="160"/>
      <c r="QJV60" s="160"/>
      <c r="QJW60" s="160"/>
      <c r="QJX60" s="160"/>
      <c r="QJY60" s="160"/>
      <c r="QJZ60" s="160"/>
      <c r="QKA60" s="160"/>
      <c r="QKB60" s="160"/>
      <c r="QKC60" s="160"/>
      <c r="QKD60" s="160"/>
      <c r="QKE60" s="160"/>
      <c r="QKF60" s="160"/>
      <c r="QKG60" s="160"/>
      <c r="QKH60" s="160"/>
      <c r="QKI60" s="160"/>
      <c r="QKJ60" s="160"/>
      <c r="QKK60" s="160"/>
      <c r="QKL60" s="160"/>
      <c r="QKM60" s="160"/>
      <c r="QKN60" s="160"/>
      <c r="QKO60" s="160"/>
      <c r="QKP60" s="160"/>
      <c r="QKQ60" s="160"/>
      <c r="QKR60" s="160"/>
      <c r="QKS60" s="160"/>
      <c r="QKT60" s="160"/>
      <c r="QKU60" s="160"/>
      <c r="QKV60" s="160"/>
      <c r="QKW60" s="160"/>
      <c r="QKX60" s="160"/>
      <c r="QKY60" s="160"/>
      <c r="QKZ60" s="160"/>
      <c r="QLA60" s="160"/>
      <c r="QLB60" s="160"/>
      <c r="QLC60" s="160"/>
      <c r="QLD60" s="160"/>
      <c r="QLE60" s="160"/>
      <c r="QLF60" s="160"/>
      <c r="QLG60" s="160"/>
      <c r="QLH60" s="160"/>
      <c r="QLI60" s="160"/>
      <c r="QLJ60" s="160"/>
      <c r="QLK60" s="160"/>
      <c r="QLL60" s="160"/>
      <c r="QLM60" s="160"/>
      <c r="QLN60" s="160"/>
      <c r="QLO60" s="160"/>
      <c r="QLP60" s="160"/>
      <c r="QLQ60" s="160"/>
      <c r="QLR60" s="160"/>
      <c r="QLS60" s="160"/>
      <c r="QLT60" s="160"/>
      <c r="QLU60" s="160"/>
      <c r="QLV60" s="160"/>
      <c r="QLW60" s="160"/>
      <c r="QLX60" s="160"/>
      <c r="QLY60" s="160"/>
      <c r="QLZ60" s="160"/>
      <c r="QMA60" s="160"/>
      <c r="QMB60" s="160"/>
      <c r="QMC60" s="160"/>
      <c r="QMD60" s="160"/>
      <c r="QME60" s="160"/>
      <c r="QMF60" s="160"/>
      <c r="QMG60" s="160"/>
      <c r="QMH60" s="160"/>
      <c r="QMI60" s="160"/>
      <c r="QMJ60" s="160"/>
      <c r="QMK60" s="160"/>
      <c r="QML60" s="160"/>
      <c r="QMM60" s="160"/>
      <c r="QMN60" s="160"/>
      <c r="QMO60" s="160"/>
      <c r="QMP60" s="160"/>
      <c r="QMQ60" s="160"/>
      <c r="QMR60" s="160"/>
      <c r="QMS60" s="160"/>
      <c r="QMT60" s="160"/>
      <c r="QMU60" s="160"/>
      <c r="QMV60" s="160"/>
      <c r="QMW60" s="160"/>
      <c r="QMX60" s="160"/>
      <c r="QMY60" s="160"/>
      <c r="QMZ60" s="160"/>
      <c r="QNA60" s="160"/>
      <c r="QNB60" s="160"/>
      <c r="QNC60" s="160"/>
      <c r="QND60" s="160"/>
      <c r="QNE60" s="160"/>
      <c r="QNF60" s="160"/>
      <c r="QNG60" s="160"/>
      <c r="QNH60" s="160"/>
      <c r="QNI60" s="160"/>
      <c r="QNJ60" s="160"/>
      <c r="QNK60" s="160"/>
      <c r="QNL60" s="160"/>
      <c r="QNM60" s="160"/>
      <c r="QNN60" s="160"/>
      <c r="QNO60" s="160"/>
      <c r="QNP60" s="160"/>
      <c r="QNQ60" s="160"/>
      <c r="QNR60" s="160"/>
      <c r="QNS60" s="160"/>
      <c r="QNT60" s="160"/>
      <c r="QNU60" s="160"/>
      <c r="QNV60" s="160"/>
      <c r="QNW60" s="160"/>
      <c r="QNX60" s="160"/>
      <c r="QNY60" s="160"/>
      <c r="QNZ60" s="160"/>
      <c r="QOA60" s="160"/>
      <c r="QOB60" s="160"/>
      <c r="QOC60" s="160"/>
      <c r="QOD60" s="160"/>
      <c r="QOE60" s="160"/>
      <c r="QOF60" s="160"/>
      <c r="QOG60" s="160"/>
      <c r="QOH60" s="160"/>
      <c r="QOI60" s="160"/>
      <c r="QOJ60" s="160"/>
      <c r="QOK60" s="160"/>
      <c r="QOL60" s="160"/>
      <c r="QOM60" s="160"/>
      <c r="QON60" s="160"/>
      <c r="QOO60" s="160"/>
      <c r="QOP60" s="160"/>
      <c r="QOQ60" s="160"/>
      <c r="QOR60" s="160"/>
      <c r="QOS60" s="160"/>
      <c r="QOT60" s="160"/>
      <c r="QOU60" s="160"/>
      <c r="QOV60" s="160"/>
      <c r="QOW60" s="160"/>
      <c r="QOX60" s="160"/>
      <c r="QOY60" s="160"/>
      <c r="QOZ60" s="160"/>
      <c r="QPA60" s="160"/>
      <c r="QPB60" s="160"/>
      <c r="QPC60" s="160"/>
      <c r="QPD60" s="160"/>
      <c r="QPE60" s="160"/>
      <c r="QPF60" s="160"/>
      <c r="QPG60" s="160"/>
      <c r="QPH60" s="160"/>
      <c r="QPI60" s="160"/>
      <c r="QPJ60" s="160"/>
      <c r="QPK60" s="160"/>
      <c r="QPL60" s="160"/>
      <c r="QPM60" s="160"/>
      <c r="QPN60" s="160"/>
      <c r="QPO60" s="160"/>
      <c r="QPP60" s="160"/>
      <c r="QPQ60" s="160"/>
      <c r="QPR60" s="160"/>
      <c r="QPS60" s="160"/>
      <c r="QPT60" s="160"/>
      <c r="QPU60" s="160"/>
      <c r="QPV60" s="160"/>
      <c r="QPW60" s="160"/>
      <c r="QPX60" s="160"/>
      <c r="QPY60" s="160"/>
      <c r="QPZ60" s="160"/>
      <c r="QQA60" s="160"/>
      <c r="QQB60" s="160"/>
      <c r="QQC60" s="160"/>
      <c r="QQD60" s="160"/>
      <c r="QQE60" s="160"/>
      <c r="QQF60" s="160"/>
      <c r="QQG60" s="160"/>
      <c r="QQH60" s="160"/>
      <c r="QQI60" s="160"/>
      <c r="QQJ60" s="160"/>
      <c r="QQK60" s="160"/>
      <c r="QQL60" s="160"/>
      <c r="QQM60" s="160"/>
      <c r="QQN60" s="160"/>
      <c r="QQO60" s="160"/>
      <c r="QQP60" s="160"/>
      <c r="QQQ60" s="160"/>
      <c r="QQR60" s="160"/>
      <c r="QQS60" s="160"/>
      <c r="QQT60" s="160"/>
      <c r="QQU60" s="160"/>
      <c r="QQV60" s="160"/>
      <c r="QQW60" s="160"/>
      <c r="QQX60" s="160"/>
      <c r="QQY60" s="160"/>
      <c r="QQZ60" s="160"/>
      <c r="QRA60" s="160"/>
      <c r="QRB60" s="160"/>
      <c r="QRC60" s="160"/>
      <c r="QRD60" s="160"/>
      <c r="QRE60" s="160"/>
      <c r="QRF60" s="160"/>
      <c r="QRG60" s="160"/>
      <c r="QRH60" s="160"/>
      <c r="QRI60" s="160"/>
      <c r="QRJ60" s="160"/>
      <c r="QRK60" s="160"/>
      <c r="QRL60" s="160"/>
      <c r="QRM60" s="160"/>
      <c r="QRN60" s="160"/>
      <c r="QRO60" s="160"/>
      <c r="QRP60" s="160"/>
      <c r="QRQ60" s="160"/>
      <c r="QRR60" s="160"/>
      <c r="QRS60" s="160"/>
      <c r="QRT60" s="160"/>
      <c r="QRU60" s="160"/>
      <c r="QRV60" s="160"/>
      <c r="QRW60" s="160"/>
      <c r="QRX60" s="160"/>
      <c r="QRY60" s="160"/>
      <c r="QRZ60" s="160"/>
      <c r="QSA60" s="160"/>
      <c r="QSB60" s="160"/>
      <c r="QSC60" s="160"/>
      <c r="QSD60" s="160"/>
      <c r="QSE60" s="160"/>
      <c r="QSF60" s="160"/>
      <c r="QSG60" s="160"/>
      <c r="QSH60" s="160"/>
      <c r="QSI60" s="160"/>
      <c r="QSJ60" s="160"/>
      <c r="QSK60" s="160"/>
      <c r="QSL60" s="160"/>
      <c r="QSM60" s="160"/>
      <c r="QSN60" s="160"/>
      <c r="QSO60" s="160"/>
      <c r="QSP60" s="160"/>
      <c r="QSQ60" s="160"/>
      <c r="QSR60" s="160"/>
      <c r="QSS60" s="160"/>
      <c r="QST60" s="160"/>
      <c r="QSU60" s="160"/>
      <c r="QSV60" s="160"/>
      <c r="QSW60" s="160"/>
      <c r="QSX60" s="160"/>
      <c r="QSY60" s="160"/>
      <c r="QSZ60" s="160"/>
      <c r="QTA60" s="160"/>
      <c r="QTB60" s="160"/>
      <c r="QTC60" s="160"/>
      <c r="QTD60" s="160"/>
      <c r="QTE60" s="160"/>
      <c r="QTF60" s="160"/>
      <c r="QTG60" s="160"/>
      <c r="QTH60" s="160"/>
      <c r="QTI60" s="160"/>
      <c r="QTJ60" s="160"/>
      <c r="QTK60" s="160"/>
      <c r="QTL60" s="160"/>
      <c r="QTM60" s="160"/>
      <c r="QTN60" s="160"/>
      <c r="QTO60" s="160"/>
      <c r="QTP60" s="160"/>
      <c r="QTQ60" s="160"/>
      <c r="QTR60" s="160"/>
      <c r="QTS60" s="160"/>
      <c r="QTT60" s="160"/>
      <c r="QTU60" s="160"/>
      <c r="QTV60" s="160"/>
      <c r="QTW60" s="160"/>
      <c r="QTX60" s="160"/>
      <c r="QTY60" s="160"/>
      <c r="QTZ60" s="160"/>
      <c r="QUA60" s="160"/>
      <c r="QUB60" s="160"/>
      <c r="QUC60" s="160"/>
      <c r="QUD60" s="160"/>
      <c r="QUE60" s="160"/>
      <c r="QUF60" s="160"/>
      <c r="QUG60" s="160"/>
      <c r="QUH60" s="160"/>
      <c r="QUI60" s="160"/>
      <c r="QUJ60" s="160"/>
      <c r="QUK60" s="160"/>
      <c r="QUL60" s="160"/>
      <c r="QUM60" s="160"/>
      <c r="QUN60" s="160"/>
      <c r="QUO60" s="160"/>
      <c r="QUP60" s="160"/>
      <c r="QUQ60" s="160"/>
      <c r="QUR60" s="160"/>
      <c r="QUS60" s="160"/>
      <c r="QUT60" s="160"/>
      <c r="QUU60" s="160"/>
      <c r="QUV60" s="160"/>
      <c r="QUW60" s="160"/>
      <c r="QUX60" s="160"/>
      <c r="QUY60" s="160"/>
      <c r="QUZ60" s="160"/>
      <c r="QVA60" s="160"/>
      <c r="QVB60" s="160"/>
      <c r="QVC60" s="160"/>
      <c r="QVD60" s="160"/>
      <c r="QVE60" s="160"/>
      <c r="QVF60" s="160"/>
      <c r="QVG60" s="160"/>
      <c r="QVH60" s="160"/>
      <c r="QVI60" s="160"/>
      <c r="QVJ60" s="160"/>
      <c r="QVK60" s="160"/>
      <c r="QVL60" s="160"/>
      <c r="QVM60" s="160"/>
      <c r="QVN60" s="160"/>
      <c r="QVO60" s="160"/>
      <c r="QVP60" s="160"/>
      <c r="QVQ60" s="160"/>
      <c r="QVR60" s="160"/>
      <c r="QVS60" s="160"/>
      <c r="QVT60" s="160"/>
      <c r="QVU60" s="160"/>
      <c r="QVV60" s="160"/>
      <c r="QVW60" s="160"/>
      <c r="QVX60" s="160"/>
      <c r="QVY60" s="160"/>
      <c r="QVZ60" s="160"/>
      <c r="QWA60" s="160"/>
      <c r="QWB60" s="160"/>
      <c r="QWC60" s="160"/>
      <c r="QWD60" s="160"/>
      <c r="QWE60" s="160"/>
      <c r="QWF60" s="160"/>
      <c r="QWG60" s="160"/>
      <c r="QWH60" s="160"/>
      <c r="QWI60" s="160"/>
      <c r="QWJ60" s="160"/>
      <c r="QWK60" s="160"/>
      <c r="QWL60" s="160"/>
      <c r="QWM60" s="160"/>
      <c r="QWN60" s="160"/>
      <c r="QWO60" s="160"/>
      <c r="QWP60" s="160"/>
      <c r="QWQ60" s="160"/>
      <c r="QWR60" s="160"/>
      <c r="QWS60" s="160"/>
      <c r="QWT60" s="160"/>
      <c r="QWU60" s="160"/>
      <c r="QWV60" s="160"/>
      <c r="QWW60" s="160"/>
      <c r="QWX60" s="160"/>
      <c r="QWY60" s="160"/>
      <c r="QWZ60" s="160"/>
      <c r="QXA60" s="160"/>
      <c r="QXB60" s="160"/>
      <c r="QXC60" s="160"/>
      <c r="QXD60" s="160"/>
      <c r="QXE60" s="160"/>
      <c r="QXF60" s="160"/>
      <c r="QXG60" s="160"/>
      <c r="QXH60" s="160"/>
      <c r="QXI60" s="160"/>
      <c r="QXJ60" s="160"/>
      <c r="QXK60" s="160"/>
      <c r="QXL60" s="160"/>
      <c r="QXM60" s="160"/>
      <c r="QXN60" s="160"/>
      <c r="QXO60" s="160"/>
      <c r="QXP60" s="160"/>
      <c r="QXQ60" s="160"/>
      <c r="QXR60" s="160"/>
      <c r="QXS60" s="160"/>
      <c r="QXT60" s="160"/>
      <c r="QXU60" s="160"/>
      <c r="QXV60" s="160"/>
      <c r="QXW60" s="160"/>
      <c r="QXX60" s="160"/>
      <c r="QXY60" s="160"/>
      <c r="QXZ60" s="160"/>
      <c r="QYA60" s="160"/>
      <c r="QYB60" s="160"/>
      <c r="QYC60" s="160"/>
      <c r="QYD60" s="160"/>
      <c r="QYE60" s="160"/>
      <c r="QYF60" s="160"/>
      <c r="QYG60" s="160"/>
      <c r="QYH60" s="160"/>
      <c r="QYI60" s="160"/>
      <c r="QYJ60" s="160"/>
      <c r="QYK60" s="160"/>
      <c r="QYL60" s="160"/>
      <c r="QYM60" s="160"/>
      <c r="QYN60" s="160"/>
      <c r="QYO60" s="160"/>
      <c r="QYP60" s="160"/>
      <c r="QYQ60" s="160"/>
      <c r="QYR60" s="160"/>
      <c r="QYS60" s="160"/>
      <c r="QYT60" s="160"/>
      <c r="QYU60" s="160"/>
      <c r="QYV60" s="160"/>
      <c r="QYW60" s="160"/>
      <c r="QYX60" s="160"/>
      <c r="QYY60" s="160"/>
      <c r="QYZ60" s="160"/>
      <c r="QZA60" s="160"/>
      <c r="QZB60" s="160"/>
      <c r="QZC60" s="160"/>
      <c r="QZD60" s="160"/>
      <c r="QZE60" s="160"/>
      <c r="QZF60" s="160"/>
      <c r="QZG60" s="160"/>
      <c r="QZH60" s="160"/>
      <c r="QZI60" s="160"/>
      <c r="QZJ60" s="160"/>
      <c r="QZK60" s="160"/>
      <c r="QZL60" s="160"/>
      <c r="QZM60" s="160"/>
      <c r="QZN60" s="160"/>
      <c r="QZO60" s="160"/>
      <c r="QZP60" s="160"/>
      <c r="QZQ60" s="160"/>
      <c r="QZR60" s="160"/>
      <c r="QZS60" s="160"/>
      <c r="QZT60" s="160"/>
      <c r="QZU60" s="160"/>
      <c r="QZV60" s="160"/>
      <c r="QZW60" s="160"/>
      <c r="QZX60" s="160"/>
      <c r="QZY60" s="160"/>
      <c r="QZZ60" s="160"/>
      <c r="RAA60" s="160"/>
      <c r="RAB60" s="160"/>
      <c r="RAC60" s="160"/>
      <c r="RAD60" s="160"/>
      <c r="RAE60" s="160"/>
      <c r="RAF60" s="160"/>
      <c r="RAG60" s="160"/>
      <c r="RAH60" s="160"/>
      <c r="RAI60" s="160"/>
      <c r="RAJ60" s="160"/>
      <c r="RAK60" s="160"/>
      <c r="RAL60" s="160"/>
      <c r="RAM60" s="160"/>
      <c r="RAN60" s="160"/>
      <c r="RAO60" s="160"/>
      <c r="RAP60" s="160"/>
      <c r="RAQ60" s="160"/>
      <c r="RAR60" s="160"/>
      <c r="RAS60" s="160"/>
      <c r="RAT60" s="160"/>
      <c r="RAU60" s="160"/>
      <c r="RAV60" s="160"/>
      <c r="RAW60" s="160"/>
      <c r="RAX60" s="160"/>
      <c r="RAY60" s="160"/>
      <c r="RAZ60" s="160"/>
      <c r="RBA60" s="160"/>
      <c r="RBB60" s="160"/>
      <c r="RBC60" s="160"/>
      <c r="RBD60" s="160"/>
      <c r="RBE60" s="160"/>
      <c r="RBF60" s="160"/>
      <c r="RBG60" s="160"/>
      <c r="RBH60" s="160"/>
      <c r="RBI60" s="160"/>
      <c r="RBJ60" s="160"/>
      <c r="RBK60" s="160"/>
      <c r="RBL60" s="160"/>
      <c r="RBM60" s="160"/>
      <c r="RBN60" s="160"/>
      <c r="RBO60" s="160"/>
      <c r="RBP60" s="160"/>
      <c r="RBQ60" s="160"/>
      <c r="RBR60" s="160"/>
      <c r="RBS60" s="160"/>
      <c r="RBT60" s="160"/>
      <c r="RBU60" s="160"/>
      <c r="RBV60" s="160"/>
      <c r="RBW60" s="160"/>
      <c r="RBX60" s="160"/>
      <c r="RBY60" s="160"/>
      <c r="RBZ60" s="160"/>
      <c r="RCA60" s="160"/>
      <c r="RCB60" s="160"/>
      <c r="RCC60" s="160"/>
      <c r="RCD60" s="160"/>
      <c r="RCE60" s="160"/>
      <c r="RCF60" s="160"/>
      <c r="RCG60" s="160"/>
      <c r="RCH60" s="160"/>
      <c r="RCI60" s="160"/>
      <c r="RCJ60" s="160"/>
      <c r="RCK60" s="160"/>
      <c r="RCL60" s="160"/>
      <c r="RCM60" s="160"/>
      <c r="RCN60" s="160"/>
      <c r="RCO60" s="160"/>
      <c r="RCP60" s="160"/>
      <c r="RCQ60" s="160"/>
      <c r="RCR60" s="160"/>
      <c r="RCS60" s="160"/>
      <c r="RCT60" s="160"/>
      <c r="RCU60" s="160"/>
      <c r="RCV60" s="160"/>
      <c r="RCW60" s="160"/>
      <c r="RCX60" s="160"/>
      <c r="RCY60" s="160"/>
      <c r="RCZ60" s="160"/>
      <c r="RDA60" s="160"/>
      <c r="RDB60" s="160"/>
      <c r="RDC60" s="160"/>
      <c r="RDD60" s="160"/>
      <c r="RDE60" s="160"/>
      <c r="RDF60" s="160"/>
      <c r="RDG60" s="160"/>
      <c r="RDH60" s="160"/>
      <c r="RDI60" s="160"/>
      <c r="RDJ60" s="160"/>
      <c r="RDK60" s="160"/>
      <c r="RDL60" s="160"/>
      <c r="RDM60" s="160"/>
      <c r="RDN60" s="160"/>
      <c r="RDO60" s="160"/>
      <c r="RDP60" s="160"/>
      <c r="RDQ60" s="160"/>
      <c r="RDR60" s="160"/>
      <c r="RDS60" s="160"/>
      <c r="RDT60" s="160"/>
      <c r="RDU60" s="160"/>
      <c r="RDV60" s="160"/>
      <c r="RDW60" s="160"/>
      <c r="RDX60" s="160"/>
      <c r="RDY60" s="160"/>
      <c r="RDZ60" s="160"/>
      <c r="REA60" s="160"/>
      <c r="REB60" s="160"/>
      <c r="REC60" s="160"/>
      <c r="RED60" s="160"/>
      <c r="REE60" s="160"/>
      <c r="REF60" s="160"/>
      <c r="REG60" s="160"/>
      <c r="REH60" s="160"/>
      <c r="REI60" s="160"/>
      <c r="REJ60" s="160"/>
      <c r="REK60" s="160"/>
      <c r="REL60" s="160"/>
      <c r="REM60" s="160"/>
      <c r="REN60" s="160"/>
      <c r="REO60" s="160"/>
      <c r="REP60" s="160"/>
      <c r="REQ60" s="160"/>
      <c r="RER60" s="160"/>
      <c r="RES60" s="160"/>
      <c r="RET60" s="160"/>
      <c r="REU60" s="160"/>
      <c r="REV60" s="160"/>
      <c r="REW60" s="160"/>
      <c r="REX60" s="160"/>
      <c r="REY60" s="160"/>
      <c r="REZ60" s="160"/>
      <c r="RFA60" s="160"/>
      <c r="RFB60" s="160"/>
      <c r="RFC60" s="160"/>
      <c r="RFD60" s="160"/>
      <c r="RFE60" s="160"/>
      <c r="RFF60" s="160"/>
      <c r="RFG60" s="160"/>
      <c r="RFH60" s="160"/>
      <c r="RFI60" s="160"/>
      <c r="RFJ60" s="160"/>
      <c r="RFK60" s="160"/>
      <c r="RFL60" s="160"/>
      <c r="RFM60" s="160"/>
      <c r="RFN60" s="160"/>
      <c r="RFO60" s="160"/>
      <c r="RFP60" s="160"/>
      <c r="RFQ60" s="160"/>
      <c r="RFR60" s="160"/>
      <c r="RFS60" s="160"/>
      <c r="RFT60" s="160"/>
      <c r="RFU60" s="160"/>
      <c r="RFV60" s="160"/>
      <c r="RFW60" s="160"/>
      <c r="RFX60" s="160"/>
      <c r="RFY60" s="160"/>
      <c r="RFZ60" s="160"/>
      <c r="RGA60" s="160"/>
      <c r="RGB60" s="160"/>
      <c r="RGC60" s="160"/>
      <c r="RGD60" s="160"/>
      <c r="RGE60" s="160"/>
      <c r="RGF60" s="160"/>
      <c r="RGG60" s="160"/>
      <c r="RGH60" s="160"/>
      <c r="RGI60" s="160"/>
      <c r="RGJ60" s="160"/>
      <c r="RGK60" s="160"/>
      <c r="RGL60" s="160"/>
      <c r="RGM60" s="160"/>
      <c r="RGN60" s="160"/>
      <c r="RGO60" s="160"/>
      <c r="RGP60" s="160"/>
      <c r="RGQ60" s="160"/>
      <c r="RGR60" s="160"/>
      <c r="RGS60" s="160"/>
      <c r="RGT60" s="160"/>
      <c r="RGU60" s="160"/>
      <c r="RGV60" s="160"/>
      <c r="RGW60" s="160"/>
      <c r="RGX60" s="160"/>
      <c r="RGY60" s="160"/>
      <c r="RGZ60" s="160"/>
      <c r="RHA60" s="160"/>
      <c r="RHB60" s="160"/>
      <c r="RHC60" s="160"/>
      <c r="RHD60" s="160"/>
      <c r="RHE60" s="160"/>
      <c r="RHF60" s="160"/>
      <c r="RHG60" s="160"/>
      <c r="RHH60" s="160"/>
      <c r="RHI60" s="160"/>
      <c r="RHJ60" s="160"/>
      <c r="RHK60" s="160"/>
      <c r="RHL60" s="160"/>
      <c r="RHM60" s="160"/>
      <c r="RHN60" s="160"/>
      <c r="RHO60" s="160"/>
      <c r="RHP60" s="160"/>
      <c r="RHQ60" s="160"/>
      <c r="RHR60" s="160"/>
      <c r="RHS60" s="160"/>
      <c r="RHT60" s="160"/>
      <c r="RHU60" s="160"/>
      <c r="RHV60" s="160"/>
      <c r="RHW60" s="160"/>
      <c r="RHX60" s="160"/>
      <c r="RHY60" s="160"/>
      <c r="RHZ60" s="160"/>
      <c r="RIA60" s="160"/>
      <c r="RIB60" s="160"/>
      <c r="RIC60" s="160"/>
      <c r="RID60" s="160"/>
      <c r="RIE60" s="160"/>
      <c r="RIF60" s="160"/>
      <c r="RIG60" s="160"/>
      <c r="RIH60" s="160"/>
      <c r="RII60" s="160"/>
      <c r="RIJ60" s="160"/>
      <c r="RIK60" s="160"/>
      <c r="RIL60" s="160"/>
      <c r="RIM60" s="160"/>
      <c r="RIN60" s="160"/>
      <c r="RIO60" s="160"/>
      <c r="RIP60" s="160"/>
      <c r="RIQ60" s="160"/>
      <c r="RIR60" s="160"/>
      <c r="RIS60" s="160"/>
      <c r="RIT60" s="160"/>
      <c r="RIU60" s="160"/>
      <c r="RIV60" s="160"/>
      <c r="RIW60" s="160"/>
      <c r="RIX60" s="160"/>
      <c r="RIY60" s="160"/>
      <c r="RIZ60" s="160"/>
      <c r="RJA60" s="160"/>
      <c r="RJB60" s="160"/>
      <c r="RJC60" s="160"/>
      <c r="RJD60" s="160"/>
      <c r="RJE60" s="160"/>
      <c r="RJF60" s="160"/>
      <c r="RJG60" s="160"/>
      <c r="RJH60" s="160"/>
      <c r="RJI60" s="160"/>
      <c r="RJJ60" s="160"/>
      <c r="RJK60" s="160"/>
      <c r="RJL60" s="160"/>
      <c r="RJM60" s="160"/>
      <c r="RJN60" s="160"/>
      <c r="RJO60" s="160"/>
      <c r="RJP60" s="160"/>
      <c r="RJQ60" s="160"/>
      <c r="RJR60" s="160"/>
      <c r="RJS60" s="160"/>
      <c r="RJT60" s="160"/>
      <c r="RJU60" s="160"/>
      <c r="RJV60" s="160"/>
      <c r="RJW60" s="160"/>
      <c r="RJX60" s="160"/>
      <c r="RJY60" s="160"/>
      <c r="RJZ60" s="160"/>
      <c r="RKA60" s="160"/>
      <c r="RKB60" s="160"/>
      <c r="RKC60" s="160"/>
      <c r="RKD60" s="160"/>
      <c r="RKE60" s="160"/>
      <c r="RKF60" s="160"/>
      <c r="RKG60" s="160"/>
      <c r="RKH60" s="160"/>
      <c r="RKI60" s="160"/>
      <c r="RKJ60" s="160"/>
      <c r="RKK60" s="160"/>
      <c r="RKL60" s="160"/>
      <c r="RKM60" s="160"/>
      <c r="RKN60" s="160"/>
      <c r="RKO60" s="160"/>
      <c r="RKP60" s="160"/>
      <c r="RKQ60" s="160"/>
      <c r="RKR60" s="160"/>
      <c r="RKS60" s="160"/>
      <c r="RKT60" s="160"/>
      <c r="RKU60" s="160"/>
      <c r="RKV60" s="160"/>
      <c r="RKW60" s="160"/>
      <c r="RKX60" s="160"/>
      <c r="RKY60" s="160"/>
      <c r="RKZ60" s="160"/>
      <c r="RLA60" s="160"/>
      <c r="RLB60" s="160"/>
      <c r="RLC60" s="160"/>
      <c r="RLD60" s="160"/>
      <c r="RLE60" s="160"/>
      <c r="RLF60" s="160"/>
      <c r="RLG60" s="160"/>
      <c r="RLH60" s="160"/>
      <c r="RLI60" s="160"/>
      <c r="RLJ60" s="160"/>
      <c r="RLK60" s="160"/>
      <c r="RLL60" s="160"/>
      <c r="RLM60" s="160"/>
      <c r="RLN60" s="160"/>
      <c r="RLO60" s="160"/>
      <c r="RLP60" s="160"/>
      <c r="RLQ60" s="160"/>
      <c r="RLR60" s="160"/>
      <c r="RLS60" s="160"/>
      <c r="RLT60" s="160"/>
      <c r="RLU60" s="160"/>
      <c r="RLV60" s="160"/>
      <c r="RLW60" s="160"/>
      <c r="RLX60" s="160"/>
      <c r="RLY60" s="160"/>
      <c r="RLZ60" s="160"/>
      <c r="RMA60" s="160"/>
      <c r="RMB60" s="160"/>
      <c r="RMC60" s="160"/>
      <c r="RMD60" s="160"/>
      <c r="RME60" s="160"/>
      <c r="RMF60" s="160"/>
      <c r="RMG60" s="160"/>
      <c r="RMH60" s="160"/>
      <c r="RMI60" s="160"/>
      <c r="RMJ60" s="160"/>
      <c r="RMK60" s="160"/>
      <c r="RML60" s="160"/>
      <c r="RMM60" s="160"/>
      <c r="RMN60" s="160"/>
      <c r="RMO60" s="160"/>
      <c r="RMP60" s="160"/>
      <c r="RMQ60" s="160"/>
      <c r="RMR60" s="160"/>
      <c r="RMS60" s="160"/>
      <c r="RMT60" s="160"/>
      <c r="RMU60" s="160"/>
      <c r="RMV60" s="160"/>
      <c r="RMW60" s="160"/>
      <c r="RMX60" s="160"/>
      <c r="RMY60" s="160"/>
      <c r="RMZ60" s="160"/>
      <c r="RNA60" s="160"/>
      <c r="RNB60" s="160"/>
      <c r="RNC60" s="160"/>
      <c r="RND60" s="160"/>
      <c r="RNE60" s="160"/>
      <c r="RNF60" s="160"/>
      <c r="RNG60" s="160"/>
      <c r="RNH60" s="160"/>
      <c r="RNI60" s="160"/>
      <c r="RNJ60" s="160"/>
      <c r="RNK60" s="160"/>
      <c r="RNL60" s="160"/>
      <c r="RNM60" s="160"/>
      <c r="RNN60" s="160"/>
      <c r="RNO60" s="160"/>
      <c r="RNP60" s="160"/>
      <c r="RNQ60" s="160"/>
      <c r="RNR60" s="160"/>
      <c r="RNS60" s="160"/>
      <c r="RNT60" s="160"/>
      <c r="RNU60" s="160"/>
      <c r="RNV60" s="160"/>
      <c r="RNW60" s="160"/>
      <c r="RNX60" s="160"/>
      <c r="RNY60" s="160"/>
      <c r="RNZ60" s="160"/>
      <c r="ROA60" s="160"/>
      <c r="ROB60" s="160"/>
      <c r="ROC60" s="160"/>
      <c r="ROD60" s="160"/>
      <c r="ROE60" s="160"/>
      <c r="ROF60" s="160"/>
      <c r="ROG60" s="160"/>
      <c r="ROH60" s="160"/>
      <c r="ROI60" s="160"/>
      <c r="ROJ60" s="160"/>
      <c r="ROK60" s="160"/>
      <c r="ROL60" s="160"/>
      <c r="ROM60" s="160"/>
      <c r="RON60" s="160"/>
      <c r="ROO60" s="160"/>
      <c r="ROP60" s="160"/>
      <c r="ROQ60" s="160"/>
      <c r="ROR60" s="160"/>
      <c r="ROS60" s="160"/>
      <c r="ROT60" s="160"/>
      <c r="ROU60" s="160"/>
      <c r="ROV60" s="160"/>
      <c r="ROW60" s="160"/>
      <c r="ROX60" s="160"/>
      <c r="ROY60" s="160"/>
      <c r="ROZ60" s="160"/>
      <c r="RPA60" s="160"/>
      <c r="RPB60" s="160"/>
      <c r="RPC60" s="160"/>
      <c r="RPD60" s="160"/>
      <c r="RPE60" s="160"/>
      <c r="RPF60" s="160"/>
      <c r="RPG60" s="160"/>
      <c r="RPH60" s="160"/>
      <c r="RPI60" s="160"/>
      <c r="RPJ60" s="160"/>
      <c r="RPK60" s="160"/>
      <c r="RPL60" s="160"/>
      <c r="RPM60" s="160"/>
      <c r="RPN60" s="160"/>
      <c r="RPO60" s="160"/>
      <c r="RPP60" s="160"/>
      <c r="RPQ60" s="160"/>
      <c r="RPR60" s="160"/>
      <c r="RPS60" s="160"/>
      <c r="RPT60" s="160"/>
      <c r="RPU60" s="160"/>
      <c r="RPV60" s="160"/>
      <c r="RPW60" s="160"/>
      <c r="RPX60" s="160"/>
      <c r="RPY60" s="160"/>
      <c r="RPZ60" s="160"/>
      <c r="RQA60" s="160"/>
      <c r="RQB60" s="160"/>
      <c r="RQC60" s="160"/>
      <c r="RQD60" s="160"/>
      <c r="RQE60" s="160"/>
      <c r="RQF60" s="160"/>
      <c r="RQG60" s="160"/>
      <c r="RQH60" s="160"/>
      <c r="RQI60" s="160"/>
      <c r="RQJ60" s="160"/>
      <c r="RQK60" s="160"/>
      <c r="RQL60" s="160"/>
      <c r="RQM60" s="160"/>
      <c r="RQN60" s="160"/>
      <c r="RQO60" s="160"/>
      <c r="RQP60" s="160"/>
      <c r="RQQ60" s="160"/>
      <c r="RQR60" s="160"/>
      <c r="RQS60" s="160"/>
      <c r="RQT60" s="160"/>
      <c r="RQU60" s="160"/>
      <c r="RQV60" s="160"/>
      <c r="RQW60" s="160"/>
      <c r="RQX60" s="160"/>
      <c r="RQY60" s="160"/>
      <c r="RQZ60" s="160"/>
      <c r="RRA60" s="160"/>
      <c r="RRB60" s="160"/>
      <c r="RRC60" s="160"/>
      <c r="RRD60" s="160"/>
      <c r="RRE60" s="160"/>
      <c r="RRF60" s="160"/>
      <c r="RRG60" s="160"/>
      <c r="RRH60" s="160"/>
      <c r="RRI60" s="160"/>
      <c r="RRJ60" s="160"/>
      <c r="RRK60" s="160"/>
      <c r="RRL60" s="160"/>
      <c r="RRM60" s="160"/>
      <c r="RRN60" s="160"/>
      <c r="RRO60" s="160"/>
      <c r="RRP60" s="160"/>
      <c r="RRQ60" s="160"/>
      <c r="RRR60" s="160"/>
      <c r="RRS60" s="160"/>
      <c r="RRT60" s="160"/>
      <c r="RRU60" s="160"/>
      <c r="RRV60" s="160"/>
      <c r="RRW60" s="160"/>
      <c r="RRX60" s="160"/>
      <c r="RRY60" s="160"/>
      <c r="RRZ60" s="160"/>
      <c r="RSA60" s="160"/>
      <c r="RSB60" s="160"/>
      <c r="RSC60" s="160"/>
      <c r="RSD60" s="160"/>
      <c r="RSE60" s="160"/>
      <c r="RSF60" s="160"/>
      <c r="RSG60" s="160"/>
      <c r="RSH60" s="160"/>
      <c r="RSI60" s="160"/>
      <c r="RSJ60" s="160"/>
      <c r="RSK60" s="160"/>
      <c r="RSL60" s="160"/>
      <c r="RSM60" s="160"/>
      <c r="RSN60" s="160"/>
      <c r="RSO60" s="160"/>
      <c r="RSP60" s="160"/>
      <c r="RSQ60" s="160"/>
      <c r="RSR60" s="160"/>
      <c r="RSS60" s="160"/>
      <c r="RST60" s="160"/>
      <c r="RSU60" s="160"/>
      <c r="RSV60" s="160"/>
      <c r="RSW60" s="160"/>
      <c r="RSX60" s="160"/>
      <c r="RSY60" s="160"/>
      <c r="RSZ60" s="160"/>
      <c r="RTA60" s="160"/>
      <c r="RTB60" s="160"/>
      <c r="RTC60" s="160"/>
      <c r="RTD60" s="160"/>
      <c r="RTE60" s="160"/>
      <c r="RTF60" s="160"/>
      <c r="RTG60" s="160"/>
      <c r="RTH60" s="160"/>
      <c r="RTI60" s="160"/>
      <c r="RTJ60" s="160"/>
      <c r="RTK60" s="160"/>
      <c r="RTL60" s="160"/>
      <c r="RTM60" s="160"/>
      <c r="RTN60" s="160"/>
      <c r="RTO60" s="160"/>
      <c r="RTP60" s="160"/>
      <c r="RTQ60" s="160"/>
      <c r="RTR60" s="160"/>
      <c r="RTS60" s="160"/>
      <c r="RTT60" s="160"/>
      <c r="RTU60" s="160"/>
      <c r="RTV60" s="160"/>
      <c r="RTW60" s="160"/>
      <c r="RTX60" s="160"/>
      <c r="RTY60" s="160"/>
      <c r="RTZ60" s="160"/>
      <c r="RUA60" s="160"/>
      <c r="RUB60" s="160"/>
      <c r="RUC60" s="160"/>
      <c r="RUD60" s="160"/>
      <c r="RUE60" s="160"/>
      <c r="RUF60" s="160"/>
      <c r="RUG60" s="160"/>
      <c r="RUH60" s="160"/>
      <c r="RUI60" s="160"/>
      <c r="RUJ60" s="160"/>
      <c r="RUK60" s="160"/>
      <c r="RUL60" s="160"/>
      <c r="RUM60" s="160"/>
      <c r="RUN60" s="160"/>
      <c r="RUO60" s="160"/>
      <c r="RUP60" s="160"/>
      <c r="RUQ60" s="160"/>
      <c r="RUR60" s="160"/>
      <c r="RUS60" s="160"/>
      <c r="RUT60" s="160"/>
      <c r="RUU60" s="160"/>
      <c r="RUV60" s="160"/>
      <c r="RUW60" s="160"/>
      <c r="RUX60" s="160"/>
      <c r="RUY60" s="160"/>
      <c r="RUZ60" s="160"/>
      <c r="RVA60" s="160"/>
      <c r="RVB60" s="160"/>
      <c r="RVC60" s="160"/>
      <c r="RVD60" s="160"/>
      <c r="RVE60" s="160"/>
      <c r="RVF60" s="160"/>
      <c r="RVG60" s="160"/>
      <c r="RVH60" s="160"/>
      <c r="RVI60" s="160"/>
      <c r="RVJ60" s="160"/>
      <c r="RVK60" s="160"/>
      <c r="RVL60" s="160"/>
      <c r="RVM60" s="160"/>
      <c r="RVN60" s="160"/>
      <c r="RVO60" s="160"/>
      <c r="RVP60" s="160"/>
      <c r="RVQ60" s="160"/>
      <c r="RVR60" s="160"/>
      <c r="RVS60" s="160"/>
      <c r="RVT60" s="160"/>
      <c r="RVU60" s="160"/>
      <c r="RVV60" s="160"/>
      <c r="RVW60" s="160"/>
      <c r="RVX60" s="160"/>
      <c r="RVY60" s="160"/>
      <c r="RVZ60" s="160"/>
      <c r="RWA60" s="160"/>
      <c r="RWB60" s="160"/>
      <c r="RWC60" s="160"/>
      <c r="RWD60" s="160"/>
      <c r="RWE60" s="160"/>
      <c r="RWF60" s="160"/>
      <c r="RWG60" s="160"/>
      <c r="RWH60" s="160"/>
      <c r="RWI60" s="160"/>
      <c r="RWJ60" s="160"/>
      <c r="RWK60" s="160"/>
      <c r="RWL60" s="160"/>
      <c r="RWM60" s="160"/>
      <c r="RWN60" s="160"/>
      <c r="RWO60" s="160"/>
      <c r="RWP60" s="160"/>
      <c r="RWQ60" s="160"/>
      <c r="RWR60" s="160"/>
      <c r="RWS60" s="160"/>
      <c r="RWT60" s="160"/>
      <c r="RWU60" s="160"/>
      <c r="RWV60" s="160"/>
      <c r="RWW60" s="160"/>
      <c r="RWX60" s="160"/>
      <c r="RWY60" s="160"/>
      <c r="RWZ60" s="160"/>
      <c r="RXA60" s="160"/>
      <c r="RXB60" s="160"/>
      <c r="RXC60" s="160"/>
      <c r="RXD60" s="160"/>
      <c r="RXE60" s="160"/>
      <c r="RXF60" s="160"/>
      <c r="RXG60" s="160"/>
      <c r="RXH60" s="160"/>
      <c r="RXI60" s="160"/>
      <c r="RXJ60" s="160"/>
      <c r="RXK60" s="160"/>
      <c r="RXL60" s="160"/>
      <c r="RXM60" s="160"/>
      <c r="RXN60" s="160"/>
      <c r="RXO60" s="160"/>
      <c r="RXP60" s="160"/>
      <c r="RXQ60" s="160"/>
      <c r="RXR60" s="160"/>
      <c r="RXS60" s="160"/>
      <c r="RXT60" s="160"/>
      <c r="RXU60" s="160"/>
      <c r="RXV60" s="160"/>
      <c r="RXW60" s="160"/>
      <c r="RXX60" s="160"/>
      <c r="RXY60" s="160"/>
      <c r="RXZ60" s="160"/>
      <c r="RYA60" s="160"/>
      <c r="RYB60" s="160"/>
      <c r="RYC60" s="160"/>
      <c r="RYD60" s="160"/>
      <c r="RYE60" s="160"/>
      <c r="RYF60" s="160"/>
      <c r="RYG60" s="160"/>
      <c r="RYH60" s="160"/>
      <c r="RYI60" s="160"/>
      <c r="RYJ60" s="160"/>
      <c r="RYK60" s="160"/>
      <c r="RYL60" s="160"/>
      <c r="RYM60" s="160"/>
      <c r="RYN60" s="160"/>
      <c r="RYO60" s="160"/>
      <c r="RYP60" s="160"/>
      <c r="RYQ60" s="160"/>
      <c r="RYR60" s="160"/>
      <c r="RYS60" s="160"/>
      <c r="RYT60" s="160"/>
      <c r="RYU60" s="160"/>
      <c r="RYV60" s="160"/>
      <c r="RYW60" s="160"/>
      <c r="RYX60" s="160"/>
      <c r="RYY60" s="160"/>
      <c r="RYZ60" s="160"/>
      <c r="RZA60" s="160"/>
      <c r="RZB60" s="160"/>
      <c r="RZC60" s="160"/>
      <c r="RZD60" s="160"/>
      <c r="RZE60" s="160"/>
      <c r="RZF60" s="160"/>
      <c r="RZG60" s="160"/>
      <c r="RZH60" s="160"/>
      <c r="RZI60" s="160"/>
      <c r="RZJ60" s="160"/>
      <c r="RZK60" s="160"/>
      <c r="RZL60" s="160"/>
      <c r="RZM60" s="160"/>
      <c r="RZN60" s="160"/>
      <c r="RZO60" s="160"/>
      <c r="RZP60" s="160"/>
      <c r="RZQ60" s="160"/>
      <c r="RZR60" s="160"/>
      <c r="RZS60" s="160"/>
      <c r="RZT60" s="160"/>
      <c r="RZU60" s="160"/>
      <c r="RZV60" s="160"/>
      <c r="RZW60" s="160"/>
      <c r="RZX60" s="160"/>
      <c r="RZY60" s="160"/>
      <c r="RZZ60" s="160"/>
      <c r="SAA60" s="160"/>
      <c r="SAB60" s="160"/>
      <c r="SAC60" s="160"/>
      <c r="SAD60" s="160"/>
      <c r="SAE60" s="160"/>
      <c r="SAF60" s="160"/>
      <c r="SAG60" s="160"/>
      <c r="SAH60" s="160"/>
      <c r="SAI60" s="160"/>
      <c r="SAJ60" s="160"/>
      <c r="SAK60" s="160"/>
      <c r="SAL60" s="160"/>
      <c r="SAM60" s="160"/>
      <c r="SAN60" s="160"/>
      <c r="SAO60" s="160"/>
      <c r="SAP60" s="160"/>
      <c r="SAQ60" s="160"/>
      <c r="SAR60" s="160"/>
      <c r="SAS60" s="160"/>
      <c r="SAT60" s="160"/>
      <c r="SAU60" s="160"/>
      <c r="SAV60" s="160"/>
      <c r="SAW60" s="160"/>
      <c r="SAX60" s="160"/>
      <c r="SAY60" s="160"/>
      <c r="SAZ60" s="160"/>
      <c r="SBA60" s="160"/>
      <c r="SBB60" s="160"/>
      <c r="SBC60" s="160"/>
      <c r="SBD60" s="160"/>
      <c r="SBE60" s="160"/>
      <c r="SBF60" s="160"/>
      <c r="SBG60" s="160"/>
      <c r="SBH60" s="160"/>
      <c r="SBI60" s="160"/>
      <c r="SBJ60" s="160"/>
      <c r="SBK60" s="160"/>
      <c r="SBL60" s="160"/>
      <c r="SBM60" s="160"/>
      <c r="SBN60" s="160"/>
      <c r="SBO60" s="160"/>
      <c r="SBP60" s="160"/>
      <c r="SBQ60" s="160"/>
      <c r="SBR60" s="160"/>
      <c r="SBS60" s="160"/>
      <c r="SBT60" s="160"/>
      <c r="SBU60" s="160"/>
      <c r="SBV60" s="160"/>
      <c r="SBW60" s="160"/>
      <c r="SBX60" s="160"/>
      <c r="SBY60" s="160"/>
      <c r="SBZ60" s="160"/>
      <c r="SCA60" s="160"/>
      <c r="SCB60" s="160"/>
      <c r="SCC60" s="160"/>
      <c r="SCD60" s="160"/>
      <c r="SCE60" s="160"/>
      <c r="SCF60" s="160"/>
      <c r="SCG60" s="160"/>
      <c r="SCH60" s="160"/>
      <c r="SCI60" s="160"/>
      <c r="SCJ60" s="160"/>
      <c r="SCK60" s="160"/>
      <c r="SCL60" s="160"/>
      <c r="SCM60" s="160"/>
      <c r="SCN60" s="160"/>
      <c r="SCO60" s="160"/>
      <c r="SCP60" s="160"/>
      <c r="SCQ60" s="160"/>
      <c r="SCR60" s="160"/>
      <c r="SCS60" s="160"/>
      <c r="SCT60" s="160"/>
      <c r="SCU60" s="160"/>
      <c r="SCV60" s="160"/>
      <c r="SCW60" s="160"/>
      <c r="SCX60" s="160"/>
      <c r="SCY60" s="160"/>
      <c r="SCZ60" s="160"/>
      <c r="SDA60" s="160"/>
      <c r="SDB60" s="160"/>
      <c r="SDC60" s="160"/>
      <c r="SDD60" s="160"/>
      <c r="SDE60" s="160"/>
      <c r="SDF60" s="160"/>
      <c r="SDG60" s="160"/>
      <c r="SDH60" s="160"/>
      <c r="SDI60" s="160"/>
      <c r="SDJ60" s="160"/>
      <c r="SDK60" s="160"/>
      <c r="SDL60" s="160"/>
      <c r="SDM60" s="160"/>
      <c r="SDN60" s="160"/>
      <c r="SDO60" s="160"/>
      <c r="SDP60" s="160"/>
      <c r="SDQ60" s="160"/>
      <c r="SDR60" s="160"/>
      <c r="SDS60" s="160"/>
      <c r="SDT60" s="160"/>
      <c r="SDU60" s="160"/>
      <c r="SDV60" s="160"/>
      <c r="SDW60" s="160"/>
      <c r="SDX60" s="160"/>
      <c r="SDY60" s="160"/>
      <c r="SDZ60" s="160"/>
      <c r="SEA60" s="160"/>
      <c r="SEB60" s="160"/>
      <c r="SEC60" s="160"/>
      <c r="SED60" s="160"/>
      <c r="SEE60" s="160"/>
      <c r="SEF60" s="160"/>
      <c r="SEG60" s="160"/>
      <c r="SEH60" s="160"/>
      <c r="SEI60" s="160"/>
      <c r="SEJ60" s="160"/>
      <c r="SEK60" s="160"/>
      <c r="SEL60" s="160"/>
      <c r="SEM60" s="160"/>
      <c r="SEN60" s="160"/>
      <c r="SEO60" s="160"/>
      <c r="SEP60" s="160"/>
      <c r="SEQ60" s="160"/>
      <c r="SER60" s="160"/>
      <c r="SES60" s="160"/>
      <c r="SET60" s="160"/>
      <c r="SEU60" s="160"/>
      <c r="SEV60" s="160"/>
      <c r="SEW60" s="160"/>
      <c r="SEX60" s="160"/>
      <c r="SEY60" s="160"/>
      <c r="SEZ60" s="160"/>
      <c r="SFA60" s="160"/>
      <c r="SFB60" s="160"/>
      <c r="SFC60" s="160"/>
      <c r="SFD60" s="160"/>
      <c r="SFE60" s="160"/>
      <c r="SFF60" s="160"/>
      <c r="SFG60" s="160"/>
      <c r="SFH60" s="160"/>
      <c r="SFI60" s="160"/>
      <c r="SFJ60" s="160"/>
      <c r="SFK60" s="160"/>
      <c r="SFL60" s="160"/>
      <c r="SFM60" s="160"/>
      <c r="SFN60" s="160"/>
      <c r="SFO60" s="160"/>
      <c r="SFP60" s="160"/>
      <c r="SFQ60" s="160"/>
      <c r="SFR60" s="160"/>
      <c r="SFS60" s="160"/>
      <c r="SFT60" s="160"/>
      <c r="SFU60" s="160"/>
      <c r="SFV60" s="160"/>
      <c r="SFW60" s="160"/>
      <c r="SFX60" s="160"/>
      <c r="SFY60" s="160"/>
      <c r="SFZ60" s="160"/>
      <c r="SGA60" s="160"/>
      <c r="SGB60" s="160"/>
      <c r="SGC60" s="160"/>
      <c r="SGD60" s="160"/>
      <c r="SGE60" s="160"/>
      <c r="SGF60" s="160"/>
      <c r="SGG60" s="160"/>
      <c r="SGH60" s="160"/>
      <c r="SGI60" s="160"/>
      <c r="SGJ60" s="160"/>
      <c r="SGK60" s="160"/>
      <c r="SGL60" s="160"/>
      <c r="SGM60" s="160"/>
      <c r="SGN60" s="160"/>
      <c r="SGO60" s="160"/>
      <c r="SGP60" s="160"/>
      <c r="SGQ60" s="160"/>
      <c r="SGR60" s="160"/>
      <c r="SGS60" s="160"/>
      <c r="SGT60" s="160"/>
      <c r="SGU60" s="160"/>
      <c r="SGV60" s="160"/>
      <c r="SGW60" s="160"/>
      <c r="SGX60" s="160"/>
      <c r="SGY60" s="160"/>
      <c r="SGZ60" s="160"/>
      <c r="SHA60" s="160"/>
      <c r="SHB60" s="160"/>
      <c r="SHC60" s="160"/>
      <c r="SHD60" s="160"/>
      <c r="SHE60" s="160"/>
      <c r="SHF60" s="160"/>
      <c r="SHG60" s="160"/>
      <c r="SHH60" s="160"/>
      <c r="SHI60" s="160"/>
      <c r="SHJ60" s="160"/>
      <c r="SHK60" s="160"/>
      <c r="SHL60" s="160"/>
      <c r="SHM60" s="160"/>
      <c r="SHN60" s="160"/>
      <c r="SHO60" s="160"/>
      <c r="SHP60" s="160"/>
      <c r="SHQ60" s="160"/>
      <c r="SHR60" s="160"/>
      <c r="SHS60" s="160"/>
      <c r="SHT60" s="160"/>
      <c r="SHU60" s="160"/>
      <c r="SHV60" s="160"/>
      <c r="SHW60" s="160"/>
      <c r="SHX60" s="160"/>
      <c r="SHY60" s="160"/>
      <c r="SHZ60" s="160"/>
      <c r="SIA60" s="160"/>
      <c r="SIB60" s="160"/>
      <c r="SIC60" s="160"/>
      <c r="SID60" s="160"/>
      <c r="SIE60" s="160"/>
      <c r="SIF60" s="160"/>
      <c r="SIG60" s="160"/>
      <c r="SIH60" s="160"/>
      <c r="SII60" s="160"/>
      <c r="SIJ60" s="160"/>
      <c r="SIK60" s="160"/>
      <c r="SIL60" s="160"/>
      <c r="SIM60" s="160"/>
      <c r="SIN60" s="160"/>
      <c r="SIO60" s="160"/>
      <c r="SIP60" s="160"/>
      <c r="SIQ60" s="160"/>
      <c r="SIR60" s="160"/>
      <c r="SIS60" s="160"/>
      <c r="SIT60" s="160"/>
      <c r="SIU60" s="160"/>
      <c r="SIV60" s="160"/>
      <c r="SIW60" s="160"/>
      <c r="SIX60" s="160"/>
      <c r="SIY60" s="160"/>
      <c r="SIZ60" s="160"/>
      <c r="SJA60" s="160"/>
      <c r="SJB60" s="160"/>
      <c r="SJC60" s="160"/>
      <c r="SJD60" s="160"/>
      <c r="SJE60" s="160"/>
      <c r="SJF60" s="160"/>
      <c r="SJG60" s="160"/>
      <c r="SJH60" s="160"/>
      <c r="SJI60" s="160"/>
      <c r="SJJ60" s="160"/>
      <c r="SJK60" s="160"/>
      <c r="SJL60" s="160"/>
      <c r="SJM60" s="160"/>
      <c r="SJN60" s="160"/>
      <c r="SJO60" s="160"/>
      <c r="SJP60" s="160"/>
      <c r="SJQ60" s="160"/>
      <c r="SJR60" s="160"/>
      <c r="SJS60" s="160"/>
      <c r="SJT60" s="160"/>
      <c r="SJU60" s="160"/>
      <c r="SJV60" s="160"/>
      <c r="SJW60" s="160"/>
      <c r="SJX60" s="160"/>
      <c r="SJY60" s="160"/>
      <c r="SJZ60" s="160"/>
      <c r="SKA60" s="160"/>
      <c r="SKB60" s="160"/>
      <c r="SKC60" s="160"/>
      <c r="SKD60" s="160"/>
      <c r="SKE60" s="160"/>
      <c r="SKF60" s="160"/>
      <c r="SKG60" s="160"/>
      <c r="SKH60" s="160"/>
      <c r="SKI60" s="160"/>
      <c r="SKJ60" s="160"/>
      <c r="SKK60" s="160"/>
      <c r="SKL60" s="160"/>
      <c r="SKM60" s="160"/>
      <c r="SKN60" s="160"/>
      <c r="SKO60" s="160"/>
      <c r="SKP60" s="160"/>
      <c r="SKQ60" s="160"/>
      <c r="SKR60" s="160"/>
      <c r="SKS60" s="160"/>
      <c r="SKT60" s="160"/>
      <c r="SKU60" s="160"/>
      <c r="SKV60" s="160"/>
      <c r="SKW60" s="160"/>
      <c r="SKX60" s="160"/>
      <c r="SKY60" s="160"/>
      <c r="SKZ60" s="160"/>
      <c r="SLA60" s="160"/>
      <c r="SLB60" s="160"/>
      <c r="SLC60" s="160"/>
      <c r="SLD60" s="160"/>
      <c r="SLE60" s="160"/>
      <c r="SLF60" s="160"/>
      <c r="SLG60" s="160"/>
      <c r="SLH60" s="160"/>
      <c r="SLI60" s="160"/>
      <c r="SLJ60" s="160"/>
      <c r="SLK60" s="160"/>
      <c r="SLL60" s="160"/>
      <c r="SLM60" s="160"/>
      <c r="SLN60" s="160"/>
      <c r="SLO60" s="160"/>
      <c r="SLP60" s="160"/>
      <c r="SLQ60" s="160"/>
      <c r="SLR60" s="160"/>
      <c r="SLS60" s="160"/>
      <c r="SLT60" s="160"/>
      <c r="SLU60" s="160"/>
      <c r="SLV60" s="160"/>
      <c r="SLW60" s="160"/>
      <c r="SLX60" s="160"/>
      <c r="SLY60" s="160"/>
      <c r="SLZ60" s="160"/>
      <c r="SMA60" s="160"/>
      <c r="SMB60" s="160"/>
      <c r="SMC60" s="160"/>
      <c r="SMD60" s="160"/>
      <c r="SME60" s="160"/>
      <c r="SMF60" s="160"/>
      <c r="SMG60" s="160"/>
      <c r="SMH60" s="160"/>
      <c r="SMI60" s="160"/>
      <c r="SMJ60" s="160"/>
      <c r="SMK60" s="160"/>
      <c r="SML60" s="160"/>
      <c r="SMM60" s="160"/>
      <c r="SMN60" s="160"/>
      <c r="SMO60" s="160"/>
      <c r="SMP60" s="160"/>
      <c r="SMQ60" s="160"/>
      <c r="SMR60" s="160"/>
      <c r="SMS60" s="160"/>
      <c r="SMT60" s="160"/>
      <c r="SMU60" s="160"/>
      <c r="SMV60" s="160"/>
      <c r="SMW60" s="160"/>
      <c r="SMX60" s="160"/>
      <c r="SMY60" s="160"/>
      <c r="SMZ60" s="160"/>
      <c r="SNA60" s="160"/>
      <c r="SNB60" s="160"/>
      <c r="SNC60" s="160"/>
      <c r="SND60" s="160"/>
      <c r="SNE60" s="160"/>
      <c r="SNF60" s="160"/>
      <c r="SNG60" s="160"/>
      <c r="SNH60" s="160"/>
      <c r="SNI60" s="160"/>
      <c r="SNJ60" s="160"/>
      <c r="SNK60" s="160"/>
      <c r="SNL60" s="160"/>
      <c r="SNM60" s="160"/>
      <c r="SNN60" s="160"/>
      <c r="SNO60" s="160"/>
      <c r="SNP60" s="160"/>
      <c r="SNQ60" s="160"/>
      <c r="SNR60" s="160"/>
      <c r="SNS60" s="160"/>
      <c r="SNT60" s="160"/>
      <c r="SNU60" s="160"/>
      <c r="SNV60" s="160"/>
      <c r="SNW60" s="160"/>
      <c r="SNX60" s="160"/>
      <c r="SNY60" s="160"/>
      <c r="SNZ60" s="160"/>
      <c r="SOA60" s="160"/>
      <c r="SOB60" s="160"/>
      <c r="SOC60" s="160"/>
      <c r="SOD60" s="160"/>
      <c r="SOE60" s="160"/>
      <c r="SOF60" s="160"/>
      <c r="SOG60" s="160"/>
      <c r="SOH60" s="160"/>
      <c r="SOI60" s="160"/>
      <c r="SOJ60" s="160"/>
      <c r="SOK60" s="160"/>
      <c r="SOL60" s="160"/>
      <c r="SOM60" s="160"/>
      <c r="SON60" s="160"/>
      <c r="SOO60" s="160"/>
      <c r="SOP60" s="160"/>
      <c r="SOQ60" s="160"/>
      <c r="SOR60" s="160"/>
      <c r="SOS60" s="160"/>
      <c r="SOT60" s="160"/>
      <c r="SOU60" s="160"/>
      <c r="SOV60" s="160"/>
      <c r="SOW60" s="160"/>
      <c r="SOX60" s="160"/>
      <c r="SOY60" s="160"/>
      <c r="SOZ60" s="160"/>
      <c r="SPA60" s="160"/>
      <c r="SPB60" s="160"/>
      <c r="SPC60" s="160"/>
      <c r="SPD60" s="160"/>
      <c r="SPE60" s="160"/>
      <c r="SPF60" s="160"/>
      <c r="SPG60" s="160"/>
      <c r="SPH60" s="160"/>
      <c r="SPI60" s="160"/>
      <c r="SPJ60" s="160"/>
      <c r="SPK60" s="160"/>
      <c r="SPL60" s="160"/>
      <c r="SPM60" s="160"/>
      <c r="SPN60" s="160"/>
      <c r="SPO60" s="160"/>
      <c r="SPP60" s="160"/>
      <c r="SPQ60" s="160"/>
      <c r="SPR60" s="160"/>
      <c r="SPS60" s="160"/>
      <c r="SPT60" s="160"/>
      <c r="SPU60" s="160"/>
      <c r="SPV60" s="160"/>
      <c r="SPW60" s="160"/>
      <c r="SPX60" s="160"/>
      <c r="SPY60" s="160"/>
      <c r="SPZ60" s="160"/>
      <c r="SQA60" s="160"/>
      <c r="SQB60" s="160"/>
      <c r="SQC60" s="160"/>
      <c r="SQD60" s="160"/>
      <c r="SQE60" s="160"/>
      <c r="SQF60" s="160"/>
      <c r="SQG60" s="160"/>
      <c r="SQH60" s="160"/>
      <c r="SQI60" s="160"/>
      <c r="SQJ60" s="160"/>
      <c r="SQK60" s="160"/>
      <c r="SQL60" s="160"/>
      <c r="SQM60" s="160"/>
      <c r="SQN60" s="160"/>
      <c r="SQO60" s="160"/>
      <c r="SQP60" s="160"/>
      <c r="SQQ60" s="160"/>
      <c r="SQR60" s="160"/>
      <c r="SQS60" s="160"/>
      <c r="SQT60" s="160"/>
      <c r="SQU60" s="160"/>
      <c r="SQV60" s="160"/>
      <c r="SQW60" s="160"/>
      <c r="SQX60" s="160"/>
      <c r="SQY60" s="160"/>
      <c r="SQZ60" s="160"/>
      <c r="SRA60" s="160"/>
      <c r="SRB60" s="160"/>
      <c r="SRC60" s="160"/>
      <c r="SRD60" s="160"/>
      <c r="SRE60" s="160"/>
      <c r="SRF60" s="160"/>
      <c r="SRG60" s="160"/>
      <c r="SRH60" s="160"/>
      <c r="SRI60" s="160"/>
      <c r="SRJ60" s="160"/>
      <c r="SRK60" s="160"/>
      <c r="SRL60" s="160"/>
      <c r="SRM60" s="160"/>
      <c r="SRN60" s="160"/>
      <c r="SRO60" s="160"/>
      <c r="SRP60" s="160"/>
      <c r="SRQ60" s="160"/>
      <c r="SRR60" s="160"/>
      <c r="SRS60" s="160"/>
      <c r="SRT60" s="160"/>
      <c r="SRU60" s="160"/>
      <c r="SRV60" s="160"/>
      <c r="SRW60" s="160"/>
      <c r="SRX60" s="160"/>
      <c r="SRY60" s="160"/>
      <c r="SRZ60" s="160"/>
      <c r="SSA60" s="160"/>
      <c r="SSB60" s="160"/>
      <c r="SSC60" s="160"/>
      <c r="SSD60" s="160"/>
      <c r="SSE60" s="160"/>
      <c r="SSF60" s="160"/>
      <c r="SSG60" s="160"/>
      <c r="SSH60" s="160"/>
      <c r="SSI60" s="160"/>
      <c r="SSJ60" s="160"/>
      <c r="SSK60" s="160"/>
      <c r="SSL60" s="160"/>
      <c r="SSM60" s="160"/>
      <c r="SSN60" s="160"/>
      <c r="SSO60" s="160"/>
      <c r="SSP60" s="160"/>
      <c r="SSQ60" s="160"/>
      <c r="SSR60" s="160"/>
      <c r="SSS60" s="160"/>
      <c r="SST60" s="160"/>
      <c r="SSU60" s="160"/>
      <c r="SSV60" s="160"/>
      <c r="SSW60" s="160"/>
      <c r="SSX60" s="160"/>
      <c r="SSY60" s="160"/>
      <c r="SSZ60" s="160"/>
      <c r="STA60" s="160"/>
      <c r="STB60" s="160"/>
      <c r="STC60" s="160"/>
      <c r="STD60" s="160"/>
      <c r="STE60" s="160"/>
      <c r="STF60" s="160"/>
      <c r="STG60" s="160"/>
      <c r="STH60" s="160"/>
      <c r="STI60" s="160"/>
      <c r="STJ60" s="160"/>
      <c r="STK60" s="160"/>
      <c r="STL60" s="160"/>
      <c r="STM60" s="160"/>
      <c r="STN60" s="160"/>
      <c r="STO60" s="160"/>
      <c r="STP60" s="160"/>
      <c r="STQ60" s="160"/>
      <c r="STR60" s="160"/>
      <c r="STS60" s="160"/>
      <c r="STT60" s="160"/>
      <c r="STU60" s="160"/>
      <c r="STV60" s="160"/>
      <c r="STW60" s="160"/>
      <c r="STX60" s="160"/>
      <c r="STY60" s="160"/>
      <c r="STZ60" s="160"/>
      <c r="SUA60" s="160"/>
      <c r="SUB60" s="160"/>
      <c r="SUC60" s="160"/>
      <c r="SUD60" s="160"/>
      <c r="SUE60" s="160"/>
      <c r="SUF60" s="160"/>
      <c r="SUG60" s="160"/>
      <c r="SUH60" s="160"/>
      <c r="SUI60" s="160"/>
      <c r="SUJ60" s="160"/>
      <c r="SUK60" s="160"/>
      <c r="SUL60" s="160"/>
      <c r="SUM60" s="160"/>
      <c r="SUN60" s="160"/>
      <c r="SUO60" s="160"/>
      <c r="SUP60" s="160"/>
      <c r="SUQ60" s="160"/>
      <c r="SUR60" s="160"/>
      <c r="SUS60" s="160"/>
      <c r="SUT60" s="160"/>
      <c r="SUU60" s="160"/>
      <c r="SUV60" s="160"/>
      <c r="SUW60" s="160"/>
      <c r="SUX60" s="160"/>
      <c r="SUY60" s="160"/>
      <c r="SUZ60" s="160"/>
      <c r="SVA60" s="160"/>
      <c r="SVB60" s="160"/>
      <c r="SVC60" s="160"/>
      <c r="SVD60" s="160"/>
      <c r="SVE60" s="160"/>
      <c r="SVF60" s="160"/>
      <c r="SVG60" s="160"/>
      <c r="SVH60" s="160"/>
      <c r="SVI60" s="160"/>
      <c r="SVJ60" s="160"/>
      <c r="SVK60" s="160"/>
      <c r="SVL60" s="160"/>
      <c r="SVM60" s="160"/>
      <c r="SVN60" s="160"/>
      <c r="SVO60" s="160"/>
      <c r="SVP60" s="160"/>
      <c r="SVQ60" s="160"/>
      <c r="SVR60" s="160"/>
      <c r="SVS60" s="160"/>
      <c r="SVT60" s="160"/>
      <c r="SVU60" s="160"/>
      <c r="SVV60" s="160"/>
      <c r="SVW60" s="160"/>
      <c r="SVX60" s="160"/>
      <c r="SVY60" s="160"/>
      <c r="SVZ60" s="160"/>
      <c r="SWA60" s="160"/>
      <c r="SWB60" s="160"/>
      <c r="SWC60" s="160"/>
      <c r="SWD60" s="160"/>
      <c r="SWE60" s="160"/>
      <c r="SWF60" s="160"/>
      <c r="SWG60" s="160"/>
      <c r="SWH60" s="160"/>
      <c r="SWI60" s="160"/>
      <c r="SWJ60" s="160"/>
      <c r="SWK60" s="160"/>
      <c r="SWL60" s="160"/>
      <c r="SWM60" s="160"/>
      <c r="SWN60" s="160"/>
      <c r="SWO60" s="160"/>
      <c r="SWP60" s="160"/>
      <c r="SWQ60" s="160"/>
      <c r="SWR60" s="160"/>
      <c r="SWS60" s="160"/>
      <c r="SWT60" s="160"/>
      <c r="SWU60" s="160"/>
      <c r="SWV60" s="160"/>
      <c r="SWW60" s="160"/>
      <c r="SWX60" s="160"/>
      <c r="SWY60" s="160"/>
      <c r="SWZ60" s="160"/>
      <c r="SXA60" s="160"/>
      <c r="SXB60" s="160"/>
      <c r="SXC60" s="160"/>
      <c r="SXD60" s="160"/>
      <c r="SXE60" s="160"/>
      <c r="SXF60" s="160"/>
      <c r="SXG60" s="160"/>
      <c r="SXH60" s="160"/>
      <c r="SXI60" s="160"/>
      <c r="SXJ60" s="160"/>
      <c r="SXK60" s="160"/>
      <c r="SXL60" s="160"/>
      <c r="SXM60" s="160"/>
      <c r="SXN60" s="160"/>
      <c r="SXO60" s="160"/>
      <c r="SXP60" s="160"/>
      <c r="SXQ60" s="160"/>
      <c r="SXR60" s="160"/>
      <c r="SXS60" s="160"/>
      <c r="SXT60" s="160"/>
      <c r="SXU60" s="160"/>
      <c r="SXV60" s="160"/>
      <c r="SXW60" s="160"/>
      <c r="SXX60" s="160"/>
      <c r="SXY60" s="160"/>
      <c r="SXZ60" s="160"/>
      <c r="SYA60" s="160"/>
      <c r="SYB60" s="160"/>
      <c r="SYC60" s="160"/>
      <c r="SYD60" s="160"/>
      <c r="SYE60" s="160"/>
      <c r="SYF60" s="160"/>
      <c r="SYG60" s="160"/>
      <c r="SYH60" s="160"/>
      <c r="SYI60" s="160"/>
      <c r="SYJ60" s="160"/>
      <c r="SYK60" s="160"/>
      <c r="SYL60" s="160"/>
      <c r="SYM60" s="160"/>
      <c r="SYN60" s="160"/>
      <c r="SYO60" s="160"/>
      <c r="SYP60" s="160"/>
      <c r="SYQ60" s="160"/>
      <c r="SYR60" s="160"/>
      <c r="SYS60" s="160"/>
      <c r="SYT60" s="160"/>
      <c r="SYU60" s="160"/>
      <c r="SYV60" s="160"/>
      <c r="SYW60" s="160"/>
      <c r="SYX60" s="160"/>
      <c r="SYY60" s="160"/>
      <c r="SYZ60" s="160"/>
      <c r="SZA60" s="160"/>
      <c r="SZB60" s="160"/>
      <c r="SZC60" s="160"/>
      <c r="SZD60" s="160"/>
      <c r="SZE60" s="160"/>
      <c r="SZF60" s="160"/>
      <c r="SZG60" s="160"/>
      <c r="SZH60" s="160"/>
      <c r="SZI60" s="160"/>
      <c r="SZJ60" s="160"/>
      <c r="SZK60" s="160"/>
      <c r="SZL60" s="160"/>
      <c r="SZM60" s="160"/>
      <c r="SZN60" s="160"/>
      <c r="SZO60" s="160"/>
      <c r="SZP60" s="160"/>
      <c r="SZQ60" s="160"/>
      <c r="SZR60" s="160"/>
      <c r="SZS60" s="160"/>
      <c r="SZT60" s="160"/>
      <c r="SZU60" s="160"/>
      <c r="SZV60" s="160"/>
      <c r="SZW60" s="160"/>
      <c r="SZX60" s="160"/>
      <c r="SZY60" s="160"/>
      <c r="SZZ60" s="160"/>
      <c r="TAA60" s="160"/>
      <c r="TAB60" s="160"/>
      <c r="TAC60" s="160"/>
      <c r="TAD60" s="160"/>
      <c r="TAE60" s="160"/>
      <c r="TAF60" s="160"/>
      <c r="TAG60" s="160"/>
      <c r="TAH60" s="160"/>
      <c r="TAI60" s="160"/>
      <c r="TAJ60" s="160"/>
      <c r="TAK60" s="160"/>
      <c r="TAL60" s="160"/>
      <c r="TAM60" s="160"/>
      <c r="TAN60" s="160"/>
      <c r="TAO60" s="160"/>
      <c r="TAP60" s="160"/>
      <c r="TAQ60" s="160"/>
      <c r="TAR60" s="160"/>
      <c r="TAS60" s="160"/>
      <c r="TAT60" s="160"/>
      <c r="TAU60" s="160"/>
      <c r="TAV60" s="160"/>
      <c r="TAW60" s="160"/>
      <c r="TAX60" s="160"/>
      <c r="TAY60" s="160"/>
      <c r="TAZ60" s="160"/>
      <c r="TBA60" s="160"/>
      <c r="TBB60" s="160"/>
      <c r="TBC60" s="160"/>
      <c r="TBD60" s="160"/>
      <c r="TBE60" s="160"/>
      <c r="TBF60" s="160"/>
      <c r="TBG60" s="160"/>
      <c r="TBH60" s="160"/>
      <c r="TBI60" s="160"/>
      <c r="TBJ60" s="160"/>
      <c r="TBK60" s="160"/>
      <c r="TBL60" s="160"/>
      <c r="TBM60" s="160"/>
      <c r="TBN60" s="160"/>
      <c r="TBO60" s="160"/>
      <c r="TBP60" s="160"/>
      <c r="TBQ60" s="160"/>
      <c r="TBR60" s="160"/>
      <c r="TBS60" s="160"/>
      <c r="TBT60" s="160"/>
      <c r="TBU60" s="160"/>
      <c r="TBV60" s="160"/>
      <c r="TBW60" s="160"/>
      <c r="TBX60" s="160"/>
      <c r="TBY60" s="160"/>
      <c r="TBZ60" s="160"/>
      <c r="TCA60" s="160"/>
      <c r="TCB60" s="160"/>
      <c r="TCC60" s="160"/>
      <c r="TCD60" s="160"/>
      <c r="TCE60" s="160"/>
      <c r="TCF60" s="160"/>
      <c r="TCG60" s="160"/>
      <c r="TCH60" s="160"/>
      <c r="TCI60" s="160"/>
      <c r="TCJ60" s="160"/>
      <c r="TCK60" s="160"/>
      <c r="TCL60" s="160"/>
      <c r="TCM60" s="160"/>
      <c r="TCN60" s="160"/>
      <c r="TCO60" s="160"/>
      <c r="TCP60" s="160"/>
      <c r="TCQ60" s="160"/>
      <c r="TCR60" s="160"/>
      <c r="TCS60" s="160"/>
      <c r="TCT60" s="160"/>
      <c r="TCU60" s="160"/>
      <c r="TCV60" s="160"/>
      <c r="TCW60" s="160"/>
      <c r="TCX60" s="160"/>
      <c r="TCY60" s="160"/>
      <c r="TCZ60" s="160"/>
      <c r="TDA60" s="160"/>
      <c r="TDB60" s="160"/>
      <c r="TDC60" s="160"/>
      <c r="TDD60" s="160"/>
      <c r="TDE60" s="160"/>
      <c r="TDF60" s="160"/>
      <c r="TDG60" s="160"/>
      <c r="TDH60" s="160"/>
      <c r="TDI60" s="160"/>
      <c r="TDJ60" s="160"/>
      <c r="TDK60" s="160"/>
      <c r="TDL60" s="160"/>
      <c r="TDM60" s="160"/>
      <c r="TDN60" s="160"/>
      <c r="TDO60" s="160"/>
      <c r="TDP60" s="160"/>
      <c r="TDQ60" s="160"/>
      <c r="TDR60" s="160"/>
      <c r="TDS60" s="160"/>
      <c r="TDT60" s="160"/>
      <c r="TDU60" s="160"/>
      <c r="TDV60" s="160"/>
      <c r="TDW60" s="160"/>
      <c r="TDX60" s="160"/>
      <c r="TDY60" s="160"/>
      <c r="TDZ60" s="160"/>
      <c r="TEA60" s="160"/>
      <c r="TEB60" s="160"/>
      <c r="TEC60" s="160"/>
      <c r="TED60" s="160"/>
      <c r="TEE60" s="160"/>
      <c r="TEF60" s="160"/>
      <c r="TEG60" s="160"/>
      <c r="TEH60" s="160"/>
      <c r="TEI60" s="160"/>
      <c r="TEJ60" s="160"/>
      <c r="TEK60" s="160"/>
      <c r="TEL60" s="160"/>
      <c r="TEM60" s="160"/>
      <c r="TEN60" s="160"/>
      <c r="TEO60" s="160"/>
      <c r="TEP60" s="160"/>
      <c r="TEQ60" s="160"/>
      <c r="TER60" s="160"/>
      <c r="TES60" s="160"/>
      <c r="TET60" s="160"/>
      <c r="TEU60" s="160"/>
      <c r="TEV60" s="160"/>
      <c r="TEW60" s="160"/>
      <c r="TEX60" s="160"/>
      <c r="TEY60" s="160"/>
      <c r="TEZ60" s="160"/>
      <c r="TFA60" s="160"/>
      <c r="TFB60" s="160"/>
      <c r="TFC60" s="160"/>
      <c r="TFD60" s="160"/>
      <c r="TFE60" s="160"/>
      <c r="TFF60" s="160"/>
      <c r="TFG60" s="160"/>
      <c r="TFH60" s="160"/>
      <c r="TFI60" s="160"/>
      <c r="TFJ60" s="160"/>
      <c r="TFK60" s="160"/>
      <c r="TFL60" s="160"/>
      <c r="TFM60" s="160"/>
      <c r="TFN60" s="160"/>
      <c r="TFO60" s="160"/>
      <c r="TFP60" s="160"/>
      <c r="TFQ60" s="160"/>
      <c r="TFR60" s="160"/>
      <c r="TFS60" s="160"/>
      <c r="TFT60" s="160"/>
      <c r="TFU60" s="160"/>
      <c r="TFV60" s="160"/>
      <c r="TFW60" s="160"/>
      <c r="TFX60" s="160"/>
      <c r="TFY60" s="160"/>
      <c r="TFZ60" s="160"/>
      <c r="TGA60" s="160"/>
      <c r="TGB60" s="160"/>
      <c r="TGC60" s="160"/>
      <c r="TGD60" s="160"/>
      <c r="TGE60" s="160"/>
      <c r="TGF60" s="160"/>
      <c r="TGG60" s="160"/>
      <c r="TGH60" s="160"/>
      <c r="TGI60" s="160"/>
      <c r="TGJ60" s="160"/>
      <c r="TGK60" s="160"/>
      <c r="TGL60" s="160"/>
      <c r="TGM60" s="160"/>
      <c r="TGN60" s="160"/>
      <c r="TGO60" s="160"/>
      <c r="TGP60" s="160"/>
      <c r="TGQ60" s="160"/>
      <c r="TGR60" s="160"/>
      <c r="TGS60" s="160"/>
      <c r="TGT60" s="160"/>
      <c r="TGU60" s="160"/>
      <c r="TGV60" s="160"/>
      <c r="TGW60" s="160"/>
      <c r="TGX60" s="160"/>
      <c r="TGY60" s="160"/>
      <c r="TGZ60" s="160"/>
      <c r="THA60" s="160"/>
      <c r="THB60" s="160"/>
      <c r="THC60" s="160"/>
      <c r="THD60" s="160"/>
      <c r="THE60" s="160"/>
      <c r="THF60" s="160"/>
      <c r="THG60" s="160"/>
      <c r="THH60" s="160"/>
      <c r="THI60" s="160"/>
      <c r="THJ60" s="160"/>
      <c r="THK60" s="160"/>
      <c r="THL60" s="160"/>
      <c r="THM60" s="160"/>
      <c r="THN60" s="160"/>
      <c r="THO60" s="160"/>
      <c r="THP60" s="160"/>
      <c r="THQ60" s="160"/>
      <c r="THR60" s="160"/>
      <c r="THS60" s="160"/>
      <c r="THT60" s="160"/>
      <c r="THU60" s="160"/>
      <c r="THV60" s="160"/>
      <c r="THW60" s="160"/>
      <c r="THX60" s="160"/>
      <c r="THY60" s="160"/>
      <c r="THZ60" s="160"/>
      <c r="TIA60" s="160"/>
      <c r="TIB60" s="160"/>
      <c r="TIC60" s="160"/>
      <c r="TID60" s="160"/>
      <c r="TIE60" s="160"/>
      <c r="TIF60" s="160"/>
      <c r="TIG60" s="160"/>
      <c r="TIH60" s="160"/>
      <c r="TII60" s="160"/>
      <c r="TIJ60" s="160"/>
      <c r="TIK60" s="160"/>
      <c r="TIL60" s="160"/>
      <c r="TIM60" s="160"/>
      <c r="TIN60" s="160"/>
      <c r="TIO60" s="160"/>
      <c r="TIP60" s="160"/>
      <c r="TIQ60" s="160"/>
      <c r="TIR60" s="160"/>
      <c r="TIS60" s="160"/>
      <c r="TIT60" s="160"/>
      <c r="TIU60" s="160"/>
      <c r="TIV60" s="160"/>
      <c r="TIW60" s="160"/>
      <c r="TIX60" s="160"/>
      <c r="TIY60" s="160"/>
      <c r="TIZ60" s="160"/>
      <c r="TJA60" s="160"/>
      <c r="TJB60" s="160"/>
      <c r="TJC60" s="160"/>
      <c r="TJD60" s="160"/>
      <c r="TJE60" s="160"/>
      <c r="TJF60" s="160"/>
      <c r="TJG60" s="160"/>
      <c r="TJH60" s="160"/>
      <c r="TJI60" s="160"/>
      <c r="TJJ60" s="160"/>
      <c r="TJK60" s="160"/>
      <c r="TJL60" s="160"/>
      <c r="TJM60" s="160"/>
      <c r="TJN60" s="160"/>
      <c r="TJO60" s="160"/>
      <c r="TJP60" s="160"/>
      <c r="TJQ60" s="160"/>
      <c r="TJR60" s="160"/>
      <c r="TJS60" s="160"/>
      <c r="TJT60" s="160"/>
      <c r="TJU60" s="160"/>
      <c r="TJV60" s="160"/>
      <c r="TJW60" s="160"/>
      <c r="TJX60" s="160"/>
      <c r="TJY60" s="160"/>
      <c r="TJZ60" s="160"/>
      <c r="TKA60" s="160"/>
      <c r="TKB60" s="160"/>
      <c r="TKC60" s="160"/>
      <c r="TKD60" s="160"/>
      <c r="TKE60" s="160"/>
      <c r="TKF60" s="160"/>
      <c r="TKG60" s="160"/>
      <c r="TKH60" s="160"/>
      <c r="TKI60" s="160"/>
      <c r="TKJ60" s="160"/>
      <c r="TKK60" s="160"/>
      <c r="TKL60" s="160"/>
      <c r="TKM60" s="160"/>
      <c r="TKN60" s="160"/>
      <c r="TKO60" s="160"/>
      <c r="TKP60" s="160"/>
      <c r="TKQ60" s="160"/>
      <c r="TKR60" s="160"/>
      <c r="TKS60" s="160"/>
      <c r="TKT60" s="160"/>
      <c r="TKU60" s="160"/>
      <c r="TKV60" s="160"/>
      <c r="TKW60" s="160"/>
      <c r="TKX60" s="160"/>
      <c r="TKY60" s="160"/>
      <c r="TKZ60" s="160"/>
      <c r="TLA60" s="160"/>
      <c r="TLB60" s="160"/>
      <c r="TLC60" s="160"/>
      <c r="TLD60" s="160"/>
      <c r="TLE60" s="160"/>
      <c r="TLF60" s="160"/>
      <c r="TLG60" s="160"/>
      <c r="TLH60" s="160"/>
      <c r="TLI60" s="160"/>
      <c r="TLJ60" s="160"/>
      <c r="TLK60" s="160"/>
      <c r="TLL60" s="160"/>
      <c r="TLM60" s="160"/>
      <c r="TLN60" s="160"/>
      <c r="TLO60" s="160"/>
      <c r="TLP60" s="160"/>
      <c r="TLQ60" s="160"/>
      <c r="TLR60" s="160"/>
      <c r="TLS60" s="160"/>
      <c r="TLT60" s="160"/>
      <c r="TLU60" s="160"/>
      <c r="TLV60" s="160"/>
      <c r="TLW60" s="160"/>
      <c r="TLX60" s="160"/>
      <c r="TLY60" s="160"/>
      <c r="TLZ60" s="160"/>
      <c r="TMA60" s="160"/>
      <c r="TMB60" s="160"/>
      <c r="TMC60" s="160"/>
      <c r="TMD60" s="160"/>
      <c r="TME60" s="160"/>
      <c r="TMF60" s="160"/>
      <c r="TMG60" s="160"/>
      <c r="TMH60" s="160"/>
      <c r="TMI60" s="160"/>
      <c r="TMJ60" s="160"/>
      <c r="TMK60" s="160"/>
      <c r="TML60" s="160"/>
      <c r="TMM60" s="160"/>
      <c r="TMN60" s="160"/>
      <c r="TMO60" s="160"/>
      <c r="TMP60" s="160"/>
      <c r="TMQ60" s="160"/>
      <c r="TMR60" s="160"/>
      <c r="TMS60" s="160"/>
      <c r="TMT60" s="160"/>
      <c r="TMU60" s="160"/>
      <c r="TMV60" s="160"/>
      <c r="TMW60" s="160"/>
      <c r="TMX60" s="160"/>
      <c r="TMY60" s="160"/>
      <c r="TMZ60" s="160"/>
      <c r="TNA60" s="160"/>
      <c r="TNB60" s="160"/>
      <c r="TNC60" s="160"/>
      <c r="TND60" s="160"/>
      <c r="TNE60" s="160"/>
      <c r="TNF60" s="160"/>
      <c r="TNG60" s="160"/>
      <c r="TNH60" s="160"/>
      <c r="TNI60" s="160"/>
      <c r="TNJ60" s="160"/>
      <c r="TNK60" s="160"/>
      <c r="TNL60" s="160"/>
      <c r="TNM60" s="160"/>
      <c r="TNN60" s="160"/>
      <c r="TNO60" s="160"/>
      <c r="TNP60" s="160"/>
      <c r="TNQ60" s="160"/>
      <c r="TNR60" s="160"/>
      <c r="TNS60" s="160"/>
      <c r="TNT60" s="160"/>
      <c r="TNU60" s="160"/>
      <c r="TNV60" s="160"/>
      <c r="TNW60" s="160"/>
      <c r="TNX60" s="160"/>
      <c r="TNY60" s="160"/>
      <c r="TNZ60" s="160"/>
      <c r="TOA60" s="160"/>
      <c r="TOB60" s="160"/>
      <c r="TOC60" s="160"/>
      <c r="TOD60" s="160"/>
      <c r="TOE60" s="160"/>
      <c r="TOF60" s="160"/>
      <c r="TOG60" s="160"/>
      <c r="TOH60" s="160"/>
      <c r="TOI60" s="160"/>
      <c r="TOJ60" s="160"/>
      <c r="TOK60" s="160"/>
      <c r="TOL60" s="160"/>
      <c r="TOM60" s="160"/>
      <c r="TON60" s="160"/>
      <c r="TOO60" s="160"/>
      <c r="TOP60" s="160"/>
      <c r="TOQ60" s="160"/>
      <c r="TOR60" s="160"/>
      <c r="TOS60" s="160"/>
      <c r="TOT60" s="160"/>
      <c r="TOU60" s="160"/>
      <c r="TOV60" s="160"/>
      <c r="TOW60" s="160"/>
      <c r="TOX60" s="160"/>
      <c r="TOY60" s="160"/>
      <c r="TOZ60" s="160"/>
      <c r="TPA60" s="160"/>
      <c r="TPB60" s="160"/>
      <c r="TPC60" s="160"/>
      <c r="TPD60" s="160"/>
      <c r="TPE60" s="160"/>
      <c r="TPF60" s="160"/>
      <c r="TPG60" s="160"/>
      <c r="TPH60" s="160"/>
      <c r="TPI60" s="160"/>
      <c r="TPJ60" s="160"/>
      <c r="TPK60" s="160"/>
      <c r="TPL60" s="160"/>
      <c r="TPM60" s="160"/>
      <c r="TPN60" s="160"/>
      <c r="TPO60" s="160"/>
      <c r="TPP60" s="160"/>
      <c r="TPQ60" s="160"/>
      <c r="TPR60" s="160"/>
      <c r="TPS60" s="160"/>
      <c r="TPT60" s="160"/>
      <c r="TPU60" s="160"/>
      <c r="TPV60" s="160"/>
      <c r="TPW60" s="160"/>
      <c r="TPX60" s="160"/>
      <c r="TPY60" s="160"/>
      <c r="TPZ60" s="160"/>
      <c r="TQA60" s="160"/>
      <c r="TQB60" s="160"/>
      <c r="TQC60" s="160"/>
      <c r="TQD60" s="160"/>
      <c r="TQE60" s="160"/>
      <c r="TQF60" s="160"/>
      <c r="TQG60" s="160"/>
      <c r="TQH60" s="160"/>
      <c r="TQI60" s="160"/>
      <c r="TQJ60" s="160"/>
      <c r="TQK60" s="160"/>
      <c r="TQL60" s="160"/>
      <c r="TQM60" s="160"/>
      <c r="TQN60" s="160"/>
      <c r="TQO60" s="160"/>
      <c r="TQP60" s="160"/>
      <c r="TQQ60" s="160"/>
      <c r="TQR60" s="160"/>
      <c r="TQS60" s="160"/>
      <c r="TQT60" s="160"/>
      <c r="TQU60" s="160"/>
      <c r="TQV60" s="160"/>
      <c r="TQW60" s="160"/>
      <c r="TQX60" s="160"/>
      <c r="TQY60" s="160"/>
      <c r="TQZ60" s="160"/>
      <c r="TRA60" s="160"/>
      <c r="TRB60" s="160"/>
      <c r="TRC60" s="160"/>
      <c r="TRD60" s="160"/>
      <c r="TRE60" s="160"/>
      <c r="TRF60" s="160"/>
      <c r="TRG60" s="160"/>
      <c r="TRH60" s="160"/>
      <c r="TRI60" s="160"/>
      <c r="TRJ60" s="160"/>
      <c r="TRK60" s="160"/>
      <c r="TRL60" s="160"/>
      <c r="TRM60" s="160"/>
      <c r="TRN60" s="160"/>
      <c r="TRO60" s="160"/>
      <c r="TRP60" s="160"/>
      <c r="TRQ60" s="160"/>
      <c r="TRR60" s="160"/>
      <c r="TRS60" s="160"/>
      <c r="TRT60" s="160"/>
      <c r="TRU60" s="160"/>
      <c r="TRV60" s="160"/>
      <c r="TRW60" s="160"/>
      <c r="TRX60" s="160"/>
      <c r="TRY60" s="160"/>
      <c r="TRZ60" s="160"/>
      <c r="TSA60" s="160"/>
      <c r="TSB60" s="160"/>
      <c r="TSC60" s="160"/>
      <c r="TSD60" s="160"/>
      <c r="TSE60" s="160"/>
      <c r="TSF60" s="160"/>
      <c r="TSG60" s="160"/>
      <c r="TSH60" s="160"/>
      <c r="TSI60" s="160"/>
      <c r="TSJ60" s="160"/>
      <c r="TSK60" s="160"/>
      <c r="TSL60" s="160"/>
      <c r="TSM60" s="160"/>
      <c r="TSN60" s="160"/>
      <c r="TSO60" s="160"/>
      <c r="TSP60" s="160"/>
      <c r="TSQ60" s="160"/>
      <c r="TSR60" s="160"/>
      <c r="TSS60" s="160"/>
      <c r="TST60" s="160"/>
      <c r="TSU60" s="160"/>
      <c r="TSV60" s="160"/>
      <c r="TSW60" s="160"/>
      <c r="TSX60" s="160"/>
      <c r="TSY60" s="160"/>
      <c r="TSZ60" s="160"/>
      <c r="TTA60" s="160"/>
      <c r="TTB60" s="160"/>
      <c r="TTC60" s="160"/>
      <c r="TTD60" s="160"/>
      <c r="TTE60" s="160"/>
      <c r="TTF60" s="160"/>
      <c r="TTG60" s="160"/>
      <c r="TTH60" s="160"/>
      <c r="TTI60" s="160"/>
      <c r="TTJ60" s="160"/>
      <c r="TTK60" s="160"/>
      <c r="TTL60" s="160"/>
      <c r="TTM60" s="160"/>
      <c r="TTN60" s="160"/>
      <c r="TTO60" s="160"/>
      <c r="TTP60" s="160"/>
      <c r="TTQ60" s="160"/>
      <c r="TTR60" s="160"/>
      <c r="TTS60" s="160"/>
      <c r="TTT60" s="160"/>
      <c r="TTU60" s="160"/>
      <c r="TTV60" s="160"/>
      <c r="TTW60" s="160"/>
      <c r="TTX60" s="160"/>
      <c r="TTY60" s="160"/>
      <c r="TTZ60" s="160"/>
      <c r="TUA60" s="160"/>
      <c r="TUB60" s="160"/>
      <c r="TUC60" s="160"/>
      <c r="TUD60" s="160"/>
      <c r="TUE60" s="160"/>
      <c r="TUF60" s="160"/>
      <c r="TUG60" s="160"/>
      <c r="TUH60" s="160"/>
      <c r="TUI60" s="160"/>
      <c r="TUJ60" s="160"/>
      <c r="TUK60" s="160"/>
      <c r="TUL60" s="160"/>
      <c r="TUM60" s="160"/>
      <c r="TUN60" s="160"/>
      <c r="TUO60" s="160"/>
      <c r="TUP60" s="160"/>
      <c r="TUQ60" s="160"/>
      <c r="TUR60" s="160"/>
      <c r="TUS60" s="160"/>
      <c r="TUT60" s="160"/>
      <c r="TUU60" s="160"/>
      <c r="TUV60" s="160"/>
      <c r="TUW60" s="160"/>
      <c r="TUX60" s="160"/>
      <c r="TUY60" s="160"/>
      <c r="TUZ60" s="160"/>
      <c r="TVA60" s="160"/>
      <c r="TVB60" s="160"/>
      <c r="TVC60" s="160"/>
      <c r="TVD60" s="160"/>
      <c r="TVE60" s="160"/>
      <c r="TVF60" s="160"/>
      <c r="TVG60" s="160"/>
      <c r="TVH60" s="160"/>
      <c r="TVI60" s="160"/>
      <c r="TVJ60" s="160"/>
      <c r="TVK60" s="160"/>
      <c r="TVL60" s="160"/>
      <c r="TVM60" s="160"/>
      <c r="TVN60" s="160"/>
      <c r="TVO60" s="160"/>
      <c r="TVP60" s="160"/>
      <c r="TVQ60" s="160"/>
      <c r="TVR60" s="160"/>
      <c r="TVS60" s="160"/>
      <c r="TVT60" s="160"/>
      <c r="TVU60" s="160"/>
      <c r="TVV60" s="160"/>
      <c r="TVW60" s="160"/>
      <c r="TVX60" s="160"/>
      <c r="TVY60" s="160"/>
      <c r="TVZ60" s="160"/>
      <c r="TWA60" s="160"/>
      <c r="TWB60" s="160"/>
      <c r="TWC60" s="160"/>
      <c r="TWD60" s="160"/>
      <c r="TWE60" s="160"/>
      <c r="TWF60" s="160"/>
      <c r="TWG60" s="160"/>
      <c r="TWH60" s="160"/>
      <c r="TWI60" s="160"/>
      <c r="TWJ60" s="160"/>
      <c r="TWK60" s="160"/>
      <c r="TWL60" s="160"/>
      <c r="TWM60" s="160"/>
      <c r="TWN60" s="160"/>
      <c r="TWO60" s="160"/>
      <c r="TWP60" s="160"/>
      <c r="TWQ60" s="160"/>
      <c r="TWR60" s="160"/>
      <c r="TWS60" s="160"/>
      <c r="TWT60" s="160"/>
      <c r="TWU60" s="160"/>
      <c r="TWV60" s="160"/>
      <c r="TWW60" s="160"/>
      <c r="TWX60" s="160"/>
      <c r="TWY60" s="160"/>
      <c r="TWZ60" s="160"/>
      <c r="TXA60" s="160"/>
      <c r="TXB60" s="160"/>
      <c r="TXC60" s="160"/>
      <c r="TXD60" s="160"/>
      <c r="TXE60" s="160"/>
      <c r="TXF60" s="160"/>
      <c r="TXG60" s="160"/>
      <c r="TXH60" s="160"/>
      <c r="TXI60" s="160"/>
      <c r="TXJ60" s="160"/>
      <c r="TXK60" s="160"/>
      <c r="TXL60" s="160"/>
      <c r="TXM60" s="160"/>
      <c r="TXN60" s="160"/>
      <c r="TXO60" s="160"/>
      <c r="TXP60" s="160"/>
      <c r="TXQ60" s="160"/>
      <c r="TXR60" s="160"/>
      <c r="TXS60" s="160"/>
      <c r="TXT60" s="160"/>
      <c r="TXU60" s="160"/>
      <c r="TXV60" s="160"/>
      <c r="TXW60" s="160"/>
      <c r="TXX60" s="160"/>
      <c r="TXY60" s="160"/>
      <c r="TXZ60" s="160"/>
      <c r="TYA60" s="160"/>
      <c r="TYB60" s="160"/>
      <c r="TYC60" s="160"/>
      <c r="TYD60" s="160"/>
      <c r="TYE60" s="160"/>
      <c r="TYF60" s="160"/>
      <c r="TYG60" s="160"/>
      <c r="TYH60" s="160"/>
      <c r="TYI60" s="160"/>
      <c r="TYJ60" s="160"/>
      <c r="TYK60" s="160"/>
      <c r="TYL60" s="160"/>
      <c r="TYM60" s="160"/>
      <c r="TYN60" s="160"/>
      <c r="TYO60" s="160"/>
      <c r="TYP60" s="160"/>
      <c r="TYQ60" s="160"/>
      <c r="TYR60" s="160"/>
      <c r="TYS60" s="160"/>
      <c r="TYT60" s="160"/>
      <c r="TYU60" s="160"/>
      <c r="TYV60" s="160"/>
      <c r="TYW60" s="160"/>
      <c r="TYX60" s="160"/>
      <c r="TYY60" s="160"/>
      <c r="TYZ60" s="160"/>
      <c r="TZA60" s="160"/>
      <c r="TZB60" s="160"/>
      <c r="TZC60" s="160"/>
      <c r="TZD60" s="160"/>
      <c r="TZE60" s="160"/>
      <c r="TZF60" s="160"/>
      <c r="TZG60" s="160"/>
      <c r="TZH60" s="160"/>
      <c r="TZI60" s="160"/>
      <c r="TZJ60" s="160"/>
      <c r="TZK60" s="160"/>
      <c r="TZL60" s="160"/>
      <c r="TZM60" s="160"/>
      <c r="TZN60" s="160"/>
      <c r="TZO60" s="160"/>
      <c r="TZP60" s="160"/>
      <c r="TZQ60" s="160"/>
      <c r="TZR60" s="160"/>
      <c r="TZS60" s="160"/>
      <c r="TZT60" s="160"/>
      <c r="TZU60" s="160"/>
      <c r="TZV60" s="160"/>
      <c r="TZW60" s="160"/>
      <c r="TZX60" s="160"/>
      <c r="TZY60" s="160"/>
      <c r="TZZ60" s="160"/>
      <c r="UAA60" s="160"/>
      <c r="UAB60" s="160"/>
      <c r="UAC60" s="160"/>
      <c r="UAD60" s="160"/>
      <c r="UAE60" s="160"/>
      <c r="UAF60" s="160"/>
      <c r="UAG60" s="160"/>
      <c r="UAH60" s="160"/>
      <c r="UAI60" s="160"/>
      <c r="UAJ60" s="160"/>
      <c r="UAK60" s="160"/>
      <c r="UAL60" s="160"/>
      <c r="UAM60" s="160"/>
      <c r="UAN60" s="160"/>
      <c r="UAO60" s="160"/>
      <c r="UAP60" s="160"/>
      <c r="UAQ60" s="160"/>
      <c r="UAR60" s="160"/>
      <c r="UAS60" s="160"/>
      <c r="UAT60" s="160"/>
      <c r="UAU60" s="160"/>
      <c r="UAV60" s="160"/>
      <c r="UAW60" s="160"/>
      <c r="UAX60" s="160"/>
      <c r="UAY60" s="160"/>
      <c r="UAZ60" s="160"/>
      <c r="UBA60" s="160"/>
      <c r="UBB60" s="160"/>
      <c r="UBC60" s="160"/>
      <c r="UBD60" s="160"/>
      <c r="UBE60" s="160"/>
      <c r="UBF60" s="160"/>
      <c r="UBG60" s="160"/>
      <c r="UBH60" s="160"/>
      <c r="UBI60" s="160"/>
      <c r="UBJ60" s="160"/>
      <c r="UBK60" s="160"/>
      <c r="UBL60" s="160"/>
      <c r="UBM60" s="160"/>
      <c r="UBN60" s="160"/>
      <c r="UBO60" s="160"/>
      <c r="UBP60" s="160"/>
      <c r="UBQ60" s="160"/>
      <c r="UBR60" s="160"/>
      <c r="UBS60" s="160"/>
      <c r="UBT60" s="160"/>
      <c r="UBU60" s="160"/>
      <c r="UBV60" s="160"/>
      <c r="UBW60" s="160"/>
      <c r="UBX60" s="160"/>
      <c r="UBY60" s="160"/>
      <c r="UBZ60" s="160"/>
      <c r="UCA60" s="160"/>
      <c r="UCB60" s="160"/>
      <c r="UCC60" s="160"/>
      <c r="UCD60" s="160"/>
      <c r="UCE60" s="160"/>
      <c r="UCF60" s="160"/>
      <c r="UCG60" s="160"/>
      <c r="UCH60" s="160"/>
      <c r="UCI60" s="160"/>
      <c r="UCJ60" s="160"/>
      <c r="UCK60" s="160"/>
      <c r="UCL60" s="160"/>
      <c r="UCM60" s="160"/>
      <c r="UCN60" s="160"/>
      <c r="UCO60" s="160"/>
      <c r="UCP60" s="160"/>
      <c r="UCQ60" s="160"/>
      <c r="UCR60" s="160"/>
      <c r="UCS60" s="160"/>
      <c r="UCT60" s="160"/>
      <c r="UCU60" s="160"/>
      <c r="UCV60" s="160"/>
      <c r="UCW60" s="160"/>
      <c r="UCX60" s="160"/>
      <c r="UCY60" s="160"/>
      <c r="UCZ60" s="160"/>
      <c r="UDA60" s="160"/>
      <c r="UDB60" s="160"/>
      <c r="UDC60" s="160"/>
      <c r="UDD60" s="160"/>
      <c r="UDE60" s="160"/>
      <c r="UDF60" s="160"/>
      <c r="UDG60" s="160"/>
      <c r="UDH60" s="160"/>
      <c r="UDI60" s="160"/>
      <c r="UDJ60" s="160"/>
      <c r="UDK60" s="160"/>
      <c r="UDL60" s="160"/>
      <c r="UDM60" s="160"/>
      <c r="UDN60" s="160"/>
      <c r="UDO60" s="160"/>
      <c r="UDP60" s="160"/>
      <c r="UDQ60" s="160"/>
      <c r="UDR60" s="160"/>
      <c r="UDS60" s="160"/>
      <c r="UDT60" s="160"/>
      <c r="UDU60" s="160"/>
      <c r="UDV60" s="160"/>
      <c r="UDW60" s="160"/>
      <c r="UDX60" s="160"/>
      <c r="UDY60" s="160"/>
      <c r="UDZ60" s="160"/>
      <c r="UEA60" s="160"/>
      <c r="UEB60" s="160"/>
      <c r="UEC60" s="160"/>
      <c r="UED60" s="160"/>
      <c r="UEE60" s="160"/>
      <c r="UEF60" s="160"/>
      <c r="UEG60" s="160"/>
      <c r="UEH60" s="160"/>
      <c r="UEI60" s="160"/>
      <c r="UEJ60" s="160"/>
      <c r="UEK60" s="160"/>
      <c r="UEL60" s="160"/>
      <c r="UEM60" s="160"/>
      <c r="UEN60" s="160"/>
      <c r="UEO60" s="160"/>
      <c r="UEP60" s="160"/>
      <c r="UEQ60" s="160"/>
      <c r="UER60" s="160"/>
      <c r="UES60" s="160"/>
      <c r="UET60" s="160"/>
      <c r="UEU60" s="160"/>
      <c r="UEV60" s="160"/>
      <c r="UEW60" s="160"/>
      <c r="UEX60" s="160"/>
      <c r="UEY60" s="160"/>
      <c r="UEZ60" s="160"/>
      <c r="UFA60" s="160"/>
      <c r="UFB60" s="160"/>
      <c r="UFC60" s="160"/>
      <c r="UFD60" s="160"/>
      <c r="UFE60" s="160"/>
      <c r="UFF60" s="160"/>
      <c r="UFG60" s="160"/>
      <c r="UFH60" s="160"/>
      <c r="UFI60" s="160"/>
      <c r="UFJ60" s="160"/>
      <c r="UFK60" s="160"/>
      <c r="UFL60" s="160"/>
      <c r="UFM60" s="160"/>
      <c r="UFN60" s="160"/>
      <c r="UFO60" s="160"/>
      <c r="UFP60" s="160"/>
      <c r="UFQ60" s="160"/>
      <c r="UFR60" s="160"/>
      <c r="UFS60" s="160"/>
      <c r="UFT60" s="160"/>
      <c r="UFU60" s="160"/>
      <c r="UFV60" s="160"/>
      <c r="UFW60" s="160"/>
      <c r="UFX60" s="160"/>
      <c r="UFY60" s="160"/>
      <c r="UFZ60" s="160"/>
      <c r="UGA60" s="160"/>
      <c r="UGB60" s="160"/>
      <c r="UGC60" s="160"/>
      <c r="UGD60" s="160"/>
      <c r="UGE60" s="160"/>
      <c r="UGF60" s="160"/>
      <c r="UGG60" s="160"/>
      <c r="UGH60" s="160"/>
      <c r="UGI60" s="160"/>
      <c r="UGJ60" s="160"/>
      <c r="UGK60" s="160"/>
      <c r="UGL60" s="160"/>
      <c r="UGM60" s="160"/>
      <c r="UGN60" s="160"/>
      <c r="UGO60" s="160"/>
      <c r="UGP60" s="160"/>
      <c r="UGQ60" s="160"/>
      <c r="UGR60" s="160"/>
      <c r="UGS60" s="160"/>
      <c r="UGT60" s="160"/>
      <c r="UGU60" s="160"/>
      <c r="UGV60" s="160"/>
      <c r="UGW60" s="160"/>
      <c r="UGX60" s="160"/>
      <c r="UGY60" s="160"/>
      <c r="UGZ60" s="160"/>
      <c r="UHA60" s="160"/>
      <c r="UHB60" s="160"/>
      <c r="UHC60" s="160"/>
      <c r="UHD60" s="160"/>
      <c r="UHE60" s="160"/>
      <c r="UHF60" s="160"/>
      <c r="UHG60" s="160"/>
      <c r="UHH60" s="160"/>
      <c r="UHI60" s="160"/>
      <c r="UHJ60" s="160"/>
      <c r="UHK60" s="160"/>
      <c r="UHL60" s="160"/>
      <c r="UHM60" s="160"/>
      <c r="UHN60" s="160"/>
      <c r="UHO60" s="160"/>
      <c r="UHP60" s="160"/>
      <c r="UHQ60" s="160"/>
      <c r="UHR60" s="160"/>
      <c r="UHS60" s="160"/>
      <c r="UHT60" s="160"/>
      <c r="UHU60" s="160"/>
      <c r="UHV60" s="160"/>
      <c r="UHW60" s="160"/>
      <c r="UHX60" s="160"/>
      <c r="UHY60" s="160"/>
      <c r="UHZ60" s="160"/>
      <c r="UIA60" s="160"/>
      <c r="UIB60" s="160"/>
      <c r="UIC60" s="160"/>
      <c r="UID60" s="160"/>
      <c r="UIE60" s="160"/>
      <c r="UIF60" s="160"/>
      <c r="UIG60" s="160"/>
      <c r="UIH60" s="160"/>
      <c r="UII60" s="160"/>
      <c r="UIJ60" s="160"/>
      <c r="UIK60" s="160"/>
      <c r="UIL60" s="160"/>
      <c r="UIM60" s="160"/>
      <c r="UIN60" s="160"/>
      <c r="UIO60" s="160"/>
      <c r="UIP60" s="160"/>
      <c r="UIQ60" s="160"/>
      <c r="UIR60" s="160"/>
      <c r="UIS60" s="160"/>
      <c r="UIT60" s="160"/>
      <c r="UIU60" s="160"/>
      <c r="UIV60" s="160"/>
      <c r="UIW60" s="160"/>
      <c r="UIX60" s="160"/>
      <c r="UIY60" s="160"/>
      <c r="UIZ60" s="160"/>
      <c r="UJA60" s="160"/>
      <c r="UJB60" s="160"/>
      <c r="UJC60" s="160"/>
      <c r="UJD60" s="160"/>
      <c r="UJE60" s="160"/>
      <c r="UJF60" s="160"/>
      <c r="UJG60" s="160"/>
      <c r="UJH60" s="160"/>
      <c r="UJI60" s="160"/>
      <c r="UJJ60" s="160"/>
      <c r="UJK60" s="160"/>
      <c r="UJL60" s="160"/>
      <c r="UJM60" s="160"/>
      <c r="UJN60" s="160"/>
      <c r="UJO60" s="160"/>
      <c r="UJP60" s="160"/>
      <c r="UJQ60" s="160"/>
      <c r="UJR60" s="160"/>
      <c r="UJS60" s="160"/>
      <c r="UJT60" s="160"/>
      <c r="UJU60" s="160"/>
      <c r="UJV60" s="160"/>
      <c r="UJW60" s="160"/>
      <c r="UJX60" s="160"/>
      <c r="UJY60" s="160"/>
      <c r="UJZ60" s="160"/>
      <c r="UKA60" s="160"/>
      <c r="UKB60" s="160"/>
      <c r="UKC60" s="160"/>
      <c r="UKD60" s="160"/>
      <c r="UKE60" s="160"/>
      <c r="UKF60" s="160"/>
      <c r="UKG60" s="160"/>
      <c r="UKH60" s="160"/>
      <c r="UKI60" s="160"/>
      <c r="UKJ60" s="160"/>
      <c r="UKK60" s="160"/>
      <c r="UKL60" s="160"/>
      <c r="UKM60" s="160"/>
      <c r="UKN60" s="160"/>
      <c r="UKO60" s="160"/>
      <c r="UKP60" s="160"/>
      <c r="UKQ60" s="160"/>
      <c r="UKR60" s="160"/>
      <c r="UKS60" s="160"/>
      <c r="UKT60" s="160"/>
      <c r="UKU60" s="160"/>
      <c r="UKV60" s="160"/>
      <c r="UKW60" s="160"/>
      <c r="UKX60" s="160"/>
      <c r="UKY60" s="160"/>
      <c r="UKZ60" s="160"/>
      <c r="ULA60" s="160"/>
      <c r="ULB60" s="160"/>
      <c r="ULC60" s="160"/>
      <c r="ULD60" s="160"/>
      <c r="ULE60" s="160"/>
      <c r="ULF60" s="160"/>
      <c r="ULG60" s="160"/>
      <c r="ULH60" s="160"/>
      <c r="ULI60" s="160"/>
      <c r="ULJ60" s="160"/>
      <c r="ULK60" s="160"/>
      <c r="ULL60" s="160"/>
      <c r="ULM60" s="160"/>
      <c r="ULN60" s="160"/>
      <c r="ULO60" s="160"/>
      <c r="ULP60" s="160"/>
      <c r="ULQ60" s="160"/>
      <c r="ULR60" s="160"/>
      <c r="ULS60" s="160"/>
      <c r="ULT60" s="160"/>
      <c r="ULU60" s="160"/>
      <c r="ULV60" s="160"/>
      <c r="ULW60" s="160"/>
      <c r="ULX60" s="160"/>
      <c r="ULY60" s="160"/>
      <c r="ULZ60" s="160"/>
      <c r="UMA60" s="160"/>
      <c r="UMB60" s="160"/>
      <c r="UMC60" s="160"/>
      <c r="UMD60" s="160"/>
      <c r="UME60" s="160"/>
      <c r="UMF60" s="160"/>
      <c r="UMG60" s="160"/>
      <c r="UMH60" s="160"/>
      <c r="UMI60" s="160"/>
      <c r="UMJ60" s="160"/>
      <c r="UMK60" s="160"/>
      <c r="UML60" s="160"/>
      <c r="UMM60" s="160"/>
      <c r="UMN60" s="160"/>
      <c r="UMO60" s="160"/>
      <c r="UMP60" s="160"/>
      <c r="UMQ60" s="160"/>
      <c r="UMR60" s="160"/>
      <c r="UMS60" s="160"/>
      <c r="UMT60" s="160"/>
      <c r="UMU60" s="160"/>
      <c r="UMV60" s="160"/>
      <c r="UMW60" s="160"/>
      <c r="UMX60" s="160"/>
      <c r="UMY60" s="160"/>
      <c r="UMZ60" s="160"/>
      <c r="UNA60" s="160"/>
      <c r="UNB60" s="160"/>
      <c r="UNC60" s="160"/>
      <c r="UND60" s="160"/>
      <c r="UNE60" s="160"/>
      <c r="UNF60" s="160"/>
      <c r="UNG60" s="160"/>
      <c r="UNH60" s="160"/>
      <c r="UNI60" s="160"/>
      <c r="UNJ60" s="160"/>
      <c r="UNK60" s="160"/>
      <c r="UNL60" s="160"/>
      <c r="UNM60" s="160"/>
      <c r="UNN60" s="160"/>
      <c r="UNO60" s="160"/>
      <c r="UNP60" s="160"/>
      <c r="UNQ60" s="160"/>
      <c r="UNR60" s="160"/>
      <c r="UNS60" s="160"/>
      <c r="UNT60" s="160"/>
      <c r="UNU60" s="160"/>
      <c r="UNV60" s="160"/>
      <c r="UNW60" s="160"/>
      <c r="UNX60" s="160"/>
      <c r="UNY60" s="160"/>
      <c r="UNZ60" s="160"/>
      <c r="UOA60" s="160"/>
      <c r="UOB60" s="160"/>
      <c r="UOC60" s="160"/>
      <c r="UOD60" s="160"/>
      <c r="UOE60" s="160"/>
      <c r="UOF60" s="160"/>
      <c r="UOG60" s="160"/>
      <c r="UOH60" s="160"/>
      <c r="UOI60" s="160"/>
      <c r="UOJ60" s="160"/>
      <c r="UOK60" s="160"/>
      <c r="UOL60" s="160"/>
      <c r="UOM60" s="160"/>
      <c r="UON60" s="160"/>
      <c r="UOO60" s="160"/>
      <c r="UOP60" s="160"/>
      <c r="UOQ60" s="160"/>
      <c r="UOR60" s="160"/>
      <c r="UOS60" s="160"/>
      <c r="UOT60" s="160"/>
      <c r="UOU60" s="160"/>
      <c r="UOV60" s="160"/>
      <c r="UOW60" s="160"/>
      <c r="UOX60" s="160"/>
      <c r="UOY60" s="160"/>
      <c r="UOZ60" s="160"/>
      <c r="UPA60" s="160"/>
      <c r="UPB60" s="160"/>
      <c r="UPC60" s="160"/>
      <c r="UPD60" s="160"/>
      <c r="UPE60" s="160"/>
      <c r="UPF60" s="160"/>
      <c r="UPG60" s="160"/>
      <c r="UPH60" s="160"/>
      <c r="UPI60" s="160"/>
      <c r="UPJ60" s="160"/>
      <c r="UPK60" s="160"/>
      <c r="UPL60" s="160"/>
      <c r="UPM60" s="160"/>
      <c r="UPN60" s="160"/>
      <c r="UPO60" s="160"/>
      <c r="UPP60" s="160"/>
      <c r="UPQ60" s="160"/>
      <c r="UPR60" s="160"/>
      <c r="UPS60" s="160"/>
      <c r="UPT60" s="160"/>
      <c r="UPU60" s="160"/>
      <c r="UPV60" s="160"/>
      <c r="UPW60" s="160"/>
      <c r="UPX60" s="160"/>
      <c r="UPY60" s="160"/>
      <c r="UPZ60" s="160"/>
      <c r="UQA60" s="160"/>
      <c r="UQB60" s="160"/>
      <c r="UQC60" s="160"/>
      <c r="UQD60" s="160"/>
      <c r="UQE60" s="160"/>
      <c r="UQF60" s="160"/>
      <c r="UQG60" s="160"/>
      <c r="UQH60" s="160"/>
      <c r="UQI60" s="160"/>
      <c r="UQJ60" s="160"/>
      <c r="UQK60" s="160"/>
      <c r="UQL60" s="160"/>
      <c r="UQM60" s="160"/>
      <c r="UQN60" s="160"/>
      <c r="UQO60" s="160"/>
      <c r="UQP60" s="160"/>
      <c r="UQQ60" s="160"/>
      <c r="UQR60" s="160"/>
      <c r="UQS60" s="160"/>
      <c r="UQT60" s="160"/>
      <c r="UQU60" s="160"/>
      <c r="UQV60" s="160"/>
      <c r="UQW60" s="160"/>
      <c r="UQX60" s="160"/>
      <c r="UQY60" s="160"/>
      <c r="UQZ60" s="160"/>
      <c r="URA60" s="160"/>
      <c r="URB60" s="160"/>
      <c r="URC60" s="160"/>
      <c r="URD60" s="160"/>
      <c r="URE60" s="160"/>
      <c r="URF60" s="160"/>
      <c r="URG60" s="160"/>
      <c r="URH60" s="160"/>
      <c r="URI60" s="160"/>
      <c r="URJ60" s="160"/>
      <c r="URK60" s="160"/>
      <c r="URL60" s="160"/>
      <c r="URM60" s="160"/>
      <c r="URN60" s="160"/>
      <c r="URO60" s="160"/>
      <c r="URP60" s="160"/>
      <c r="URQ60" s="160"/>
      <c r="URR60" s="160"/>
      <c r="URS60" s="160"/>
      <c r="URT60" s="160"/>
      <c r="URU60" s="160"/>
      <c r="URV60" s="160"/>
      <c r="URW60" s="160"/>
      <c r="URX60" s="160"/>
      <c r="URY60" s="160"/>
      <c r="URZ60" s="160"/>
      <c r="USA60" s="160"/>
      <c r="USB60" s="160"/>
      <c r="USC60" s="160"/>
      <c r="USD60" s="160"/>
      <c r="USE60" s="160"/>
      <c r="USF60" s="160"/>
      <c r="USG60" s="160"/>
      <c r="USH60" s="160"/>
      <c r="USI60" s="160"/>
      <c r="USJ60" s="160"/>
      <c r="USK60" s="160"/>
      <c r="USL60" s="160"/>
      <c r="USM60" s="160"/>
      <c r="USN60" s="160"/>
      <c r="USO60" s="160"/>
      <c r="USP60" s="160"/>
      <c r="USQ60" s="160"/>
      <c r="USR60" s="160"/>
      <c r="USS60" s="160"/>
      <c r="UST60" s="160"/>
      <c r="USU60" s="160"/>
      <c r="USV60" s="160"/>
      <c r="USW60" s="160"/>
      <c r="USX60" s="160"/>
      <c r="USY60" s="160"/>
      <c r="USZ60" s="160"/>
      <c r="UTA60" s="160"/>
      <c r="UTB60" s="160"/>
      <c r="UTC60" s="160"/>
      <c r="UTD60" s="160"/>
      <c r="UTE60" s="160"/>
      <c r="UTF60" s="160"/>
      <c r="UTG60" s="160"/>
      <c r="UTH60" s="160"/>
      <c r="UTI60" s="160"/>
      <c r="UTJ60" s="160"/>
      <c r="UTK60" s="160"/>
      <c r="UTL60" s="160"/>
      <c r="UTM60" s="160"/>
      <c r="UTN60" s="160"/>
      <c r="UTO60" s="160"/>
      <c r="UTP60" s="160"/>
      <c r="UTQ60" s="160"/>
      <c r="UTR60" s="160"/>
      <c r="UTS60" s="160"/>
      <c r="UTT60" s="160"/>
      <c r="UTU60" s="160"/>
      <c r="UTV60" s="160"/>
      <c r="UTW60" s="160"/>
      <c r="UTX60" s="160"/>
      <c r="UTY60" s="160"/>
      <c r="UTZ60" s="160"/>
      <c r="UUA60" s="160"/>
      <c r="UUB60" s="160"/>
      <c r="UUC60" s="160"/>
      <c r="UUD60" s="160"/>
      <c r="UUE60" s="160"/>
      <c r="UUF60" s="160"/>
      <c r="UUG60" s="160"/>
      <c r="UUH60" s="160"/>
      <c r="UUI60" s="160"/>
      <c r="UUJ60" s="160"/>
      <c r="UUK60" s="160"/>
      <c r="UUL60" s="160"/>
      <c r="UUM60" s="160"/>
      <c r="UUN60" s="160"/>
      <c r="UUO60" s="160"/>
      <c r="UUP60" s="160"/>
      <c r="UUQ60" s="160"/>
      <c r="UUR60" s="160"/>
      <c r="UUS60" s="160"/>
      <c r="UUT60" s="160"/>
      <c r="UUU60" s="160"/>
      <c r="UUV60" s="160"/>
      <c r="UUW60" s="160"/>
      <c r="UUX60" s="160"/>
      <c r="UUY60" s="160"/>
      <c r="UUZ60" s="160"/>
      <c r="UVA60" s="160"/>
      <c r="UVB60" s="160"/>
      <c r="UVC60" s="160"/>
      <c r="UVD60" s="160"/>
      <c r="UVE60" s="160"/>
      <c r="UVF60" s="160"/>
      <c r="UVG60" s="160"/>
      <c r="UVH60" s="160"/>
      <c r="UVI60" s="160"/>
      <c r="UVJ60" s="160"/>
      <c r="UVK60" s="160"/>
      <c r="UVL60" s="160"/>
      <c r="UVM60" s="160"/>
      <c r="UVN60" s="160"/>
      <c r="UVO60" s="160"/>
      <c r="UVP60" s="160"/>
      <c r="UVQ60" s="160"/>
      <c r="UVR60" s="160"/>
      <c r="UVS60" s="160"/>
      <c r="UVT60" s="160"/>
      <c r="UVU60" s="160"/>
      <c r="UVV60" s="160"/>
      <c r="UVW60" s="160"/>
      <c r="UVX60" s="160"/>
      <c r="UVY60" s="160"/>
      <c r="UVZ60" s="160"/>
      <c r="UWA60" s="160"/>
      <c r="UWB60" s="160"/>
      <c r="UWC60" s="160"/>
      <c r="UWD60" s="160"/>
      <c r="UWE60" s="160"/>
      <c r="UWF60" s="160"/>
      <c r="UWG60" s="160"/>
      <c r="UWH60" s="160"/>
      <c r="UWI60" s="160"/>
      <c r="UWJ60" s="160"/>
      <c r="UWK60" s="160"/>
      <c r="UWL60" s="160"/>
      <c r="UWM60" s="160"/>
      <c r="UWN60" s="160"/>
      <c r="UWO60" s="160"/>
      <c r="UWP60" s="160"/>
      <c r="UWQ60" s="160"/>
      <c r="UWR60" s="160"/>
      <c r="UWS60" s="160"/>
      <c r="UWT60" s="160"/>
      <c r="UWU60" s="160"/>
      <c r="UWV60" s="160"/>
      <c r="UWW60" s="160"/>
      <c r="UWX60" s="160"/>
      <c r="UWY60" s="160"/>
      <c r="UWZ60" s="160"/>
      <c r="UXA60" s="160"/>
      <c r="UXB60" s="160"/>
      <c r="UXC60" s="160"/>
      <c r="UXD60" s="160"/>
      <c r="UXE60" s="160"/>
      <c r="UXF60" s="160"/>
      <c r="UXG60" s="160"/>
      <c r="UXH60" s="160"/>
      <c r="UXI60" s="160"/>
      <c r="UXJ60" s="160"/>
      <c r="UXK60" s="160"/>
      <c r="UXL60" s="160"/>
      <c r="UXM60" s="160"/>
      <c r="UXN60" s="160"/>
      <c r="UXO60" s="160"/>
      <c r="UXP60" s="160"/>
      <c r="UXQ60" s="160"/>
      <c r="UXR60" s="160"/>
      <c r="UXS60" s="160"/>
      <c r="UXT60" s="160"/>
      <c r="UXU60" s="160"/>
      <c r="UXV60" s="160"/>
      <c r="UXW60" s="160"/>
      <c r="UXX60" s="160"/>
      <c r="UXY60" s="160"/>
      <c r="UXZ60" s="160"/>
      <c r="UYA60" s="160"/>
      <c r="UYB60" s="160"/>
      <c r="UYC60" s="160"/>
      <c r="UYD60" s="160"/>
      <c r="UYE60" s="160"/>
      <c r="UYF60" s="160"/>
      <c r="UYG60" s="160"/>
      <c r="UYH60" s="160"/>
      <c r="UYI60" s="160"/>
      <c r="UYJ60" s="160"/>
      <c r="UYK60" s="160"/>
      <c r="UYL60" s="160"/>
      <c r="UYM60" s="160"/>
      <c r="UYN60" s="160"/>
      <c r="UYO60" s="160"/>
      <c r="UYP60" s="160"/>
      <c r="UYQ60" s="160"/>
      <c r="UYR60" s="160"/>
      <c r="UYS60" s="160"/>
      <c r="UYT60" s="160"/>
      <c r="UYU60" s="160"/>
      <c r="UYV60" s="160"/>
      <c r="UYW60" s="160"/>
      <c r="UYX60" s="160"/>
      <c r="UYY60" s="160"/>
      <c r="UYZ60" s="160"/>
      <c r="UZA60" s="160"/>
      <c r="UZB60" s="160"/>
      <c r="UZC60" s="160"/>
      <c r="UZD60" s="160"/>
      <c r="UZE60" s="160"/>
      <c r="UZF60" s="160"/>
      <c r="UZG60" s="160"/>
      <c r="UZH60" s="160"/>
      <c r="UZI60" s="160"/>
      <c r="UZJ60" s="160"/>
      <c r="UZK60" s="160"/>
      <c r="UZL60" s="160"/>
      <c r="UZM60" s="160"/>
      <c r="UZN60" s="160"/>
      <c r="UZO60" s="160"/>
      <c r="UZP60" s="160"/>
      <c r="UZQ60" s="160"/>
      <c r="UZR60" s="160"/>
      <c r="UZS60" s="160"/>
      <c r="UZT60" s="160"/>
      <c r="UZU60" s="160"/>
      <c r="UZV60" s="160"/>
      <c r="UZW60" s="160"/>
      <c r="UZX60" s="160"/>
      <c r="UZY60" s="160"/>
      <c r="UZZ60" s="160"/>
      <c r="VAA60" s="160"/>
      <c r="VAB60" s="160"/>
      <c r="VAC60" s="160"/>
      <c r="VAD60" s="160"/>
      <c r="VAE60" s="160"/>
      <c r="VAF60" s="160"/>
      <c r="VAG60" s="160"/>
      <c r="VAH60" s="160"/>
      <c r="VAI60" s="160"/>
      <c r="VAJ60" s="160"/>
      <c r="VAK60" s="160"/>
      <c r="VAL60" s="160"/>
      <c r="VAM60" s="160"/>
      <c r="VAN60" s="160"/>
      <c r="VAO60" s="160"/>
      <c r="VAP60" s="160"/>
      <c r="VAQ60" s="160"/>
      <c r="VAR60" s="160"/>
      <c r="VAS60" s="160"/>
      <c r="VAT60" s="160"/>
      <c r="VAU60" s="160"/>
      <c r="VAV60" s="160"/>
      <c r="VAW60" s="160"/>
      <c r="VAX60" s="160"/>
      <c r="VAY60" s="160"/>
      <c r="VAZ60" s="160"/>
      <c r="VBA60" s="160"/>
      <c r="VBB60" s="160"/>
      <c r="VBC60" s="160"/>
      <c r="VBD60" s="160"/>
      <c r="VBE60" s="160"/>
      <c r="VBF60" s="160"/>
      <c r="VBG60" s="160"/>
      <c r="VBH60" s="160"/>
      <c r="VBI60" s="160"/>
      <c r="VBJ60" s="160"/>
      <c r="VBK60" s="160"/>
      <c r="VBL60" s="160"/>
      <c r="VBM60" s="160"/>
      <c r="VBN60" s="160"/>
      <c r="VBO60" s="160"/>
      <c r="VBP60" s="160"/>
      <c r="VBQ60" s="160"/>
      <c r="VBR60" s="160"/>
      <c r="VBS60" s="160"/>
      <c r="VBT60" s="160"/>
      <c r="VBU60" s="160"/>
      <c r="VBV60" s="160"/>
      <c r="VBW60" s="160"/>
      <c r="VBX60" s="160"/>
      <c r="VBY60" s="160"/>
      <c r="VBZ60" s="160"/>
      <c r="VCA60" s="160"/>
      <c r="VCB60" s="160"/>
      <c r="VCC60" s="160"/>
      <c r="VCD60" s="160"/>
      <c r="VCE60" s="160"/>
      <c r="VCF60" s="160"/>
      <c r="VCG60" s="160"/>
      <c r="VCH60" s="160"/>
      <c r="VCI60" s="160"/>
      <c r="VCJ60" s="160"/>
      <c r="VCK60" s="160"/>
      <c r="VCL60" s="160"/>
      <c r="VCM60" s="160"/>
      <c r="VCN60" s="160"/>
      <c r="VCO60" s="160"/>
      <c r="VCP60" s="160"/>
      <c r="VCQ60" s="160"/>
      <c r="VCR60" s="160"/>
      <c r="VCS60" s="160"/>
      <c r="VCT60" s="160"/>
      <c r="VCU60" s="160"/>
      <c r="VCV60" s="160"/>
      <c r="VCW60" s="160"/>
      <c r="VCX60" s="160"/>
      <c r="VCY60" s="160"/>
      <c r="VCZ60" s="160"/>
      <c r="VDA60" s="160"/>
      <c r="VDB60" s="160"/>
      <c r="VDC60" s="160"/>
      <c r="VDD60" s="160"/>
      <c r="VDE60" s="160"/>
      <c r="VDF60" s="160"/>
      <c r="VDG60" s="160"/>
      <c r="VDH60" s="160"/>
      <c r="VDI60" s="160"/>
      <c r="VDJ60" s="160"/>
      <c r="VDK60" s="160"/>
      <c r="VDL60" s="160"/>
      <c r="VDM60" s="160"/>
      <c r="VDN60" s="160"/>
      <c r="VDO60" s="160"/>
      <c r="VDP60" s="160"/>
      <c r="VDQ60" s="160"/>
      <c r="VDR60" s="160"/>
      <c r="VDS60" s="160"/>
      <c r="VDT60" s="160"/>
      <c r="VDU60" s="160"/>
      <c r="VDV60" s="160"/>
      <c r="VDW60" s="160"/>
      <c r="VDX60" s="160"/>
      <c r="VDY60" s="160"/>
      <c r="VDZ60" s="160"/>
      <c r="VEA60" s="160"/>
      <c r="VEB60" s="160"/>
      <c r="VEC60" s="160"/>
      <c r="VED60" s="160"/>
      <c r="VEE60" s="160"/>
      <c r="VEF60" s="160"/>
      <c r="VEG60" s="160"/>
      <c r="VEH60" s="160"/>
      <c r="VEI60" s="160"/>
      <c r="VEJ60" s="160"/>
      <c r="VEK60" s="160"/>
      <c r="VEL60" s="160"/>
      <c r="VEM60" s="160"/>
      <c r="VEN60" s="160"/>
      <c r="VEO60" s="160"/>
      <c r="VEP60" s="160"/>
      <c r="VEQ60" s="160"/>
      <c r="VER60" s="160"/>
      <c r="VES60" s="160"/>
      <c r="VET60" s="160"/>
      <c r="VEU60" s="160"/>
      <c r="VEV60" s="160"/>
      <c r="VEW60" s="160"/>
      <c r="VEX60" s="160"/>
      <c r="VEY60" s="160"/>
      <c r="VEZ60" s="160"/>
      <c r="VFA60" s="160"/>
      <c r="VFB60" s="160"/>
      <c r="VFC60" s="160"/>
      <c r="VFD60" s="160"/>
      <c r="VFE60" s="160"/>
      <c r="VFF60" s="160"/>
      <c r="VFG60" s="160"/>
      <c r="VFH60" s="160"/>
      <c r="VFI60" s="160"/>
      <c r="VFJ60" s="160"/>
      <c r="VFK60" s="160"/>
      <c r="VFL60" s="160"/>
      <c r="VFM60" s="160"/>
      <c r="VFN60" s="160"/>
      <c r="VFO60" s="160"/>
      <c r="VFP60" s="160"/>
      <c r="VFQ60" s="160"/>
      <c r="VFR60" s="160"/>
      <c r="VFS60" s="160"/>
      <c r="VFT60" s="160"/>
      <c r="VFU60" s="160"/>
      <c r="VFV60" s="160"/>
      <c r="VFW60" s="160"/>
      <c r="VFX60" s="160"/>
      <c r="VFY60" s="160"/>
      <c r="VFZ60" s="160"/>
      <c r="VGA60" s="160"/>
      <c r="VGB60" s="160"/>
      <c r="VGC60" s="160"/>
      <c r="VGD60" s="160"/>
      <c r="VGE60" s="160"/>
      <c r="VGF60" s="160"/>
      <c r="VGG60" s="160"/>
      <c r="VGH60" s="160"/>
      <c r="VGI60" s="160"/>
      <c r="VGJ60" s="160"/>
      <c r="VGK60" s="160"/>
      <c r="VGL60" s="160"/>
      <c r="VGM60" s="160"/>
      <c r="VGN60" s="160"/>
      <c r="VGO60" s="160"/>
      <c r="VGP60" s="160"/>
      <c r="VGQ60" s="160"/>
      <c r="VGR60" s="160"/>
      <c r="VGS60" s="160"/>
      <c r="VGT60" s="160"/>
      <c r="VGU60" s="160"/>
      <c r="VGV60" s="160"/>
      <c r="VGW60" s="160"/>
      <c r="VGX60" s="160"/>
      <c r="VGY60" s="160"/>
      <c r="VGZ60" s="160"/>
      <c r="VHA60" s="160"/>
      <c r="VHB60" s="160"/>
      <c r="VHC60" s="160"/>
      <c r="VHD60" s="160"/>
      <c r="VHE60" s="160"/>
      <c r="VHF60" s="160"/>
      <c r="VHG60" s="160"/>
      <c r="VHH60" s="160"/>
      <c r="VHI60" s="160"/>
      <c r="VHJ60" s="160"/>
      <c r="VHK60" s="160"/>
      <c r="VHL60" s="160"/>
      <c r="VHM60" s="160"/>
      <c r="VHN60" s="160"/>
      <c r="VHO60" s="160"/>
      <c r="VHP60" s="160"/>
      <c r="VHQ60" s="160"/>
      <c r="VHR60" s="160"/>
      <c r="VHS60" s="160"/>
      <c r="VHT60" s="160"/>
      <c r="VHU60" s="160"/>
      <c r="VHV60" s="160"/>
      <c r="VHW60" s="160"/>
      <c r="VHX60" s="160"/>
      <c r="VHY60" s="160"/>
      <c r="VHZ60" s="160"/>
      <c r="VIA60" s="160"/>
      <c r="VIB60" s="160"/>
      <c r="VIC60" s="160"/>
      <c r="VID60" s="160"/>
      <c r="VIE60" s="160"/>
      <c r="VIF60" s="160"/>
      <c r="VIG60" s="160"/>
      <c r="VIH60" s="160"/>
      <c r="VII60" s="160"/>
      <c r="VIJ60" s="160"/>
      <c r="VIK60" s="160"/>
      <c r="VIL60" s="160"/>
      <c r="VIM60" s="160"/>
      <c r="VIN60" s="160"/>
      <c r="VIO60" s="160"/>
      <c r="VIP60" s="160"/>
      <c r="VIQ60" s="160"/>
      <c r="VIR60" s="160"/>
      <c r="VIS60" s="160"/>
      <c r="VIT60" s="160"/>
      <c r="VIU60" s="160"/>
      <c r="VIV60" s="160"/>
      <c r="VIW60" s="160"/>
      <c r="VIX60" s="160"/>
      <c r="VIY60" s="160"/>
      <c r="VIZ60" s="160"/>
      <c r="VJA60" s="160"/>
      <c r="VJB60" s="160"/>
      <c r="VJC60" s="160"/>
      <c r="VJD60" s="160"/>
      <c r="VJE60" s="160"/>
      <c r="VJF60" s="160"/>
      <c r="VJG60" s="160"/>
      <c r="VJH60" s="160"/>
      <c r="VJI60" s="160"/>
      <c r="VJJ60" s="160"/>
      <c r="VJK60" s="160"/>
      <c r="VJL60" s="160"/>
      <c r="VJM60" s="160"/>
      <c r="VJN60" s="160"/>
      <c r="VJO60" s="160"/>
      <c r="VJP60" s="160"/>
      <c r="VJQ60" s="160"/>
      <c r="VJR60" s="160"/>
      <c r="VJS60" s="160"/>
      <c r="VJT60" s="160"/>
      <c r="VJU60" s="160"/>
      <c r="VJV60" s="160"/>
      <c r="VJW60" s="160"/>
      <c r="VJX60" s="160"/>
      <c r="VJY60" s="160"/>
      <c r="VJZ60" s="160"/>
      <c r="VKA60" s="160"/>
      <c r="VKB60" s="160"/>
      <c r="VKC60" s="160"/>
      <c r="VKD60" s="160"/>
      <c r="VKE60" s="160"/>
      <c r="VKF60" s="160"/>
      <c r="VKG60" s="160"/>
      <c r="VKH60" s="160"/>
      <c r="VKI60" s="160"/>
      <c r="VKJ60" s="160"/>
      <c r="VKK60" s="160"/>
      <c r="VKL60" s="160"/>
      <c r="VKM60" s="160"/>
      <c r="VKN60" s="160"/>
      <c r="VKO60" s="160"/>
      <c r="VKP60" s="160"/>
      <c r="VKQ60" s="160"/>
      <c r="VKR60" s="160"/>
      <c r="VKS60" s="160"/>
      <c r="VKT60" s="160"/>
      <c r="VKU60" s="160"/>
      <c r="VKV60" s="160"/>
      <c r="VKW60" s="160"/>
      <c r="VKX60" s="160"/>
      <c r="VKY60" s="160"/>
      <c r="VKZ60" s="160"/>
      <c r="VLA60" s="160"/>
      <c r="VLB60" s="160"/>
      <c r="VLC60" s="160"/>
      <c r="VLD60" s="160"/>
      <c r="VLE60" s="160"/>
      <c r="VLF60" s="160"/>
      <c r="VLG60" s="160"/>
      <c r="VLH60" s="160"/>
      <c r="VLI60" s="160"/>
      <c r="VLJ60" s="160"/>
      <c r="VLK60" s="160"/>
      <c r="VLL60" s="160"/>
      <c r="VLM60" s="160"/>
      <c r="VLN60" s="160"/>
      <c r="VLO60" s="160"/>
      <c r="VLP60" s="160"/>
      <c r="VLQ60" s="160"/>
      <c r="VLR60" s="160"/>
      <c r="VLS60" s="160"/>
      <c r="VLT60" s="160"/>
      <c r="VLU60" s="160"/>
      <c r="VLV60" s="160"/>
      <c r="VLW60" s="160"/>
      <c r="VLX60" s="160"/>
      <c r="VLY60" s="160"/>
      <c r="VLZ60" s="160"/>
      <c r="VMA60" s="160"/>
      <c r="VMB60" s="160"/>
      <c r="VMC60" s="160"/>
      <c r="VMD60" s="160"/>
      <c r="VME60" s="160"/>
      <c r="VMF60" s="160"/>
      <c r="VMG60" s="160"/>
      <c r="VMH60" s="160"/>
      <c r="VMI60" s="160"/>
      <c r="VMJ60" s="160"/>
      <c r="VMK60" s="160"/>
      <c r="VML60" s="160"/>
      <c r="VMM60" s="160"/>
      <c r="VMN60" s="160"/>
      <c r="VMO60" s="160"/>
      <c r="VMP60" s="160"/>
      <c r="VMQ60" s="160"/>
      <c r="VMR60" s="160"/>
      <c r="VMS60" s="160"/>
      <c r="VMT60" s="160"/>
      <c r="VMU60" s="160"/>
      <c r="VMV60" s="160"/>
      <c r="VMW60" s="160"/>
      <c r="VMX60" s="160"/>
      <c r="VMY60" s="160"/>
      <c r="VMZ60" s="160"/>
      <c r="VNA60" s="160"/>
      <c r="VNB60" s="160"/>
      <c r="VNC60" s="160"/>
      <c r="VND60" s="160"/>
      <c r="VNE60" s="160"/>
      <c r="VNF60" s="160"/>
      <c r="VNG60" s="160"/>
      <c r="VNH60" s="160"/>
      <c r="VNI60" s="160"/>
      <c r="VNJ60" s="160"/>
      <c r="VNK60" s="160"/>
      <c r="VNL60" s="160"/>
      <c r="VNM60" s="160"/>
      <c r="VNN60" s="160"/>
      <c r="VNO60" s="160"/>
      <c r="VNP60" s="160"/>
      <c r="VNQ60" s="160"/>
      <c r="VNR60" s="160"/>
      <c r="VNS60" s="160"/>
      <c r="VNT60" s="160"/>
      <c r="VNU60" s="160"/>
      <c r="VNV60" s="160"/>
      <c r="VNW60" s="160"/>
      <c r="VNX60" s="160"/>
      <c r="VNY60" s="160"/>
      <c r="VNZ60" s="160"/>
      <c r="VOA60" s="160"/>
      <c r="VOB60" s="160"/>
      <c r="VOC60" s="160"/>
      <c r="VOD60" s="160"/>
      <c r="VOE60" s="160"/>
      <c r="VOF60" s="160"/>
      <c r="VOG60" s="160"/>
      <c r="VOH60" s="160"/>
      <c r="VOI60" s="160"/>
      <c r="VOJ60" s="160"/>
      <c r="VOK60" s="160"/>
      <c r="VOL60" s="160"/>
      <c r="VOM60" s="160"/>
      <c r="VON60" s="160"/>
      <c r="VOO60" s="160"/>
      <c r="VOP60" s="160"/>
      <c r="VOQ60" s="160"/>
      <c r="VOR60" s="160"/>
      <c r="VOS60" s="160"/>
      <c r="VOT60" s="160"/>
      <c r="VOU60" s="160"/>
      <c r="VOV60" s="160"/>
      <c r="VOW60" s="160"/>
      <c r="VOX60" s="160"/>
      <c r="VOY60" s="160"/>
      <c r="VOZ60" s="160"/>
      <c r="VPA60" s="160"/>
      <c r="VPB60" s="160"/>
      <c r="VPC60" s="160"/>
      <c r="VPD60" s="160"/>
      <c r="VPE60" s="160"/>
      <c r="VPF60" s="160"/>
      <c r="VPG60" s="160"/>
      <c r="VPH60" s="160"/>
      <c r="VPI60" s="160"/>
      <c r="VPJ60" s="160"/>
      <c r="VPK60" s="160"/>
      <c r="VPL60" s="160"/>
      <c r="VPM60" s="160"/>
      <c r="VPN60" s="160"/>
      <c r="VPO60" s="160"/>
      <c r="VPP60" s="160"/>
      <c r="VPQ60" s="160"/>
      <c r="VPR60" s="160"/>
      <c r="VPS60" s="160"/>
      <c r="VPT60" s="160"/>
      <c r="VPU60" s="160"/>
      <c r="VPV60" s="160"/>
      <c r="VPW60" s="160"/>
      <c r="VPX60" s="160"/>
      <c r="VPY60" s="160"/>
      <c r="VPZ60" s="160"/>
      <c r="VQA60" s="160"/>
      <c r="VQB60" s="160"/>
      <c r="VQC60" s="160"/>
      <c r="VQD60" s="160"/>
      <c r="VQE60" s="160"/>
      <c r="VQF60" s="160"/>
      <c r="VQG60" s="160"/>
      <c r="VQH60" s="160"/>
      <c r="VQI60" s="160"/>
      <c r="VQJ60" s="160"/>
      <c r="VQK60" s="160"/>
      <c r="VQL60" s="160"/>
      <c r="VQM60" s="160"/>
      <c r="VQN60" s="160"/>
      <c r="VQO60" s="160"/>
      <c r="VQP60" s="160"/>
      <c r="VQQ60" s="160"/>
      <c r="VQR60" s="160"/>
      <c r="VQS60" s="160"/>
      <c r="VQT60" s="160"/>
      <c r="VQU60" s="160"/>
      <c r="VQV60" s="160"/>
      <c r="VQW60" s="160"/>
      <c r="VQX60" s="160"/>
      <c r="VQY60" s="160"/>
      <c r="VQZ60" s="160"/>
      <c r="VRA60" s="160"/>
      <c r="VRB60" s="160"/>
      <c r="VRC60" s="160"/>
      <c r="VRD60" s="160"/>
      <c r="VRE60" s="160"/>
      <c r="VRF60" s="160"/>
      <c r="VRG60" s="160"/>
      <c r="VRH60" s="160"/>
      <c r="VRI60" s="160"/>
      <c r="VRJ60" s="160"/>
      <c r="VRK60" s="160"/>
      <c r="VRL60" s="160"/>
      <c r="VRM60" s="160"/>
      <c r="VRN60" s="160"/>
      <c r="VRO60" s="160"/>
      <c r="VRP60" s="160"/>
      <c r="VRQ60" s="160"/>
      <c r="VRR60" s="160"/>
      <c r="VRS60" s="160"/>
      <c r="VRT60" s="160"/>
      <c r="VRU60" s="160"/>
      <c r="VRV60" s="160"/>
      <c r="VRW60" s="160"/>
      <c r="VRX60" s="160"/>
      <c r="VRY60" s="160"/>
      <c r="VRZ60" s="160"/>
      <c r="VSA60" s="160"/>
      <c r="VSB60" s="160"/>
      <c r="VSC60" s="160"/>
      <c r="VSD60" s="160"/>
      <c r="VSE60" s="160"/>
      <c r="VSF60" s="160"/>
      <c r="VSG60" s="160"/>
      <c r="VSH60" s="160"/>
      <c r="VSI60" s="160"/>
      <c r="VSJ60" s="160"/>
      <c r="VSK60" s="160"/>
      <c r="VSL60" s="160"/>
      <c r="VSM60" s="160"/>
      <c r="VSN60" s="160"/>
      <c r="VSO60" s="160"/>
      <c r="VSP60" s="160"/>
      <c r="VSQ60" s="160"/>
      <c r="VSR60" s="160"/>
      <c r="VSS60" s="160"/>
      <c r="VST60" s="160"/>
      <c r="VSU60" s="160"/>
      <c r="VSV60" s="160"/>
      <c r="VSW60" s="160"/>
      <c r="VSX60" s="160"/>
      <c r="VSY60" s="160"/>
      <c r="VSZ60" s="160"/>
      <c r="VTA60" s="160"/>
      <c r="VTB60" s="160"/>
      <c r="VTC60" s="160"/>
      <c r="VTD60" s="160"/>
      <c r="VTE60" s="160"/>
      <c r="VTF60" s="160"/>
      <c r="VTG60" s="160"/>
      <c r="VTH60" s="160"/>
      <c r="VTI60" s="160"/>
      <c r="VTJ60" s="160"/>
      <c r="VTK60" s="160"/>
      <c r="VTL60" s="160"/>
      <c r="VTM60" s="160"/>
      <c r="VTN60" s="160"/>
      <c r="VTO60" s="160"/>
      <c r="VTP60" s="160"/>
      <c r="VTQ60" s="160"/>
      <c r="VTR60" s="160"/>
      <c r="VTS60" s="160"/>
      <c r="VTT60" s="160"/>
      <c r="VTU60" s="160"/>
      <c r="VTV60" s="160"/>
      <c r="VTW60" s="160"/>
      <c r="VTX60" s="160"/>
      <c r="VTY60" s="160"/>
      <c r="VTZ60" s="160"/>
      <c r="VUA60" s="160"/>
      <c r="VUB60" s="160"/>
      <c r="VUC60" s="160"/>
      <c r="VUD60" s="160"/>
      <c r="VUE60" s="160"/>
      <c r="VUF60" s="160"/>
      <c r="VUG60" s="160"/>
      <c r="VUH60" s="160"/>
      <c r="VUI60" s="160"/>
      <c r="VUJ60" s="160"/>
      <c r="VUK60" s="160"/>
      <c r="VUL60" s="160"/>
      <c r="VUM60" s="160"/>
      <c r="VUN60" s="160"/>
      <c r="VUO60" s="160"/>
      <c r="VUP60" s="160"/>
      <c r="VUQ60" s="160"/>
      <c r="VUR60" s="160"/>
      <c r="VUS60" s="160"/>
      <c r="VUT60" s="160"/>
      <c r="VUU60" s="160"/>
      <c r="VUV60" s="160"/>
      <c r="VUW60" s="160"/>
      <c r="VUX60" s="160"/>
      <c r="VUY60" s="160"/>
      <c r="VUZ60" s="160"/>
      <c r="VVA60" s="160"/>
      <c r="VVB60" s="160"/>
      <c r="VVC60" s="160"/>
      <c r="VVD60" s="160"/>
      <c r="VVE60" s="160"/>
      <c r="VVF60" s="160"/>
      <c r="VVG60" s="160"/>
      <c r="VVH60" s="160"/>
      <c r="VVI60" s="160"/>
      <c r="VVJ60" s="160"/>
      <c r="VVK60" s="160"/>
      <c r="VVL60" s="160"/>
      <c r="VVM60" s="160"/>
      <c r="VVN60" s="160"/>
      <c r="VVO60" s="160"/>
      <c r="VVP60" s="160"/>
      <c r="VVQ60" s="160"/>
      <c r="VVR60" s="160"/>
      <c r="VVS60" s="160"/>
      <c r="VVT60" s="160"/>
      <c r="VVU60" s="160"/>
      <c r="VVV60" s="160"/>
      <c r="VVW60" s="160"/>
      <c r="VVX60" s="160"/>
      <c r="VVY60" s="160"/>
      <c r="VVZ60" s="160"/>
      <c r="VWA60" s="160"/>
      <c r="VWB60" s="160"/>
      <c r="VWC60" s="160"/>
      <c r="VWD60" s="160"/>
      <c r="VWE60" s="160"/>
      <c r="VWF60" s="160"/>
      <c r="VWG60" s="160"/>
      <c r="VWH60" s="160"/>
      <c r="VWI60" s="160"/>
      <c r="VWJ60" s="160"/>
      <c r="VWK60" s="160"/>
      <c r="VWL60" s="160"/>
      <c r="VWM60" s="160"/>
      <c r="VWN60" s="160"/>
      <c r="VWO60" s="160"/>
      <c r="VWP60" s="160"/>
      <c r="VWQ60" s="160"/>
      <c r="VWR60" s="160"/>
      <c r="VWS60" s="160"/>
      <c r="VWT60" s="160"/>
      <c r="VWU60" s="160"/>
      <c r="VWV60" s="160"/>
      <c r="VWW60" s="160"/>
      <c r="VWX60" s="160"/>
      <c r="VWY60" s="160"/>
      <c r="VWZ60" s="160"/>
      <c r="VXA60" s="160"/>
      <c r="VXB60" s="160"/>
      <c r="VXC60" s="160"/>
      <c r="VXD60" s="160"/>
      <c r="VXE60" s="160"/>
      <c r="VXF60" s="160"/>
      <c r="VXG60" s="160"/>
      <c r="VXH60" s="160"/>
      <c r="VXI60" s="160"/>
      <c r="VXJ60" s="160"/>
      <c r="VXK60" s="160"/>
      <c r="VXL60" s="160"/>
      <c r="VXM60" s="160"/>
      <c r="VXN60" s="160"/>
      <c r="VXO60" s="160"/>
      <c r="VXP60" s="160"/>
      <c r="VXQ60" s="160"/>
      <c r="VXR60" s="160"/>
      <c r="VXS60" s="160"/>
      <c r="VXT60" s="160"/>
      <c r="VXU60" s="160"/>
      <c r="VXV60" s="160"/>
      <c r="VXW60" s="160"/>
      <c r="VXX60" s="160"/>
      <c r="VXY60" s="160"/>
      <c r="VXZ60" s="160"/>
      <c r="VYA60" s="160"/>
      <c r="VYB60" s="160"/>
      <c r="VYC60" s="160"/>
      <c r="VYD60" s="160"/>
      <c r="VYE60" s="160"/>
      <c r="VYF60" s="160"/>
      <c r="VYG60" s="160"/>
      <c r="VYH60" s="160"/>
      <c r="VYI60" s="160"/>
      <c r="VYJ60" s="160"/>
      <c r="VYK60" s="160"/>
      <c r="VYL60" s="160"/>
      <c r="VYM60" s="160"/>
      <c r="VYN60" s="160"/>
      <c r="VYO60" s="160"/>
      <c r="VYP60" s="160"/>
      <c r="VYQ60" s="160"/>
      <c r="VYR60" s="160"/>
      <c r="VYS60" s="160"/>
      <c r="VYT60" s="160"/>
      <c r="VYU60" s="160"/>
      <c r="VYV60" s="160"/>
      <c r="VYW60" s="160"/>
      <c r="VYX60" s="160"/>
      <c r="VYY60" s="160"/>
      <c r="VYZ60" s="160"/>
      <c r="VZA60" s="160"/>
      <c r="VZB60" s="160"/>
      <c r="VZC60" s="160"/>
      <c r="VZD60" s="160"/>
      <c r="VZE60" s="160"/>
      <c r="VZF60" s="160"/>
      <c r="VZG60" s="160"/>
      <c r="VZH60" s="160"/>
      <c r="VZI60" s="160"/>
      <c r="VZJ60" s="160"/>
      <c r="VZK60" s="160"/>
      <c r="VZL60" s="160"/>
      <c r="VZM60" s="160"/>
      <c r="VZN60" s="160"/>
      <c r="VZO60" s="160"/>
      <c r="VZP60" s="160"/>
      <c r="VZQ60" s="160"/>
      <c r="VZR60" s="160"/>
      <c r="VZS60" s="160"/>
      <c r="VZT60" s="160"/>
      <c r="VZU60" s="160"/>
      <c r="VZV60" s="160"/>
      <c r="VZW60" s="160"/>
      <c r="VZX60" s="160"/>
      <c r="VZY60" s="160"/>
      <c r="VZZ60" s="160"/>
      <c r="WAA60" s="160"/>
      <c r="WAB60" s="160"/>
      <c r="WAC60" s="160"/>
      <c r="WAD60" s="160"/>
      <c r="WAE60" s="160"/>
      <c r="WAF60" s="160"/>
      <c r="WAG60" s="160"/>
      <c r="WAH60" s="160"/>
      <c r="WAI60" s="160"/>
      <c r="WAJ60" s="160"/>
      <c r="WAK60" s="160"/>
      <c r="WAL60" s="160"/>
      <c r="WAM60" s="160"/>
      <c r="WAN60" s="160"/>
      <c r="WAO60" s="160"/>
      <c r="WAP60" s="160"/>
      <c r="WAQ60" s="160"/>
      <c r="WAR60" s="160"/>
      <c r="WAS60" s="160"/>
      <c r="WAT60" s="160"/>
      <c r="WAU60" s="160"/>
      <c r="WAV60" s="160"/>
      <c r="WAW60" s="160"/>
      <c r="WAX60" s="160"/>
      <c r="WAY60" s="160"/>
      <c r="WAZ60" s="160"/>
      <c r="WBA60" s="160"/>
      <c r="WBB60" s="160"/>
      <c r="WBC60" s="160"/>
      <c r="WBD60" s="160"/>
      <c r="WBE60" s="160"/>
      <c r="WBF60" s="160"/>
      <c r="WBG60" s="160"/>
      <c r="WBH60" s="160"/>
      <c r="WBI60" s="160"/>
      <c r="WBJ60" s="160"/>
      <c r="WBK60" s="160"/>
      <c r="WBL60" s="160"/>
      <c r="WBM60" s="160"/>
      <c r="WBN60" s="160"/>
      <c r="WBO60" s="160"/>
      <c r="WBP60" s="160"/>
      <c r="WBQ60" s="160"/>
      <c r="WBR60" s="160"/>
      <c r="WBS60" s="160"/>
      <c r="WBT60" s="160"/>
      <c r="WBU60" s="160"/>
      <c r="WBV60" s="160"/>
      <c r="WBW60" s="160"/>
      <c r="WBX60" s="160"/>
      <c r="WBY60" s="160"/>
      <c r="WBZ60" s="160"/>
      <c r="WCA60" s="160"/>
      <c r="WCB60" s="160"/>
      <c r="WCC60" s="160"/>
      <c r="WCD60" s="160"/>
      <c r="WCE60" s="160"/>
      <c r="WCF60" s="160"/>
      <c r="WCG60" s="160"/>
      <c r="WCH60" s="160"/>
      <c r="WCI60" s="160"/>
      <c r="WCJ60" s="160"/>
      <c r="WCK60" s="160"/>
      <c r="WCL60" s="160"/>
      <c r="WCM60" s="160"/>
      <c r="WCN60" s="160"/>
      <c r="WCO60" s="160"/>
      <c r="WCP60" s="160"/>
      <c r="WCQ60" s="160"/>
      <c r="WCR60" s="160"/>
      <c r="WCS60" s="160"/>
      <c r="WCT60" s="160"/>
      <c r="WCU60" s="160"/>
      <c r="WCV60" s="160"/>
      <c r="WCW60" s="160"/>
      <c r="WCX60" s="160"/>
      <c r="WCY60" s="160"/>
      <c r="WCZ60" s="160"/>
      <c r="WDA60" s="160"/>
      <c r="WDB60" s="160"/>
      <c r="WDC60" s="160"/>
      <c r="WDD60" s="160"/>
      <c r="WDE60" s="160"/>
      <c r="WDF60" s="160"/>
      <c r="WDG60" s="160"/>
      <c r="WDH60" s="160"/>
      <c r="WDI60" s="160"/>
      <c r="WDJ60" s="160"/>
      <c r="WDK60" s="160"/>
      <c r="WDL60" s="160"/>
      <c r="WDM60" s="160"/>
      <c r="WDN60" s="160"/>
      <c r="WDO60" s="160"/>
      <c r="WDP60" s="160"/>
      <c r="WDQ60" s="160"/>
      <c r="WDR60" s="160"/>
      <c r="WDS60" s="160"/>
      <c r="WDT60" s="160"/>
      <c r="WDU60" s="160"/>
      <c r="WDV60" s="160"/>
      <c r="WDW60" s="160"/>
      <c r="WDX60" s="160"/>
      <c r="WDY60" s="160"/>
      <c r="WDZ60" s="160"/>
      <c r="WEA60" s="160"/>
      <c r="WEB60" s="160"/>
      <c r="WEC60" s="160"/>
      <c r="WED60" s="160"/>
      <c r="WEE60" s="160"/>
      <c r="WEF60" s="160"/>
      <c r="WEG60" s="160"/>
      <c r="WEH60" s="160"/>
      <c r="WEI60" s="160"/>
      <c r="WEJ60" s="160"/>
      <c r="WEK60" s="160"/>
      <c r="WEL60" s="160"/>
      <c r="WEM60" s="160"/>
      <c r="WEN60" s="160"/>
      <c r="WEO60" s="160"/>
      <c r="WEP60" s="160"/>
      <c r="WEQ60" s="160"/>
      <c r="WER60" s="160"/>
      <c r="WES60" s="160"/>
      <c r="WET60" s="160"/>
      <c r="WEU60" s="160"/>
      <c r="WEV60" s="160"/>
      <c r="WEW60" s="160"/>
      <c r="WEX60" s="160"/>
      <c r="WEY60" s="160"/>
      <c r="WEZ60" s="160"/>
      <c r="WFA60" s="160"/>
      <c r="WFB60" s="160"/>
      <c r="WFC60" s="160"/>
      <c r="WFD60" s="160"/>
      <c r="WFE60" s="160"/>
      <c r="WFF60" s="160"/>
      <c r="WFG60" s="160"/>
      <c r="WFH60" s="160"/>
      <c r="WFI60" s="160"/>
      <c r="WFJ60" s="160"/>
      <c r="WFK60" s="160"/>
      <c r="WFL60" s="160"/>
      <c r="WFM60" s="160"/>
      <c r="WFN60" s="160"/>
      <c r="WFO60" s="160"/>
      <c r="WFP60" s="160"/>
      <c r="WFQ60" s="160"/>
      <c r="WFR60" s="160"/>
      <c r="WFS60" s="160"/>
      <c r="WFT60" s="160"/>
      <c r="WFU60" s="160"/>
      <c r="WFV60" s="160"/>
      <c r="WFW60" s="160"/>
      <c r="WFX60" s="160"/>
      <c r="WFY60" s="160"/>
      <c r="WFZ60" s="160"/>
      <c r="WGA60" s="160"/>
      <c r="WGB60" s="160"/>
      <c r="WGC60" s="160"/>
      <c r="WGD60" s="160"/>
      <c r="WGE60" s="160"/>
      <c r="WGF60" s="160"/>
      <c r="WGG60" s="160"/>
      <c r="WGH60" s="160"/>
      <c r="WGI60" s="160"/>
      <c r="WGJ60" s="160"/>
      <c r="WGK60" s="160"/>
      <c r="WGL60" s="160"/>
      <c r="WGM60" s="160"/>
      <c r="WGN60" s="160"/>
      <c r="WGO60" s="160"/>
      <c r="WGP60" s="160"/>
      <c r="WGQ60" s="160"/>
      <c r="WGR60" s="160"/>
      <c r="WGS60" s="160"/>
      <c r="WGT60" s="160"/>
      <c r="WGU60" s="160"/>
      <c r="WGV60" s="160"/>
      <c r="WGW60" s="160"/>
      <c r="WGX60" s="160"/>
      <c r="WGY60" s="160"/>
      <c r="WGZ60" s="160"/>
      <c r="WHA60" s="160"/>
      <c r="WHB60" s="160"/>
      <c r="WHC60" s="160"/>
      <c r="WHD60" s="160"/>
      <c r="WHE60" s="160"/>
      <c r="WHF60" s="160"/>
      <c r="WHG60" s="160"/>
      <c r="WHH60" s="160"/>
      <c r="WHI60" s="160"/>
      <c r="WHJ60" s="160"/>
      <c r="WHK60" s="160"/>
      <c r="WHL60" s="160"/>
      <c r="WHM60" s="160"/>
      <c r="WHN60" s="160"/>
      <c r="WHO60" s="160"/>
      <c r="WHP60" s="160"/>
      <c r="WHQ60" s="160"/>
      <c r="WHR60" s="160"/>
      <c r="WHS60" s="160"/>
      <c r="WHT60" s="160"/>
      <c r="WHU60" s="160"/>
      <c r="WHV60" s="160"/>
      <c r="WHW60" s="160"/>
      <c r="WHX60" s="160"/>
      <c r="WHY60" s="160"/>
      <c r="WHZ60" s="160"/>
      <c r="WIA60" s="160"/>
      <c r="WIB60" s="160"/>
      <c r="WIC60" s="160"/>
      <c r="WID60" s="160"/>
      <c r="WIE60" s="160"/>
      <c r="WIF60" s="160"/>
      <c r="WIG60" s="160"/>
      <c r="WIH60" s="160"/>
      <c r="WII60" s="160"/>
      <c r="WIJ60" s="160"/>
      <c r="WIK60" s="160"/>
      <c r="WIL60" s="160"/>
      <c r="WIM60" s="160"/>
      <c r="WIN60" s="160"/>
      <c r="WIO60" s="160"/>
      <c r="WIP60" s="160"/>
      <c r="WIQ60" s="160"/>
      <c r="WIR60" s="160"/>
      <c r="WIS60" s="160"/>
      <c r="WIT60" s="160"/>
      <c r="WIU60" s="160"/>
      <c r="WIV60" s="160"/>
      <c r="WIW60" s="160"/>
      <c r="WIX60" s="160"/>
      <c r="WIY60" s="160"/>
      <c r="WIZ60" s="160"/>
      <c r="WJA60" s="160"/>
      <c r="WJB60" s="160"/>
      <c r="WJC60" s="160"/>
      <c r="WJD60" s="160"/>
      <c r="WJE60" s="160"/>
      <c r="WJF60" s="160"/>
      <c r="WJG60" s="160"/>
      <c r="WJH60" s="160"/>
      <c r="WJI60" s="160"/>
      <c r="WJJ60" s="160"/>
      <c r="WJK60" s="160"/>
      <c r="WJL60" s="160"/>
      <c r="WJM60" s="160"/>
      <c r="WJN60" s="160"/>
      <c r="WJO60" s="160"/>
      <c r="WJP60" s="160"/>
      <c r="WJQ60" s="160"/>
      <c r="WJR60" s="160"/>
      <c r="WJS60" s="160"/>
      <c r="WJT60" s="160"/>
      <c r="WJU60" s="160"/>
      <c r="WJV60" s="160"/>
      <c r="WJW60" s="160"/>
      <c r="WJX60" s="160"/>
      <c r="WJY60" s="160"/>
      <c r="WJZ60" s="160"/>
      <c r="WKA60" s="160"/>
      <c r="WKB60" s="160"/>
      <c r="WKC60" s="160"/>
      <c r="WKD60" s="160"/>
      <c r="WKE60" s="160"/>
      <c r="WKF60" s="160"/>
      <c r="WKG60" s="160"/>
      <c r="WKH60" s="160"/>
      <c r="WKI60" s="160"/>
      <c r="WKJ60" s="160"/>
      <c r="WKK60" s="160"/>
      <c r="WKL60" s="160"/>
      <c r="WKM60" s="160"/>
      <c r="WKN60" s="160"/>
      <c r="WKO60" s="160"/>
      <c r="WKP60" s="160"/>
      <c r="WKQ60" s="160"/>
      <c r="WKR60" s="160"/>
      <c r="WKS60" s="160"/>
      <c r="WKT60" s="160"/>
      <c r="WKU60" s="160"/>
      <c r="WKV60" s="160"/>
      <c r="WKW60" s="160"/>
      <c r="WKX60" s="160"/>
      <c r="WKY60" s="160"/>
      <c r="WKZ60" s="160"/>
      <c r="WLA60" s="160"/>
      <c r="WLB60" s="160"/>
      <c r="WLC60" s="160"/>
      <c r="WLD60" s="160"/>
      <c r="WLE60" s="160"/>
      <c r="WLF60" s="160"/>
      <c r="WLG60" s="160"/>
      <c r="WLH60" s="160"/>
      <c r="WLI60" s="160"/>
      <c r="WLJ60" s="160"/>
      <c r="WLK60" s="160"/>
      <c r="WLL60" s="160"/>
      <c r="WLM60" s="160"/>
      <c r="WLN60" s="160"/>
      <c r="WLO60" s="160"/>
      <c r="WLP60" s="160"/>
      <c r="WLQ60" s="160"/>
      <c r="WLR60" s="160"/>
      <c r="WLS60" s="160"/>
      <c r="WLT60" s="160"/>
      <c r="WLU60" s="160"/>
      <c r="WLV60" s="160"/>
      <c r="WLW60" s="160"/>
      <c r="WLX60" s="160"/>
      <c r="WLY60" s="160"/>
      <c r="WLZ60" s="160"/>
      <c r="WMA60" s="160"/>
      <c r="WMB60" s="160"/>
      <c r="WMC60" s="160"/>
      <c r="WMD60" s="160"/>
      <c r="WME60" s="160"/>
      <c r="WMF60" s="160"/>
      <c r="WMG60" s="160"/>
      <c r="WMH60" s="160"/>
      <c r="WMI60" s="160"/>
      <c r="WMJ60" s="160"/>
      <c r="WMK60" s="160"/>
      <c r="WML60" s="160"/>
      <c r="WMM60" s="160"/>
      <c r="WMN60" s="160"/>
      <c r="WMO60" s="160"/>
      <c r="WMP60" s="160"/>
      <c r="WMQ60" s="160"/>
      <c r="WMR60" s="160"/>
      <c r="WMS60" s="160"/>
      <c r="WMT60" s="160"/>
      <c r="WMU60" s="160"/>
      <c r="WMV60" s="160"/>
      <c r="WMW60" s="160"/>
      <c r="WMX60" s="160"/>
      <c r="WMY60" s="160"/>
      <c r="WMZ60" s="160"/>
      <c r="WNA60" s="160"/>
      <c r="WNB60" s="160"/>
      <c r="WNC60" s="160"/>
      <c r="WND60" s="160"/>
      <c r="WNE60" s="160"/>
      <c r="WNF60" s="160"/>
      <c r="WNG60" s="160"/>
      <c r="WNH60" s="160"/>
      <c r="WNI60" s="160"/>
      <c r="WNJ60" s="160"/>
      <c r="WNK60" s="160"/>
      <c r="WNL60" s="160"/>
      <c r="WNM60" s="160"/>
      <c r="WNN60" s="160"/>
      <c r="WNO60" s="160"/>
      <c r="WNP60" s="160"/>
      <c r="WNQ60" s="160"/>
      <c r="WNR60" s="160"/>
      <c r="WNS60" s="160"/>
      <c r="WNT60" s="160"/>
      <c r="WNU60" s="160"/>
      <c r="WNV60" s="160"/>
      <c r="WNW60" s="160"/>
      <c r="WNX60" s="160"/>
      <c r="WNY60" s="160"/>
      <c r="WNZ60" s="160"/>
      <c r="WOA60" s="160"/>
      <c r="WOB60" s="160"/>
      <c r="WOC60" s="160"/>
      <c r="WOD60" s="160"/>
      <c r="WOE60" s="160"/>
      <c r="WOF60" s="160"/>
      <c r="WOG60" s="160"/>
      <c r="WOH60" s="160"/>
      <c r="WOI60" s="160"/>
      <c r="WOJ60" s="160"/>
      <c r="WOK60" s="160"/>
      <c r="WOL60" s="160"/>
      <c r="WOM60" s="160"/>
      <c r="WON60" s="160"/>
      <c r="WOO60" s="160"/>
      <c r="WOP60" s="160"/>
      <c r="WOQ60" s="160"/>
      <c r="WOR60" s="160"/>
      <c r="WOS60" s="160"/>
      <c r="WOT60" s="160"/>
      <c r="WOU60" s="160"/>
      <c r="WOV60" s="160"/>
      <c r="WOW60" s="160"/>
      <c r="WOX60" s="160"/>
      <c r="WOY60" s="160"/>
      <c r="WOZ60" s="160"/>
      <c r="WPA60" s="160"/>
      <c r="WPB60" s="160"/>
      <c r="WPC60" s="160"/>
      <c r="WPD60" s="160"/>
      <c r="WPE60" s="160"/>
      <c r="WPF60" s="160"/>
      <c r="WPG60" s="160"/>
      <c r="WPH60" s="160"/>
      <c r="WPI60" s="160"/>
      <c r="WPJ60" s="160"/>
      <c r="WPK60" s="160"/>
      <c r="WPL60" s="160"/>
      <c r="WPM60" s="160"/>
      <c r="WPN60" s="160"/>
      <c r="WPO60" s="160"/>
      <c r="WPP60" s="160"/>
      <c r="WPQ60" s="160"/>
      <c r="WPR60" s="160"/>
      <c r="WPS60" s="160"/>
      <c r="WPT60" s="160"/>
      <c r="WPU60" s="160"/>
      <c r="WPV60" s="160"/>
      <c r="WPW60" s="160"/>
      <c r="WPX60" s="160"/>
      <c r="WPY60" s="160"/>
      <c r="WPZ60" s="160"/>
      <c r="WQA60" s="160"/>
      <c r="WQB60" s="160"/>
      <c r="WQC60" s="160"/>
      <c r="WQD60" s="160"/>
      <c r="WQE60" s="160"/>
      <c r="WQF60" s="160"/>
      <c r="WQG60" s="160"/>
      <c r="WQH60" s="160"/>
      <c r="WQI60" s="160"/>
      <c r="WQJ60" s="160"/>
      <c r="WQK60" s="160"/>
      <c r="WQL60" s="160"/>
      <c r="WQM60" s="160"/>
      <c r="WQN60" s="160"/>
      <c r="WQO60" s="160"/>
      <c r="WQP60" s="160"/>
      <c r="WQQ60" s="160"/>
      <c r="WQR60" s="160"/>
      <c r="WQS60" s="160"/>
      <c r="WQT60" s="160"/>
      <c r="WQU60" s="160"/>
      <c r="WQV60" s="160"/>
      <c r="WQW60" s="160"/>
      <c r="WQX60" s="160"/>
      <c r="WQY60" s="160"/>
      <c r="WQZ60" s="160"/>
      <c r="WRA60" s="160"/>
      <c r="WRB60" s="160"/>
      <c r="WRC60" s="160"/>
      <c r="WRD60" s="160"/>
      <c r="WRE60" s="160"/>
      <c r="WRF60" s="160"/>
      <c r="WRG60" s="160"/>
      <c r="WRH60" s="160"/>
      <c r="WRI60" s="160"/>
      <c r="WRJ60" s="160"/>
      <c r="WRK60" s="160"/>
      <c r="WRL60" s="160"/>
      <c r="WRM60" s="160"/>
      <c r="WRN60" s="160"/>
      <c r="WRO60" s="160"/>
      <c r="WRP60" s="160"/>
      <c r="WRQ60" s="160"/>
      <c r="WRR60" s="160"/>
      <c r="WRS60" s="160"/>
      <c r="WRT60" s="160"/>
      <c r="WRU60" s="160"/>
      <c r="WRV60" s="160"/>
      <c r="WRW60" s="160"/>
      <c r="WRX60" s="160"/>
      <c r="WRY60" s="160"/>
      <c r="WRZ60" s="160"/>
      <c r="WSA60" s="160"/>
      <c r="WSB60" s="160"/>
      <c r="WSC60" s="160"/>
      <c r="WSD60" s="160"/>
      <c r="WSE60" s="160"/>
      <c r="WSF60" s="160"/>
      <c r="WSG60" s="160"/>
      <c r="WSH60" s="160"/>
      <c r="WSI60" s="160"/>
      <c r="WSJ60" s="160"/>
      <c r="WSK60" s="160"/>
      <c r="WSL60" s="160"/>
      <c r="WSM60" s="160"/>
      <c r="WSN60" s="160"/>
      <c r="WSO60" s="160"/>
      <c r="WSP60" s="160"/>
      <c r="WSQ60" s="160"/>
      <c r="WSR60" s="160"/>
      <c r="WSS60" s="160"/>
      <c r="WST60" s="160"/>
      <c r="WSU60" s="160"/>
      <c r="WSV60" s="160"/>
      <c r="WSW60" s="160"/>
      <c r="WSX60" s="160"/>
      <c r="WSY60" s="160"/>
      <c r="WSZ60" s="160"/>
      <c r="WTA60" s="160"/>
      <c r="WTB60" s="160"/>
      <c r="WTC60" s="160"/>
      <c r="WTD60" s="160"/>
      <c r="WTE60" s="160"/>
      <c r="WTF60" s="160"/>
      <c r="WTG60" s="160"/>
      <c r="WTH60" s="160"/>
      <c r="WTI60" s="160"/>
      <c r="WTJ60" s="160"/>
      <c r="WTK60" s="160"/>
      <c r="WTL60" s="160"/>
      <c r="WTM60" s="160"/>
      <c r="WTN60" s="160"/>
      <c r="WTO60" s="160"/>
      <c r="WTP60" s="160"/>
      <c r="WTQ60" s="160"/>
      <c r="WTR60" s="160"/>
      <c r="WTS60" s="160"/>
      <c r="WTT60" s="160"/>
      <c r="WTU60" s="160"/>
      <c r="WTV60" s="160"/>
      <c r="WTW60" s="160"/>
      <c r="WTX60" s="160"/>
      <c r="WTY60" s="160"/>
      <c r="WTZ60" s="160"/>
      <c r="WUA60" s="160"/>
      <c r="WUB60" s="160"/>
      <c r="WUC60" s="160"/>
      <c r="WUD60" s="160"/>
      <c r="WUE60" s="160"/>
      <c r="WUF60" s="160"/>
      <c r="WUG60" s="160"/>
      <c r="WUH60" s="160"/>
      <c r="WUI60" s="160"/>
      <c r="WUJ60" s="160"/>
      <c r="WUK60" s="160"/>
      <c r="WUL60" s="160"/>
      <c r="WUM60" s="160"/>
      <c r="WUN60" s="160"/>
      <c r="WUO60" s="160"/>
      <c r="WUP60" s="160"/>
      <c r="WUQ60" s="160"/>
      <c r="WUR60" s="160"/>
      <c r="WUS60" s="160"/>
      <c r="WUT60" s="160"/>
      <c r="WUU60" s="160"/>
      <c r="WUV60" s="160"/>
      <c r="WUW60" s="160"/>
      <c r="WUX60" s="160"/>
      <c r="WUY60" s="160"/>
      <c r="WUZ60" s="160"/>
      <c r="WVA60" s="160"/>
      <c r="WVB60" s="160"/>
      <c r="WVC60" s="160"/>
      <c r="WVD60" s="160"/>
      <c r="WVE60" s="160"/>
      <c r="WVF60" s="160"/>
      <c r="WVG60" s="160"/>
      <c r="WVH60" s="160"/>
      <c r="WVI60" s="160"/>
      <c r="WVJ60" s="160"/>
      <c r="WVK60" s="160"/>
      <c r="WVL60" s="160"/>
      <c r="WVM60" s="160"/>
      <c r="WVN60" s="160"/>
      <c r="WVO60" s="160"/>
      <c r="WVP60" s="160"/>
      <c r="WVQ60" s="160"/>
      <c r="WVR60" s="160"/>
      <c r="WVS60" s="160"/>
      <c r="WVT60" s="160"/>
      <c r="WVU60" s="160"/>
      <c r="WVV60" s="160"/>
      <c r="WVW60" s="160"/>
      <c r="WVX60" s="160"/>
      <c r="WVY60" s="160"/>
      <c r="WVZ60" s="160"/>
      <c r="WWA60" s="160"/>
      <c r="WWB60" s="160"/>
      <c r="WWC60" s="160"/>
      <c r="WWD60" s="160"/>
      <c r="WWE60" s="160"/>
      <c r="WWF60" s="160"/>
      <c r="WWG60" s="160"/>
      <c r="WWH60" s="160"/>
      <c r="WWI60" s="160"/>
      <c r="WWJ60" s="160"/>
      <c r="WWK60" s="160"/>
      <c r="WWL60" s="160"/>
      <c r="WWM60" s="160"/>
      <c r="WWN60" s="160"/>
      <c r="WWO60" s="160"/>
      <c r="WWP60" s="160"/>
      <c r="WWQ60" s="160"/>
      <c r="WWR60" s="160"/>
      <c r="WWS60" s="160"/>
      <c r="WWT60" s="160"/>
      <c r="WWU60" s="160"/>
      <c r="WWV60" s="160"/>
      <c r="WWW60" s="160"/>
      <c r="WWX60" s="160"/>
      <c r="WWY60" s="160"/>
      <c r="WWZ60" s="160"/>
      <c r="WXA60" s="160"/>
      <c r="WXB60" s="160"/>
      <c r="WXC60" s="160"/>
      <c r="WXD60" s="160"/>
      <c r="WXE60" s="160"/>
      <c r="WXF60" s="160"/>
      <c r="WXG60" s="160"/>
      <c r="WXH60" s="160"/>
      <c r="WXI60" s="160"/>
      <c r="WXJ60" s="160"/>
      <c r="WXK60" s="160"/>
      <c r="WXL60" s="160"/>
      <c r="WXM60" s="160"/>
      <c r="WXN60" s="160"/>
      <c r="WXO60" s="160"/>
      <c r="WXP60" s="160"/>
      <c r="WXQ60" s="160"/>
      <c r="WXR60" s="160"/>
      <c r="WXS60" s="160"/>
      <c r="WXT60" s="160"/>
      <c r="WXU60" s="160"/>
      <c r="WXV60" s="160"/>
      <c r="WXW60" s="160"/>
      <c r="WXX60" s="160"/>
      <c r="WXY60" s="160"/>
      <c r="WXZ60" s="160"/>
      <c r="WYA60" s="160"/>
      <c r="WYB60" s="160"/>
      <c r="WYC60" s="160"/>
      <c r="WYD60" s="160"/>
      <c r="WYE60" s="160"/>
      <c r="WYF60" s="160"/>
      <c r="WYG60" s="160"/>
      <c r="WYH60" s="160"/>
      <c r="WYI60" s="160"/>
      <c r="WYJ60" s="160"/>
      <c r="WYK60" s="160"/>
      <c r="WYL60" s="160"/>
      <c r="WYM60" s="160"/>
      <c r="WYN60" s="160"/>
      <c r="WYO60" s="160"/>
      <c r="WYP60" s="160"/>
      <c r="WYQ60" s="160"/>
      <c r="WYR60" s="160"/>
      <c r="WYS60" s="160"/>
      <c r="WYT60" s="160"/>
      <c r="WYU60" s="160"/>
      <c r="WYV60" s="160"/>
      <c r="WYW60" s="160"/>
      <c r="WYX60" s="160"/>
      <c r="WYY60" s="160"/>
      <c r="WYZ60" s="160"/>
      <c r="WZA60" s="160"/>
      <c r="WZB60" s="160"/>
      <c r="WZC60" s="160"/>
      <c r="WZD60" s="160"/>
      <c r="WZE60" s="160"/>
      <c r="WZF60" s="160"/>
      <c r="WZG60" s="160"/>
      <c r="WZH60" s="160"/>
      <c r="WZI60" s="160"/>
      <c r="WZJ60" s="160"/>
      <c r="WZK60" s="160"/>
      <c r="WZL60" s="160"/>
      <c r="WZM60" s="160"/>
      <c r="WZN60" s="160"/>
      <c r="WZO60" s="160"/>
      <c r="WZP60" s="160"/>
      <c r="WZQ60" s="160"/>
      <c r="WZR60" s="160"/>
      <c r="WZS60" s="160"/>
      <c r="WZT60" s="160"/>
      <c r="WZU60" s="160"/>
      <c r="WZV60" s="160"/>
      <c r="WZW60" s="160"/>
      <c r="WZX60" s="160"/>
      <c r="WZY60" s="160"/>
      <c r="WZZ60" s="160"/>
      <c r="XAA60" s="160"/>
      <c r="XAB60" s="160"/>
      <c r="XAC60" s="160"/>
      <c r="XAD60" s="160"/>
      <c r="XAE60" s="160"/>
      <c r="XAF60" s="160"/>
      <c r="XAG60" s="160"/>
      <c r="XAH60" s="160"/>
      <c r="XAI60" s="160"/>
      <c r="XAJ60" s="160"/>
      <c r="XAK60" s="160"/>
      <c r="XAL60" s="160"/>
      <c r="XAM60" s="160"/>
      <c r="XAN60" s="160"/>
      <c r="XAO60" s="160"/>
      <c r="XAP60" s="160"/>
      <c r="XAQ60" s="160"/>
      <c r="XAR60" s="160"/>
      <c r="XAS60" s="160"/>
      <c r="XAT60" s="160"/>
      <c r="XAU60" s="160"/>
      <c r="XAV60" s="160"/>
      <c r="XAW60" s="160"/>
      <c r="XAX60" s="160"/>
      <c r="XAY60" s="160"/>
      <c r="XAZ60" s="160"/>
      <c r="XBA60" s="160"/>
      <c r="XBB60" s="160"/>
      <c r="XBC60" s="160"/>
      <c r="XBD60" s="160"/>
      <c r="XBE60" s="160"/>
      <c r="XBF60" s="160"/>
      <c r="XBG60" s="160"/>
      <c r="XBH60" s="160"/>
      <c r="XBI60" s="160"/>
      <c r="XBJ60" s="160"/>
      <c r="XBK60" s="160"/>
      <c r="XBL60" s="160"/>
      <c r="XBM60" s="160"/>
      <c r="XBN60" s="160"/>
      <c r="XBO60" s="160"/>
      <c r="XBP60" s="160"/>
      <c r="XBQ60" s="160"/>
      <c r="XBR60" s="160"/>
      <c r="XBS60" s="160"/>
      <c r="XBT60" s="160"/>
      <c r="XBU60" s="160"/>
      <c r="XBV60" s="160"/>
      <c r="XBW60" s="160"/>
      <c r="XBX60" s="160"/>
      <c r="XBY60" s="160"/>
      <c r="XBZ60" s="160"/>
      <c r="XCA60" s="160"/>
      <c r="XCB60" s="160"/>
      <c r="XCC60" s="160"/>
      <c r="XCD60" s="160"/>
      <c r="XCE60" s="160"/>
      <c r="XCF60" s="160"/>
      <c r="XCG60" s="160"/>
      <c r="XCH60" s="160"/>
      <c r="XCI60" s="160"/>
      <c r="XCJ60" s="160"/>
      <c r="XCK60" s="160"/>
      <c r="XCL60" s="160"/>
      <c r="XCM60" s="160"/>
      <c r="XCN60" s="160"/>
      <c r="XCO60" s="160"/>
      <c r="XCP60" s="160"/>
      <c r="XCQ60" s="160"/>
      <c r="XCR60" s="160"/>
      <c r="XCS60" s="160"/>
      <c r="XCT60" s="160"/>
      <c r="XCU60" s="160"/>
      <c r="XCV60" s="160"/>
      <c r="XCW60" s="160"/>
      <c r="XCX60" s="160"/>
      <c r="XCY60" s="160"/>
      <c r="XCZ60" s="160"/>
      <c r="XDA60" s="160"/>
      <c r="XDB60" s="160"/>
      <c r="XDC60" s="160"/>
      <c r="XDD60" s="160"/>
      <c r="XDE60" s="160"/>
      <c r="XDF60" s="160"/>
      <c r="XDG60" s="160"/>
      <c r="XDH60" s="160"/>
      <c r="XDI60" s="160"/>
      <c r="XDJ60" s="160"/>
      <c r="XDK60" s="160"/>
      <c r="XDL60" s="160"/>
      <c r="XDM60" s="160"/>
      <c r="XDN60" s="160"/>
      <c r="XDO60" s="160"/>
      <c r="XDP60" s="160"/>
      <c r="XDQ60" s="160"/>
      <c r="XDR60" s="160"/>
      <c r="XDS60" s="160"/>
      <c r="XDT60" s="160"/>
      <c r="XDU60" s="160"/>
      <c r="XDV60" s="160"/>
      <c r="XDW60" s="160"/>
      <c r="XDX60" s="160"/>
      <c r="XDY60" s="160"/>
      <c r="XDZ60" s="160"/>
      <c r="XEA60" s="160"/>
      <c r="XEB60" s="160"/>
      <c r="XEC60" s="160"/>
      <c r="XED60" s="160"/>
      <c r="XEE60" s="160"/>
      <c r="XEF60" s="160"/>
      <c r="XEG60" s="160"/>
      <c r="XEH60" s="160"/>
      <c r="XEI60" s="160"/>
      <c r="XEJ60" s="160"/>
      <c r="XEK60" s="160"/>
      <c r="XEL60" s="160"/>
      <c r="XEM60" s="160"/>
      <c r="XEN60" s="160"/>
      <c r="XEO60" s="160"/>
      <c r="XEP60" s="160"/>
      <c r="XEQ60" s="160"/>
      <c r="XER60" s="160"/>
      <c r="XES60" s="160"/>
      <c r="XET60" s="160"/>
      <c r="XEU60" s="160"/>
      <c r="XEV60" s="160"/>
      <c r="XEW60" s="160"/>
      <c r="XEX60" s="160"/>
      <c r="XEY60" s="160"/>
      <c r="XEZ60" s="160"/>
      <c r="XFA60" s="160"/>
      <c r="XFB60" s="160"/>
    </row>
    <row r="61" spans="1:16382" ht="24.95" customHeight="1">
      <c r="A61" s="580">
        <f t="shared" si="0"/>
        <v>38</v>
      </c>
      <c r="B61" s="579" t="s">
        <v>555</v>
      </c>
      <c r="C61" s="14" t="s">
        <v>556</v>
      </c>
      <c r="D61" s="276">
        <v>1</v>
      </c>
      <c r="E61" s="593">
        <v>300000</v>
      </c>
      <c r="F61" s="523">
        <v>300000</v>
      </c>
      <c r="G61" s="173" t="s">
        <v>89</v>
      </c>
      <c r="H61" s="112" t="s">
        <v>531</v>
      </c>
      <c r="I61" s="469" t="s">
        <v>83</v>
      </c>
      <c r="J61" s="264" t="s">
        <v>401</v>
      </c>
      <c r="K61" s="553">
        <v>289900</v>
      </c>
      <c r="L61" s="276" t="s">
        <v>557</v>
      </c>
      <c r="M61" s="556" t="s">
        <v>138</v>
      </c>
    </row>
    <row r="62" spans="1:16382" ht="24.95" customHeight="1">
      <c r="A62" s="580">
        <v>1</v>
      </c>
      <c r="B62" s="577">
        <v>5</v>
      </c>
      <c r="C62" s="262" t="s">
        <v>129</v>
      </c>
      <c r="D62" s="288">
        <v>1</v>
      </c>
      <c r="E62" s="289">
        <v>80000</v>
      </c>
      <c r="F62" s="325">
        <v>80000</v>
      </c>
      <c r="G62" s="215" t="s">
        <v>36</v>
      </c>
      <c r="H62" s="179" t="s">
        <v>20</v>
      </c>
      <c r="I62" s="211" t="s">
        <v>83</v>
      </c>
      <c r="J62" s="264" t="s">
        <v>401</v>
      </c>
      <c r="K62" s="553">
        <v>83500</v>
      </c>
      <c r="L62" s="276" t="s">
        <v>130</v>
      </c>
      <c r="M62" s="276" t="s">
        <v>131</v>
      </c>
    </row>
    <row r="63" spans="1:16382" ht="24.95" customHeight="1">
      <c r="A63" s="580">
        <f>A62+1</f>
        <v>2</v>
      </c>
      <c r="B63" s="577">
        <v>6</v>
      </c>
      <c r="C63" s="262" t="s">
        <v>133</v>
      </c>
      <c r="D63" s="288">
        <v>1</v>
      </c>
      <c r="E63" s="289">
        <v>80000</v>
      </c>
      <c r="F63" s="325">
        <v>80000</v>
      </c>
      <c r="G63" s="215" t="s">
        <v>36</v>
      </c>
      <c r="H63" s="179" t="s">
        <v>20</v>
      </c>
      <c r="I63" s="211" t="s">
        <v>83</v>
      </c>
      <c r="J63" s="264" t="s">
        <v>401</v>
      </c>
      <c r="K63" s="488">
        <v>84200</v>
      </c>
      <c r="L63" s="276" t="s">
        <v>130</v>
      </c>
      <c r="M63" s="276" t="s">
        <v>131</v>
      </c>
    </row>
    <row r="64" spans="1:16382" s="654" customFormat="1" ht="34.5" hidden="1" customHeight="1">
      <c r="A64" s="598">
        <f t="shared" ref="A64:A81" si="1">A63+1</f>
        <v>3</v>
      </c>
      <c r="B64" s="655">
        <v>108</v>
      </c>
      <c r="C64" s="610" t="s">
        <v>330</v>
      </c>
      <c r="D64" s="613">
        <v>1</v>
      </c>
      <c r="E64" s="650">
        <v>600000</v>
      </c>
      <c r="F64" s="615">
        <v>600000</v>
      </c>
      <c r="G64" s="613" t="s">
        <v>40</v>
      </c>
      <c r="H64" s="613" t="s">
        <v>20</v>
      </c>
      <c r="I64" s="609" t="s">
        <v>83</v>
      </c>
      <c r="J64" s="605" t="s">
        <v>304</v>
      </c>
      <c r="K64" s="762">
        <v>0</v>
      </c>
      <c r="L64" s="656" t="s">
        <v>332</v>
      </c>
      <c r="M64" s="604" t="s">
        <v>131</v>
      </c>
      <c r="N64" s="615">
        <v>596250</v>
      </c>
      <c r="O64" s="607"/>
      <c r="P64" s="607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607"/>
      <c r="AG64" s="607"/>
      <c r="AH64" s="607"/>
      <c r="AI64" s="607"/>
      <c r="AJ64" s="607"/>
      <c r="AK64" s="607"/>
      <c r="AL64" s="607"/>
      <c r="AM64" s="607"/>
      <c r="AN64" s="607"/>
      <c r="AO64" s="607"/>
      <c r="AP64" s="607"/>
      <c r="AQ64" s="607"/>
      <c r="AR64" s="607"/>
      <c r="AS64" s="607"/>
      <c r="AT64" s="607"/>
      <c r="AU64" s="607"/>
      <c r="AV64" s="607"/>
      <c r="AW64" s="607"/>
      <c r="AX64" s="607"/>
      <c r="AY64" s="607"/>
      <c r="AZ64" s="607"/>
      <c r="BA64" s="607"/>
      <c r="BB64" s="607"/>
      <c r="BC64" s="607"/>
      <c r="BD64" s="607"/>
      <c r="BE64" s="607"/>
      <c r="BF64" s="607"/>
      <c r="BG64" s="607"/>
      <c r="BH64" s="607"/>
      <c r="BI64" s="607"/>
      <c r="BJ64" s="607"/>
      <c r="BK64" s="607"/>
      <c r="BL64" s="607"/>
      <c r="BM64" s="607"/>
      <c r="BN64" s="607"/>
      <c r="BO64" s="607"/>
      <c r="BP64" s="607"/>
      <c r="BQ64" s="607"/>
      <c r="BR64" s="607"/>
      <c r="BS64" s="607"/>
      <c r="BT64" s="607"/>
      <c r="BU64" s="607"/>
      <c r="BV64" s="607"/>
      <c r="BW64" s="607"/>
      <c r="BX64" s="607"/>
      <c r="BY64" s="607"/>
      <c r="BZ64" s="607"/>
      <c r="CA64" s="607"/>
      <c r="CB64" s="607"/>
      <c r="CC64" s="607"/>
      <c r="CD64" s="607"/>
      <c r="CE64" s="607"/>
      <c r="CF64" s="607"/>
      <c r="CG64" s="607"/>
      <c r="CH64" s="607"/>
      <c r="CI64" s="607"/>
      <c r="CJ64" s="607"/>
      <c r="CK64" s="607"/>
      <c r="CL64" s="607"/>
      <c r="CM64" s="607"/>
      <c r="CN64" s="607"/>
      <c r="CO64" s="607"/>
      <c r="CP64" s="607"/>
      <c r="CQ64" s="607"/>
      <c r="CR64" s="607"/>
      <c r="CS64" s="607"/>
      <c r="CT64" s="607"/>
      <c r="CU64" s="607"/>
      <c r="CV64" s="607"/>
      <c r="CW64" s="607"/>
      <c r="CX64" s="607"/>
      <c r="CY64" s="607"/>
      <c r="CZ64" s="607"/>
      <c r="DA64" s="607"/>
      <c r="DB64" s="607"/>
      <c r="DC64" s="607"/>
      <c r="DD64" s="607"/>
      <c r="DE64" s="607"/>
      <c r="DF64" s="607"/>
      <c r="DG64" s="607"/>
      <c r="DH64" s="607"/>
      <c r="DI64" s="607"/>
      <c r="DJ64" s="607"/>
      <c r="DK64" s="607"/>
      <c r="DL64" s="607"/>
      <c r="DM64" s="607"/>
      <c r="DN64" s="607"/>
      <c r="DO64" s="607"/>
      <c r="DP64" s="607"/>
      <c r="DQ64" s="607"/>
      <c r="DR64" s="607"/>
      <c r="DS64" s="607"/>
      <c r="DT64" s="607"/>
      <c r="DU64" s="607"/>
      <c r="DV64" s="607"/>
      <c r="DW64" s="607"/>
      <c r="DX64" s="607"/>
      <c r="DY64" s="607"/>
      <c r="DZ64" s="607"/>
      <c r="EA64" s="607"/>
      <c r="EB64" s="607"/>
      <c r="EC64" s="607"/>
      <c r="ED64" s="607"/>
      <c r="EE64" s="607"/>
      <c r="EF64" s="607"/>
      <c r="EG64" s="607"/>
      <c r="EH64" s="607"/>
      <c r="EI64" s="607"/>
      <c r="EJ64" s="607"/>
      <c r="EK64" s="607"/>
      <c r="EL64" s="607"/>
      <c r="EM64" s="607"/>
      <c r="EN64" s="607"/>
      <c r="EO64" s="607"/>
      <c r="EP64" s="607"/>
      <c r="EQ64" s="607"/>
      <c r="ER64" s="607"/>
      <c r="ES64" s="607"/>
      <c r="ET64" s="607"/>
      <c r="EU64" s="607"/>
      <c r="EV64" s="607"/>
      <c r="EW64" s="607"/>
      <c r="EX64" s="607"/>
      <c r="EY64" s="607"/>
      <c r="EZ64" s="607"/>
      <c r="FA64" s="607"/>
      <c r="FB64" s="607"/>
      <c r="FC64" s="607"/>
      <c r="FD64" s="607"/>
      <c r="FE64" s="607"/>
      <c r="FF64" s="607"/>
      <c r="FG64" s="607"/>
      <c r="FH64" s="607"/>
      <c r="FI64" s="607"/>
      <c r="FJ64" s="607"/>
      <c r="FK64" s="607"/>
      <c r="FL64" s="607"/>
      <c r="FM64" s="607"/>
      <c r="FN64" s="607"/>
      <c r="FO64" s="607"/>
      <c r="FP64" s="607"/>
      <c r="FQ64" s="607"/>
      <c r="FR64" s="607"/>
      <c r="FS64" s="607"/>
      <c r="FT64" s="607"/>
      <c r="FU64" s="607"/>
      <c r="FV64" s="607"/>
      <c r="FW64" s="607"/>
      <c r="FX64" s="607"/>
      <c r="FY64" s="607"/>
      <c r="FZ64" s="607"/>
      <c r="GA64" s="607"/>
      <c r="GB64" s="607"/>
      <c r="GC64" s="607"/>
      <c r="GD64" s="607"/>
      <c r="GE64" s="607"/>
      <c r="GF64" s="607"/>
      <c r="GG64" s="607"/>
      <c r="GH64" s="607"/>
      <c r="GI64" s="607"/>
      <c r="GJ64" s="607"/>
      <c r="GK64" s="607"/>
      <c r="GL64" s="607"/>
      <c r="GM64" s="607"/>
      <c r="GN64" s="607"/>
      <c r="GO64" s="607"/>
      <c r="GP64" s="607"/>
      <c r="GQ64" s="607"/>
      <c r="GR64" s="607"/>
      <c r="GS64" s="607"/>
      <c r="GT64" s="607"/>
      <c r="GU64" s="607"/>
      <c r="GV64" s="607"/>
      <c r="GW64" s="607"/>
      <c r="GX64" s="607"/>
      <c r="GY64" s="607"/>
      <c r="GZ64" s="607"/>
      <c r="HA64" s="607"/>
      <c r="HB64" s="607"/>
      <c r="HC64" s="607"/>
      <c r="HD64" s="607"/>
      <c r="HE64" s="607"/>
      <c r="HF64" s="607"/>
      <c r="HG64" s="607"/>
      <c r="HH64" s="607"/>
      <c r="HI64" s="607"/>
      <c r="HJ64" s="607"/>
      <c r="HK64" s="607"/>
      <c r="HL64" s="607"/>
      <c r="HM64" s="607"/>
      <c r="HN64" s="607"/>
      <c r="HO64" s="607"/>
      <c r="HP64" s="607"/>
      <c r="HQ64" s="607"/>
      <c r="HR64" s="607"/>
      <c r="HS64" s="607"/>
      <c r="HT64" s="607"/>
      <c r="HU64" s="607"/>
      <c r="HV64" s="607"/>
      <c r="HW64" s="607"/>
      <c r="HX64" s="607"/>
      <c r="HY64" s="607"/>
      <c r="HZ64" s="607"/>
      <c r="IA64" s="607"/>
      <c r="IB64" s="607"/>
      <c r="IC64" s="607"/>
      <c r="ID64" s="607"/>
      <c r="IE64" s="607"/>
      <c r="IF64" s="607"/>
      <c r="IG64" s="607"/>
      <c r="IH64" s="607"/>
      <c r="II64" s="607"/>
      <c r="IJ64" s="607"/>
      <c r="IK64" s="607"/>
      <c r="IL64" s="607"/>
      <c r="IM64" s="607"/>
      <c r="IN64" s="607"/>
      <c r="IO64" s="607"/>
      <c r="IP64" s="607"/>
      <c r="IQ64" s="607"/>
      <c r="IR64" s="607"/>
      <c r="IS64" s="607"/>
      <c r="IT64" s="607"/>
      <c r="IU64" s="607"/>
      <c r="IV64" s="607"/>
      <c r="IW64" s="607"/>
      <c r="IX64" s="607"/>
      <c r="IY64" s="607"/>
      <c r="IZ64" s="607"/>
      <c r="JA64" s="607"/>
      <c r="JB64" s="607"/>
      <c r="JC64" s="607"/>
      <c r="JD64" s="607"/>
      <c r="JE64" s="607"/>
      <c r="JF64" s="607"/>
      <c r="JG64" s="607"/>
      <c r="JH64" s="607"/>
      <c r="JI64" s="607"/>
      <c r="JJ64" s="607"/>
      <c r="JK64" s="607"/>
      <c r="JL64" s="607"/>
      <c r="JM64" s="607"/>
      <c r="JN64" s="607"/>
      <c r="JO64" s="607"/>
      <c r="JP64" s="607"/>
      <c r="JQ64" s="607"/>
      <c r="JR64" s="607"/>
      <c r="JS64" s="607"/>
      <c r="JT64" s="607"/>
      <c r="JU64" s="607"/>
      <c r="JV64" s="607"/>
      <c r="JW64" s="607"/>
      <c r="JX64" s="607"/>
      <c r="JY64" s="607"/>
      <c r="JZ64" s="607"/>
      <c r="KA64" s="607"/>
      <c r="KB64" s="607"/>
      <c r="KC64" s="607"/>
      <c r="KD64" s="607"/>
      <c r="KE64" s="607"/>
      <c r="KF64" s="607"/>
      <c r="KG64" s="607"/>
      <c r="KH64" s="607"/>
      <c r="KI64" s="607"/>
      <c r="KJ64" s="607"/>
      <c r="KK64" s="607"/>
      <c r="KL64" s="607"/>
      <c r="KM64" s="607"/>
      <c r="KN64" s="607"/>
      <c r="KO64" s="607"/>
      <c r="KP64" s="607"/>
      <c r="KQ64" s="607"/>
      <c r="KR64" s="607"/>
      <c r="KS64" s="607"/>
      <c r="KT64" s="607"/>
      <c r="KU64" s="607"/>
      <c r="KV64" s="607"/>
      <c r="KW64" s="607"/>
      <c r="KX64" s="607"/>
      <c r="KY64" s="607"/>
      <c r="KZ64" s="607"/>
      <c r="LA64" s="607"/>
      <c r="LB64" s="607"/>
      <c r="LC64" s="607"/>
      <c r="LD64" s="607"/>
      <c r="LE64" s="607"/>
      <c r="LF64" s="607"/>
      <c r="LG64" s="607"/>
      <c r="LH64" s="607"/>
      <c r="LI64" s="607"/>
      <c r="LJ64" s="607"/>
      <c r="LK64" s="607"/>
      <c r="LL64" s="607"/>
      <c r="LM64" s="607"/>
      <c r="LN64" s="607"/>
      <c r="LO64" s="607"/>
      <c r="LP64" s="607"/>
      <c r="LQ64" s="607"/>
      <c r="LR64" s="607"/>
      <c r="LS64" s="607"/>
      <c r="LT64" s="607"/>
      <c r="LU64" s="607"/>
      <c r="LV64" s="607"/>
      <c r="LW64" s="607"/>
      <c r="LX64" s="607"/>
      <c r="LY64" s="607"/>
      <c r="LZ64" s="607"/>
      <c r="MA64" s="607"/>
      <c r="MB64" s="607"/>
      <c r="MC64" s="607"/>
      <c r="MD64" s="607"/>
      <c r="ME64" s="607"/>
      <c r="MF64" s="607"/>
      <c r="MG64" s="607"/>
      <c r="MH64" s="607"/>
      <c r="MI64" s="607"/>
      <c r="MJ64" s="607"/>
      <c r="MK64" s="607"/>
      <c r="ML64" s="607"/>
      <c r="MM64" s="607"/>
      <c r="MN64" s="607"/>
      <c r="MO64" s="607"/>
      <c r="MP64" s="607"/>
      <c r="MQ64" s="607"/>
      <c r="MR64" s="607"/>
      <c r="MS64" s="607"/>
      <c r="MT64" s="607"/>
      <c r="MU64" s="607"/>
      <c r="MV64" s="607"/>
      <c r="MW64" s="607"/>
      <c r="MX64" s="607"/>
      <c r="MY64" s="607"/>
      <c r="MZ64" s="607"/>
      <c r="NA64" s="607"/>
      <c r="NB64" s="607"/>
      <c r="NC64" s="607"/>
      <c r="ND64" s="607"/>
      <c r="NE64" s="607"/>
      <c r="NF64" s="607"/>
      <c r="NG64" s="607"/>
      <c r="NH64" s="607"/>
      <c r="NI64" s="607"/>
      <c r="NJ64" s="607"/>
      <c r="NK64" s="607"/>
      <c r="NL64" s="607"/>
      <c r="NM64" s="607"/>
      <c r="NN64" s="607"/>
      <c r="NO64" s="607"/>
      <c r="NP64" s="607"/>
      <c r="NQ64" s="607"/>
      <c r="NR64" s="607"/>
      <c r="NS64" s="607"/>
      <c r="NT64" s="607"/>
      <c r="NU64" s="607"/>
      <c r="NV64" s="607"/>
      <c r="NW64" s="607"/>
      <c r="NX64" s="607"/>
      <c r="NY64" s="607"/>
      <c r="NZ64" s="607"/>
      <c r="OA64" s="607"/>
      <c r="OB64" s="607"/>
      <c r="OC64" s="607"/>
      <c r="OD64" s="607"/>
      <c r="OE64" s="607"/>
      <c r="OF64" s="607"/>
      <c r="OG64" s="607"/>
      <c r="OH64" s="607"/>
      <c r="OI64" s="607"/>
      <c r="OJ64" s="607"/>
      <c r="OK64" s="607"/>
      <c r="OL64" s="607"/>
      <c r="OM64" s="607"/>
      <c r="ON64" s="607"/>
      <c r="OO64" s="607"/>
      <c r="OP64" s="607"/>
      <c r="OQ64" s="607"/>
      <c r="OR64" s="607"/>
      <c r="OS64" s="607"/>
      <c r="OT64" s="607"/>
      <c r="OU64" s="607"/>
      <c r="OV64" s="607"/>
      <c r="OW64" s="607"/>
      <c r="OX64" s="607"/>
      <c r="OY64" s="607"/>
      <c r="OZ64" s="607"/>
      <c r="PA64" s="607"/>
      <c r="PB64" s="607"/>
      <c r="PC64" s="607"/>
      <c r="PD64" s="607"/>
      <c r="PE64" s="607"/>
      <c r="PF64" s="607"/>
      <c r="PG64" s="607"/>
      <c r="PH64" s="607"/>
      <c r="PI64" s="607"/>
      <c r="PJ64" s="607"/>
      <c r="PK64" s="607"/>
      <c r="PL64" s="607"/>
      <c r="PM64" s="607"/>
      <c r="PN64" s="607"/>
      <c r="PO64" s="607"/>
      <c r="PP64" s="607"/>
      <c r="PQ64" s="607"/>
      <c r="PR64" s="607"/>
      <c r="PS64" s="607"/>
      <c r="PT64" s="607"/>
      <c r="PU64" s="607"/>
      <c r="PV64" s="607"/>
      <c r="PW64" s="607"/>
      <c r="PX64" s="607"/>
      <c r="PY64" s="607"/>
      <c r="PZ64" s="607"/>
      <c r="QA64" s="607"/>
      <c r="QB64" s="607"/>
      <c r="QC64" s="607"/>
      <c r="QD64" s="607"/>
      <c r="QE64" s="607"/>
      <c r="QF64" s="607"/>
      <c r="QG64" s="607"/>
      <c r="QH64" s="607"/>
      <c r="QI64" s="607"/>
      <c r="QJ64" s="607"/>
      <c r="QK64" s="607"/>
      <c r="QL64" s="607"/>
      <c r="QM64" s="607"/>
      <c r="QN64" s="607"/>
      <c r="QO64" s="607"/>
      <c r="QP64" s="607"/>
      <c r="QQ64" s="607"/>
      <c r="QR64" s="607"/>
      <c r="QS64" s="607"/>
      <c r="QT64" s="607"/>
      <c r="QU64" s="607"/>
      <c r="QV64" s="607"/>
      <c r="QW64" s="607"/>
      <c r="QX64" s="607"/>
      <c r="QY64" s="607"/>
      <c r="QZ64" s="607"/>
      <c r="RA64" s="607"/>
      <c r="RB64" s="607"/>
      <c r="RC64" s="607"/>
      <c r="RD64" s="607"/>
      <c r="RE64" s="607"/>
      <c r="RF64" s="607"/>
      <c r="RG64" s="607"/>
      <c r="RH64" s="607"/>
      <c r="RI64" s="607"/>
      <c r="RJ64" s="607"/>
      <c r="RK64" s="607"/>
      <c r="RL64" s="607"/>
      <c r="RM64" s="607"/>
      <c r="RN64" s="607"/>
      <c r="RO64" s="607"/>
      <c r="RP64" s="607"/>
      <c r="RQ64" s="607"/>
      <c r="RR64" s="607"/>
      <c r="RS64" s="607"/>
      <c r="RT64" s="607"/>
      <c r="RU64" s="607"/>
      <c r="RV64" s="607"/>
      <c r="RW64" s="607"/>
      <c r="RX64" s="607"/>
      <c r="RY64" s="607"/>
      <c r="RZ64" s="607"/>
      <c r="SA64" s="607"/>
      <c r="SB64" s="607"/>
      <c r="SC64" s="607"/>
      <c r="SD64" s="607"/>
      <c r="SE64" s="607"/>
      <c r="SF64" s="607"/>
      <c r="SG64" s="607"/>
      <c r="SH64" s="607"/>
      <c r="SI64" s="607"/>
      <c r="SJ64" s="607"/>
      <c r="SK64" s="607"/>
      <c r="SL64" s="607"/>
      <c r="SM64" s="607"/>
      <c r="SN64" s="607"/>
      <c r="SO64" s="607"/>
      <c r="SP64" s="607"/>
      <c r="SQ64" s="607"/>
      <c r="SR64" s="607"/>
      <c r="SS64" s="607"/>
      <c r="ST64" s="607"/>
      <c r="SU64" s="607"/>
      <c r="SV64" s="607"/>
      <c r="SW64" s="607"/>
      <c r="SX64" s="607"/>
      <c r="SY64" s="607"/>
      <c r="SZ64" s="607"/>
      <c r="TA64" s="607"/>
      <c r="TB64" s="607"/>
      <c r="TC64" s="607"/>
      <c r="TD64" s="607"/>
      <c r="TE64" s="607"/>
      <c r="TF64" s="607"/>
      <c r="TG64" s="607"/>
      <c r="TH64" s="607"/>
      <c r="TI64" s="607"/>
      <c r="TJ64" s="607"/>
      <c r="TK64" s="607"/>
      <c r="TL64" s="607"/>
      <c r="TM64" s="607"/>
      <c r="TN64" s="607"/>
      <c r="TO64" s="607"/>
      <c r="TP64" s="607"/>
      <c r="TQ64" s="607"/>
      <c r="TR64" s="607"/>
      <c r="TS64" s="607"/>
      <c r="TT64" s="607"/>
      <c r="TU64" s="607"/>
      <c r="TV64" s="607"/>
      <c r="TW64" s="607"/>
      <c r="TX64" s="607"/>
      <c r="TY64" s="607"/>
      <c r="TZ64" s="607"/>
      <c r="UA64" s="607"/>
      <c r="UB64" s="607"/>
      <c r="UC64" s="607"/>
      <c r="UD64" s="607"/>
      <c r="UE64" s="607"/>
      <c r="UF64" s="607"/>
      <c r="UG64" s="607"/>
      <c r="UH64" s="607"/>
      <c r="UI64" s="607"/>
      <c r="UJ64" s="607"/>
      <c r="UK64" s="607"/>
      <c r="UL64" s="607"/>
      <c r="UM64" s="607"/>
      <c r="UN64" s="607"/>
      <c r="UO64" s="607"/>
      <c r="UP64" s="607"/>
      <c r="UQ64" s="607"/>
      <c r="UR64" s="607"/>
      <c r="US64" s="607"/>
      <c r="UT64" s="607"/>
      <c r="UU64" s="607"/>
      <c r="UV64" s="607"/>
      <c r="UW64" s="607"/>
      <c r="UX64" s="607"/>
      <c r="UY64" s="607"/>
      <c r="UZ64" s="607"/>
      <c r="VA64" s="607"/>
      <c r="VB64" s="607"/>
      <c r="VC64" s="607"/>
      <c r="VD64" s="607"/>
      <c r="VE64" s="607"/>
      <c r="VF64" s="607"/>
      <c r="VG64" s="607"/>
      <c r="VH64" s="607"/>
      <c r="VI64" s="607"/>
      <c r="VJ64" s="607"/>
      <c r="VK64" s="607"/>
      <c r="VL64" s="607"/>
      <c r="VM64" s="607"/>
      <c r="VN64" s="607"/>
      <c r="VO64" s="607"/>
      <c r="VP64" s="607"/>
      <c r="VQ64" s="607"/>
      <c r="VR64" s="607"/>
      <c r="VS64" s="607"/>
      <c r="VT64" s="607"/>
      <c r="VU64" s="607"/>
      <c r="VV64" s="607"/>
      <c r="VW64" s="607"/>
      <c r="VX64" s="607"/>
      <c r="VY64" s="607"/>
      <c r="VZ64" s="607"/>
      <c r="WA64" s="607"/>
      <c r="WB64" s="607"/>
      <c r="WC64" s="607"/>
      <c r="WD64" s="607"/>
      <c r="WE64" s="607"/>
      <c r="WF64" s="607"/>
      <c r="WG64" s="607"/>
      <c r="WH64" s="607"/>
      <c r="WI64" s="607"/>
      <c r="WJ64" s="607"/>
      <c r="WK64" s="607"/>
      <c r="WL64" s="607"/>
      <c r="WM64" s="607"/>
      <c r="WN64" s="607"/>
      <c r="WO64" s="607"/>
      <c r="WP64" s="607"/>
      <c r="WQ64" s="607"/>
      <c r="WR64" s="607"/>
      <c r="WS64" s="607"/>
      <c r="WT64" s="607"/>
      <c r="WU64" s="607"/>
      <c r="WV64" s="607"/>
      <c r="WW64" s="607"/>
      <c r="WX64" s="607"/>
      <c r="WY64" s="607"/>
      <c r="WZ64" s="607"/>
      <c r="XA64" s="607"/>
      <c r="XB64" s="607"/>
      <c r="XC64" s="607"/>
      <c r="XD64" s="607"/>
      <c r="XE64" s="607"/>
      <c r="XF64" s="607"/>
      <c r="XG64" s="607"/>
      <c r="XH64" s="607"/>
      <c r="XI64" s="607"/>
      <c r="XJ64" s="607"/>
      <c r="XK64" s="607"/>
      <c r="XL64" s="607"/>
      <c r="XM64" s="607"/>
      <c r="XN64" s="607"/>
      <c r="XO64" s="607"/>
      <c r="XP64" s="607"/>
      <c r="XQ64" s="607"/>
      <c r="XR64" s="607"/>
      <c r="XS64" s="607"/>
      <c r="XT64" s="607"/>
      <c r="XU64" s="607"/>
      <c r="XV64" s="607"/>
      <c r="XW64" s="607"/>
      <c r="XX64" s="607"/>
      <c r="XY64" s="607"/>
      <c r="XZ64" s="607"/>
      <c r="YA64" s="607"/>
      <c r="YB64" s="607"/>
      <c r="YC64" s="607"/>
      <c r="YD64" s="607"/>
      <c r="YE64" s="607"/>
      <c r="YF64" s="607"/>
      <c r="YG64" s="607"/>
      <c r="YH64" s="607"/>
      <c r="YI64" s="607"/>
      <c r="YJ64" s="607"/>
      <c r="YK64" s="607"/>
      <c r="YL64" s="607"/>
      <c r="YM64" s="607"/>
      <c r="YN64" s="607"/>
      <c r="YO64" s="607"/>
      <c r="YP64" s="607"/>
      <c r="YQ64" s="607"/>
      <c r="YR64" s="607"/>
      <c r="YS64" s="607"/>
      <c r="YT64" s="607"/>
      <c r="YU64" s="607"/>
      <c r="YV64" s="607"/>
      <c r="YW64" s="607"/>
      <c r="YX64" s="607"/>
      <c r="YY64" s="607"/>
      <c r="YZ64" s="607"/>
      <c r="ZA64" s="607"/>
      <c r="ZB64" s="607"/>
      <c r="ZC64" s="607"/>
      <c r="ZD64" s="607"/>
      <c r="ZE64" s="607"/>
      <c r="ZF64" s="607"/>
      <c r="ZG64" s="607"/>
      <c r="ZH64" s="607"/>
      <c r="ZI64" s="607"/>
      <c r="ZJ64" s="607"/>
      <c r="ZK64" s="607"/>
      <c r="ZL64" s="607"/>
      <c r="ZM64" s="607"/>
      <c r="ZN64" s="607"/>
      <c r="ZO64" s="607"/>
      <c r="ZP64" s="607"/>
      <c r="ZQ64" s="607"/>
      <c r="ZR64" s="607"/>
      <c r="ZS64" s="607"/>
      <c r="ZT64" s="607"/>
      <c r="ZU64" s="607"/>
      <c r="ZV64" s="607"/>
      <c r="ZW64" s="607"/>
      <c r="ZX64" s="607"/>
      <c r="ZY64" s="607"/>
      <c r="ZZ64" s="607"/>
      <c r="AAA64" s="607"/>
      <c r="AAB64" s="607"/>
      <c r="AAC64" s="607"/>
      <c r="AAD64" s="607"/>
      <c r="AAE64" s="607"/>
      <c r="AAF64" s="607"/>
      <c r="AAG64" s="607"/>
      <c r="AAH64" s="607"/>
      <c r="AAI64" s="607"/>
      <c r="AAJ64" s="607"/>
      <c r="AAK64" s="607"/>
      <c r="AAL64" s="607"/>
      <c r="AAM64" s="607"/>
      <c r="AAN64" s="607"/>
      <c r="AAO64" s="607"/>
      <c r="AAP64" s="607"/>
      <c r="AAQ64" s="607"/>
      <c r="AAR64" s="607"/>
      <c r="AAS64" s="607"/>
      <c r="AAT64" s="607"/>
      <c r="AAU64" s="607"/>
      <c r="AAV64" s="607"/>
      <c r="AAW64" s="607"/>
      <c r="AAX64" s="607"/>
      <c r="AAY64" s="607"/>
      <c r="AAZ64" s="607"/>
      <c r="ABA64" s="607"/>
      <c r="ABB64" s="607"/>
      <c r="ABC64" s="607"/>
      <c r="ABD64" s="607"/>
      <c r="ABE64" s="607"/>
      <c r="ABF64" s="607"/>
      <c r="ABG64" s="607"/>
      <c r="ABH64" s="607"/>
      <c r="ABI64" s="607"/>
      <c r="ABJ64" s="607"/>
      <c r="ABK64" s="607"/>
      <c r="ABL64" s="607"/>
      <c r="ABM64" s="607"/>
      <c r="ABN64" s="607"/>
      <c r="ABO64" s="607"/>
      <c r="ABP64" s="607"/>
      <c r="ABQ64" s="607"/>
      <c r="ABR64" s="607"/>
      <c r="ABS64" s="607"/>
      <c r="ABT64" s="607"/>
      <c r="ABU64" s="607"/>
      <c r="ABV64" s="607"/>
      <c r="ABW64" s="607"/>
      <c r="ABX64" s="607"/>
      <c r="ABY64" s="607"/>
      <c r="ABZ64" s="607"/>
      <c r="ACA64" s="607"/>
      <c r="ACB64" s="607"/>
      <c r="ACC64" s="607"/>
      <c r="ACD64" s="607"/>
      <c r="ACE64" s="607"/>
      <c r="ACF64" s="607"/>
      <c r="ACG64" s="607"/>
      <c r="ACH64" s="607"/>
      <c r="ACI64" s="607"/>
      <c r="ACJ64" s="607"/>
      <c r="ACK64" s="607"/>
      <c r="ACL64" s="607"/>
      <c r="ACM64" s="607"/>
      <c r="ACN64" s="607"/>
      <c r="ACO64" s="607"/>
      <c r="ACP64" s="607"/>
      <c r="ACQ64" s="607"/>
      <c r="ACR64" s="607"/>
      <c r="ACS64" s="607"/>
      <c r="ACT64" s="607"/>
      <c r="ACU64" s="607"/>
      <c r="ACV64" s="607"/>
      <c r="ACW64" s="607"/>
      <c r="ACX64" s="607"/>
      <c r="ACY64" s="607"/>
      <c r="ACZ64" s="607"/>
      <c r="ADA64" s="607"/>
      <c r="ADB64" s="607"/>
      <c r="ADC64" s="607"/>
      <c r="ADD64" s="607"/>
      <c r="ADE64" s="607"/>
      <c r="ADF64" s="607"/>
      <c r="ADG64" s="607"/>
      <c r="ADH64" s="607"/>
      <c r="ADI64" s="607"/>
      <c r="ADJ64" s="607"/>
      <c r="ADK64" s="607"/>
      <c r="ADL64" s="607"/>
      <c r="ADM64" s="607"/>
      <c r="ADN64" s="607"/>
      <c r="ADO64" s="607"/>
      <c r="ADP64" s="607"/>
      <c r="ADQ64" s="607"/>
      <c r="ADR64" s="607"/>
      <c r="ADS64" s="607"/>
      <c r="ADT64" s="607"/>
      <c r="ADU64" s="607"/>
      <c r="ADV64" s="607"/>
      <c r="ADW64" s="607"/>
      <c r="ADX64" s="607"/>
      <c r="ADY64" s="607"/>
      <c r="ADZ64" s="607"/>
      <c r="AEA64" s="607"/>
      <c r="AEB64" s="607"/>
      <c r="AEC64" s="607"/>
      <c r="AED64" s="607"/>
      <c r="AEE64" s="607"/>
      <c r="AEF64" s="607"/>
      <c r="AEG64" s="607"/>
      <c r="AEH64" s="607"/>
      <c r="AEI64" s="607"/>
      <c r="AEJ64" s="607"/>
      <c r="AEK64" s="607"/>
      <c r="AEL64" s="607"/>
      <c r="AEM64" s="607"/>
      <c r="AEN64" s="607"/>
      <c r="AEO64" s="607"/>
      <c r="AEP64" s="607"/>
      <c r="AEQ64" s="607"/>
      <c r="AER64" s="607"/>
      <c r="AES64" s="607"/>
      <c r="AET64" s="607"/>
      <c r="AEU64" s="607"/>
      <c r="AEV64" s="607"/>
      <c r="AEW64" s="607"/>
      <c r="AEX64" s="607"/>
      <c r="AEY64" s="607"/>
      <c r="AEZ64" s="607"/>
      <c r="AFA64" s="607"/>
      <c r="AFB64" s="607"/>
      <c r="AFC64" s="607"/>
      <c r="AFD64" s="607"/>
      <c r="AFE64" s="607"/>
      <c r="AFF64" s="607"/>
      <c r="AFG64" s="607"/>
      <c r="AFH64" s="607"/>
      <c r="AFI64" s="607"/>
      <c r="AFJ64" s="607"/>
      <c r="AFK64" s="607"/>
      <c r="AFL64" s="607"/>
      <c r="AFM64" s="607"/>
      <c r="AFN64" s="607"/>
      <c r="AFO64" s="607"/>
      <c r="AFP64" s="607"/>
      <c r="AFQ64" s="607"/>
      <c r="AFR64" s="607"/>
      <c r="AFS64" s="607"/>
      <c r="AFT64" s="607"/>
      <c r="AFU64" s="607"/>
      <c r="AFV64" s="607"/>
      <c r="AFW64" s="607"/>
      <c r="AFX64" s="607"/>
      <c r="AFY64" s="607"/>
      <c r="AFZ64" s="607"/>
      <c r="AGA64" s="607"/>
      <c r="AGB64" s="607"/>
      <c r="AGC64" s="607"/>
      <c r="AGD64" s="607"/>
      <c r="AGE64" s="607"/>
      <c r="AGF64" s="607"/>
      <c r="AGG64" s="607"/>
      <c r="AGH64" s="607"/>
      <c r="AGI64" s="607"/>
      <c r="AGJ64" s="607"/>
      <c r="AGK64" s="607"/>
      <c r="AGL64" s="607"/>
      <c r="AGM64" s="607"/>
      <c r="AGN64" s="607"/>
      <c r="AGO64" s="607"/>
      <c r="AGP64" s="607"/>
      <c r="AGQ64" s="607"/>
      <c r="AGR64" s="607"/>
      <c r="AGS64" s="607"/>
      <c r="AGT64" s="607"/>
      <c r="AGU64" s="607"/>
      <c r="AGV64" s="607"/>
      <c r="AGW64" s="607"/>
      <c r="AGX64" s="607"/>
      <c r="AGY64" s="607"/>
      <c r="AGZ64" s="607"/>
      <c r="AHA64" s="607"/>
      <c r="AHB64" s="607"/>
      <c r="AHC64" s="607"/>
      <c r="AHD64" s="607"/>
      <c r="AHE64" s="607"/>
      <c r="AHF64" s="607"/>
      <c r="AHG64" s="607"/>
      <c r="AHH64" s="607"/>
      <c r="AHI64" s="607"/>
      <c r="AHJ64" s="607"/>
      <c r="AHK64" s="607"/>
      <c r="AHL64" s="607"/>
      <c r="AHM64" s="607"/>
      <c r="AHN64" s="607"/>
      <c r="AHO64" s="607"/>
      <c r="AHP64" s="607"/>
      <c r="AHQ64" s="607"/>
      <c r="AHR64" s="607"/>
      <c r="AHS64" s="607"/>
      <c r="AHT64" s="607"/>
      <c r="AHU64" s="607"/>
      <c r="AHV64" s="607"/>
      <c r="AHW64" s="607"/>
      <c r="AHX64" s="607"/>
      <c r="AHY64" s="607"/>
      <c r="AHZ64" s="607"/>
      <c r="AIA64" s="607"/>
      <c r="AIB64" s="607"/>
      <c r="AIC64" s="607"/>
      <c r="AID64" s="607"/>
      <c r="AIE64" s="607"/>
      <c r="AIF64" s="607"/>
      <c r="AIG64" s="607"/>
      <c r="AIH64" s="607"/>
      <c r="AII64" s="607"/>
      <c r="AIJ64" s="607"/>
      <c r="AIK64" s="607"/>
      <c r="AIL64" s="607"/>
      <c r="AIM64" s="607"/>
      <c r="AIN64" s="607"/>
      <c r="AIO64" s="607"/>
      <c r="AIP64" s="607"/>
      <c r="AIQ64" s="607"/>
      <c r="AIR64" s="607"/>
      <c r="AIS64" s="607"/>
      <c r="AIT64" s="607"/>
      <c r="AIU64" s="607"/>
      <c r="AIV64" s="607"/>
      <c r="AIW64" s="607"/>
      <c r="AIX64" s="607"/>
      <c r="AIY64" s="607"/>
      <c r="AIZ64" s="607"/>
      <c r="AJA64" s="607"/>
      <c r="AJB64" s="607"/>
      <c r="AJC64" s="607"/>
      <c r="AJD64" s="607"/>
      <c r="AJE64" s="607"/>
      <c r="AJF64" s="607"/>
      <c r="AJG64" s="607"/>
      <c r="AJH64" s="607"/>
      <c r="AJI64" s="607"/>
      <c r="AJJ64" s="607"/>
      <c r="AJK64" s="607"/>
      <c r="AJL64" s="607"/>
      <c r="AJM64" s="607"/>
      <c r="AJN64" s="607"/>
      <c r="AJO64" s="607"/>
      <c r="AJP64" s="607"/>
      <c r="AJQ64" s="607"/>
      <c r="AJR64" s="607"/>
      <c r="AJS64" s="607"/>
      <c r="AJT64" s="607"/>
      <c r="AJU64" s="607"/>
      <c r="AJV64" s="607"/>
      <c r="AJW64" s="607"/>
      <c r="AJX64" s="607"/>
      <c r="AJY64" s="607"/>
      <c r="AJZ64" s="607"/>
      <c r="AKA64" s="607"/>
      <c r="AKB64" s="607"/>
      <c r="AKC64" s="607"/>
      <c r="AKD64" s="607"/>
      <c r="AKE64" s="607"/>
      <c r="AKF64" s="607"/>
      <c r="AKG64" s="607"/>
      <c r="AKH64" s="607"/>
      <c r="AKI64" s="607"/>
      <c r="AKJ64" s="607"/>
      <c r="AKK64" s="607"/>
      <c r="AKL64" s="607"/>
      <c r="AKM64" s="607"/>
      <c r="AKN64" s="607"/>
      <c r="AKO64" s="607"/>
      <c r="AKP64" s="607"/>
      <c r="AKQ64" s="607"/>
      <c r="AKR64" s="607"/>
      <c r="AKS64" s="607"/>
      <c r="AKT64" s="607"/>
      <c r="AKU64" s="607"/>
      <c r="AKV64" s="607"/>
      <c r="AKW64" s="607"/>
      <c r="AKX64" s="607"/>
      <c r="AKY64" s="607"/>
      <c r="AKZ64" s="607"/>
      <c r="ALA64" s="607"/>
      <c r="ALB64" s="607"/>
      <c r="ALC64" s="607"/>
      <c r="ALD64" s="607"/>
      <c r="ALE64" s="607"/>
      <c r="ALF64" s="607"/>
      <c r="ALG64" s="607"/>
      <c r="ALH64" s="607"/>
      <c r="ALI64" s="607"/>
      <c r="ALJ64" s="607"/>
      <c r="ALK64" s="607"/>
      <c r="ALL64" s="607"/>
      <c r="ALM64" s="607"/>
      <c r="ALN64" s="607"/>
      <c r="ALO64" s="607"/>
      <c r="ALP64" s="607"/>
      <c r="ALQ64" s="607"/>
      <c r="ALR64" s="607"/>
      <c r="ALS64" s="607"/>
      <c r="ALT64" s="607"/>
      <c r="ALU64" s="607"/>
      <c r="ALV64" s="607"/>
      <c r="ALW64" s="607"/>
      <c r="ALX64" s="607"/>
      <c r="ALY64" s="607"/>
      <c r="ALZ64" s="607"/>
      <c r="AMA64" s="607"/>
      <c r="AMB64" s="607"/>
      <c r="AMC64" s="607"/>
      <c r="AMD64" s="607"/>
      <c r="AME64" s="607"/>
      <c r="AMF64" s="607"/>
      <c r="AMG64" s="607"/>
      <c r="AMH64" s="607"/>
      <c r="AMI64" s="607"/>
      <c r="AMJ64" s="607"/>
      <c r="AMK64" s="607"/>
      <c r="AML64" s="607"/>
      <c r="AMM64" s="607"/>
      <c r="AMN64" s="607"/>
      <c r="AMO64" s="607"/>
      <c r="AMP64" s="607"/>
      <c r="AMQ64" s="607"/>
      <c r="AMR64" s="607"/>
      <c r="AMS64" s="607"/>
      <c r="AMT64" s="607"/>
      <c r="AMU64" s="607"/>
      <c r="AMV64" s="607"/>
      <c r="AMW64" s="607"/>
      <c r="AMX64" s="607"/>
      <c r="AMY64" s="607"/>
      <c r="AMZ64" s="607"/>
      <c r="ANA64" s="607"/>
      <c r="ANB64" s="607"/>
      <c r="ANC64" s="607"/>
      <c r="AND64" s="607"/>
      <c r="ANE64" s="607"/>
      <c r="ANF64" s="607"/>
      <c r="ANG64" s="607"/>
      <c r="ANH64" s="607"/>
      <c r="ANI64" s="607"/>
      <c r="ANJ64" s="607"/>
      <c r="ANK64" s="607"/>
      <c r="ANL64" s="607"/>
      <c r="ANM64" s="607"/>
      <c r="ANN64" s="607"/>
      <c r="ANO64" s="607"/>
      <c r="ANP64" s="607"/>
      <c r="ANQ64" s="607"/>
      <c r="ANR64" s="607"/>
      <c r="ANS64" s="607"/>
      <c r="ANT64" s="607"/>
      <c r="ANU64" s="607"/>
      <c r="ANV64" s="607"/>
      <c r="ANW64" s="607"/>
      <c r="ANX64" s="607"/>
      <c r="ANY64" s="607"/>
      <c r="ANZ64" s="607"/>
      <c r="AOA64" s="607"/>
      <c r="AOB64" s="607"/>
      <c r="AOC64" s="607"/>
      <c r="AOD64" s="607"/>
      <c r="AOE64" s="607"/>
      <c r="AOF64" s="607"/>
      <c r="AOG64" s="607"/>
      <c r="AOH64" s="607"/>
      <c r="AOI64" s="607"/>
      <c r="AOJ64" s="607"/>
      <c r="AOK64" s="607"/>
      <c r="AOL64" s="607"/>
      <c r="AOM64" s="607"/>
      <c r="AON64" s="607"/>
      <c r="AOO64" s="607"/>
      <c r="AOP64" s="607"/>
      <c r="AOQ64" s="607"/>
      <c r="AOR64" s="607"/>
      <c r="AOS64" s="607"/>
      <c r="AOT64" s="607"/>
      <c r="AOU64" s="607"/>
      <c r="AOV64" s="607"/>
      <c r="AOW64" s="607"/>
      <c r="AOX64" s="607"/>
      <c r="AOY64" s="607"/>
      <c r="AOZ64" s="607"/>
      <c r="APA64" s="607"/>
      <c r="APB64" s="607"/>
      <c r="APC64" s="607"/>
      <c r="APD64" s="607"/>
      <c r="APE64" s="607"/>
      <c r="APF64" s="607"/>
      <c r="APG64" s="607"/>
      <c r="APH64" s="607"/>
      <c r="API64" s="607"/>
      <c r="APJ64" s="607"/>
      <c r="APK64" s="607"/>
      <c r="APL64" s="607"/>
      <c r="APM64" s="607"/>
      <c r="APN64" s="607"/>
      <c r="APO64" s="607"/>
      <c r="APP64" s="607"/>
      <c r="APQ64" s="607"/>
      <c r="APR64" s="607"/>
      <c r="APS64" s="607"/>
      <c r="APT64" s="607"/>
      <c r="APU64" s="607"/>
      <c r="APV64" s="607"/>
      <c r="APW64" s="607"/>
      <c r="APX64" s="607"/>
      <c r="APY64" s="607"/>
      <c r="APZ64" s="607"/>
      <c r="AQA64" s="607"/>
      <c r="AQB64" s="607"/>
      <c r="AQC64" s="607"/>
      <c r="AQD64" s="607"/>
      <c r="AQE64" s="607"/>
      <c r="AQF64" s="607"/>
      <c r="AQG64" s="607"/>
      <c r="AQH64" s="607"/>
      <c r="AQI64" s="607"/>
      <c r="AQJ64" s="607"/>
      <c r="AQK64" s="607"/>
      <c r="AQL64" s="607"/>
      <c r="AQM64" s="607"/>
      <c r="AQN64" s="607"/>
      <c r="AQO64" s="607"/>
      <c r="AQP64" s="607"/>
      <c r="AQQ64" s="607"/>
      <c r="AQR64" s="607"/>
      <c r="AQS64" s="607"/>
      <c r="AQT64" s="607"/>
      <c r="AQU64" s="607"/>
      <c r="AQV64" s="607"/>
      <c r="AQW64" s="607"/>
      <c r="AQX64" s="607"/>
      <c r="AQY64" s="607"/>
      <c r="AQZ64" s="607"/>
      <c r="ARA64" s="607"/>
      <c r="ARB64" s="607"/>
      <c r="ARC64" s="607"/>
      <c r="ARD64" s="607"/>
      <c r="ARE64" s="607"/>
      <c r="ARF64" s="607"/>
      <c r="ARG64" s="607"/>
      <c r="ARH64" s="607"/>
      <c r="ARI64" s="607"/>
      <c r="ARJ64" s="607"/>
      <c r="ARK64" s="607"/>
      <c r="ARL64" s="607"/>
      <c r="ARM64" s="607"/>
      <c r="ARN64" s="607"/>
      <c r="ARO64" s="607"/>
      <c r="ARP64" s="607"/>
      <c r="ARQ64" s="607"/>
      <c r="ARR64" s="607"/>
      <c r="ARS64" s="607"/>
      <c r="ART64" s="607"/>
      <c r="ARU64" s="607"/>
      <c r="ARV64" s="607"/>
      <c r="ARW64" s="607"/>
      <c r="ARX64" s="607"/>
      <c r="ARY64" s="607"/>
      <c r="ARZ64" s="607"/>
      <c r="ASA64" s="607"/>
      <c r="ASB64" s="607"/>
      <c r="ASC64" s="607"/>
      <c r="ASD64" s="607"/>
      <c r="ASE64" s="607"/>
      <c r="ASF64" s="607"/>
      <c r="ASG64" s="607"/>
      <c r="ASH64" s="607"/>
      <c r="ASI64" s="607"/>
      <c r="ASJ64" s="607"/>
      <c r="ASK64" s="607"/>
      <c r="ASL64" s="607"/>
      <c r="ASM64" s="607"/>
      <c r="ASN64" s="607"/>
      <c r="ASO64" s="607"/>
      <c r="ASP64" s="607"/>
      <c r="ASQ64" s="607"/>
      <c r="ASR64" s="607"/>
      <c r="ASS64" s="607"/>
      <c r="AST64" s="607"/>
      <c r="ASU64" s="607"/>
      <c r="ASV64" s="607"/>
      <c r="ASW64" s="607"/>
      <c r="ASX64" s="607"/>
      <c r="ASY64" s="607"/>
      <c r="ASZ64" s="607"/>
      <c r="ATA64" s="607"/>
      <c r="ATB64" s="607"/>
      <c r="ATC64" s="607"/>
      <c r="ATD64" s="607"/>
      <c r="ATE64" s="607"/>
      <c r="ATF64" s="607"/>
      <c r="ATG64" s="607"/>
      <c r="ATH64" s="607"/>
      <c r="ATI64" s="607"/>
      <c r="ATJ64" s="607"/>
      <c r="ATK64" s="607"/>
      <c r="ATL64" s="607"/>
      <c r="ATM64" s="607"/>
      <c r="ATN64" s="607"/>
      <c r="ATO64" s="607"/>
      <c r="ATP64" s="607"/>
      <c r="ATQ64" s="607"/>
      <c r="ATR64" s="607"/>
      <c r="ATS64" s="607"/>
      <c r="ATT64" s="607"/>
      <c r="ATU64" s="607"/>
      <c r="ATV64" s="607"/>
      <c r="ATW64" s="607"/>
      <c r="ATX64" s="607"/>
      <c r="ATY64" s="607"/>
      <c r="ATZ64" s="607"/>
      <c r="AUA64" s="607"/>
      <c r="AUB64" s="607"/>
      <c r="AUC64" s="607"/>
      <c r="AUD64" s="607"/>
      <c r="AUE64" s="607"/>
      <c r="AUF64" s="607"/>
      <c r="AUG64" s="607"/>
      <c r="AUH64" s="607"/>
      <c r="AUI64" s="607"/>
      <c r="AUJ64" s="607"/>
      <c r="AUK64" s="607"/>
      <c r="AUL64" s="607"/>
      <c r="AUM64" s="607"/>
      <c r="AUN64" s="607"/>
      <c r="AUO64" s="607"/>
      <c r="AUP64" s="607"/>
      <c r="AUQ64" s="607"/>
      <c r="AUR64" s="607"/>
      <c r="AUS64" s="607"/>
      <c r="AUT64" s="607"/>
      <c r="AUU64" s="607"/>
      <c r="AUV64" s="607"/>
      <c r="AUW64" s="607"/>
      <c r="AUX64" s="607"/>
      <c r="AUY64" s="607"/>
      <c r="AUZ64" s="607"/>
      <c r="AVA64" s="607"/>
      <c r="AVB64" s="607"/>
      <c r="AVC64" s="607"/>
      <c r="AVD64" s="607"/>
      <c r="AVE64" s="607"/>
      <c r="AVF64" s="607"/>
      <c r="AVG64" s="607"/>
      <c r="AVH64" s="607"/>
      <c r="AVI64" s="607"/>
      <c r="AVJ64" s="607"/>
      <c r="AVK64" s="607"/>
      <c r="AVL64" s="607"/>
      <c r="AVM64" s="607"/>
      <c r="AVN64" s="607"/>
      <c r="AVO64" s="607"/>
      <c r="AVP64" s="607"/>
      <c r="AVQ64" s="607"/>
      <c r="AVR64" s="607"/>
      <c r="AVS64" s="607"/>
      <c r="AVT64" s="607"/>
      <c r="AVU64" s="607"/>
      <c r="AVV64" s="607"/>
      <c r="AVW64" s="607"/>
      <c r="AVX64" s="607"/>
      <c r="AVY64" s="607"/>
      <c r="AVZ64" s="607"/>
      <c r="AWA64" s="607"/>
      <c r="AWB64" s="607"/>
      <c r="AWC64" s="607"/>
      <c r="AWD64" s="607"/>
      <c r="AWE64" s="607"/>
      <c r="AWF64" s="607"/>
      <c r="AWG64" s="607"/>
      <c r="AWH64" s="607"/>
      <c r="AWI64" s="607"/>
      <c r="AWJ64" s="607"/>
      <c r="AWK64" s="607"/>
      <c r="AWL64" s="607"/>
      <c r="AWM64" s="607"/>
      <c r="AWN64" s="607"/>
      <c r="AWO64" s="607"/>
      <c r="AWP64" s="607"/>
      <c r="AWQ64" s="607"/>
      <c r="AWR64" s="607"/>
      <c r="AWS64" s="607"/>
      <c r="AWT64" s="607"/>
      <c r="AWU64" s="607"/>
      <c r="AWV64" s="607"/>
      <c r="AWW64" s="607"/>
      <c r="AWX64" s="607"/>
      <c r="AWY64" s="607"/>
      <c r="AWZ64" s="607"/>
      <c r="AXA64" s="607"/>
      <c r="AXB64" s="607"/>
      <c r="AXC64" s="607"/>
      <c r="AXD64" s="607"/>
      <c r="AXE64" s="607"/>
      <c r="AXF64" s="607"/>
      <c r="AXG64" s="607"/>
      <c r="AXH64" s="607"/>
      <c r="AXI64" s="607"/>
      <c r="AXJ64" s="607"/>
      <c r="AXK64" s="607"/>
      <c r="AXL64" s="607"/>
      <c r="AXM64" s="607"/>
      <c r="AXN64" s="607"/>
      <c r="AXO64" s="607"/>
      <c r="AXP64" s="607"/>
      <c r="AXQ64" s="607"/>
      <c r="AXR64" s="607"/>
      <c r="AXS64" s="607"/>
      <c r="AXT64" s="607"/>
      <c r="AXU64" s="607"/>
      <c r="AXV64" s="607"/>
      <c r="AXW64" s="607"/>
      <c r="AXX64" s="607"/>
      <c r="AXY64" s="607"/>
      <c r="AXZ64" s="607"/>
      <c r="AYA64" s="607"/>
      <c r="AYB64" s="607"/>
      <c r="AYC64" s="607"/>
      <c r="AYD64" s="607"/>
      <c r="AYE64" s="607"/>
      <c r="AYF64" s="607"/>
      <c r="AYG64" s="607"/>
      <c r="AYH64" s="607"/>
      <c r="AYI64" s="607"/>
      <c r="AYJ64" s="607"/>
      <c r="AYK64" s="607"/>
      <c r="AYL64" s="607"/>
      <c r="AYM64" s="607"/>
      <c r="AYN64" s="607"/>
      <c r="AYO64" s="607"/>
      <c r="AYP64" s="607"/>
      <c r="AYQ64" s="607"/>
      <c r="AYR64" s="607"/>
      <c r="AYS64" s="607"/>
      <c r="AYT64" s="607"/>
      <c r="AYU64" s="607"/>
      <c r="AYV64" s="607"/>
      <c r="AYW64" s="607"/>
      <c r="AYX64" s="607"/>
      <c r="AYY64" s="607"/>
      <c r="AYZ64" s="607"/>
      <c r="AZA64" s="607"/>
      <c r="AZB64" s="607"/>
      <c r="AZC64" s="607"/>
      <c r="AZD64" s="607"/>
      <c r="AZE64" s="607"/>
      <c r="AZF64" s="607"/>
      <c r="AZG64" s="607"/>
      <c r="AZH64" s="607"/>
      <c r="AZI64" s="607"/>
      <c r="AZJ64" s="607"/>
      <c r="AZK64" s="607"/>
      <c r="AZL64" s="607"/>
      <c r="AZM64" s="607"/>
      <c r="AZN64" s="607"/>
      <c r="AZO64" s="607"/>
      <c r="AZP64" s="607"/>
      <c r="AZQ64" s="607"/>
      <c r="AZR64" s="607"/>
      <c r="AZS64" s="607"/>
      <c r="AZT64" s="607"/>
      <c r="AZU64" s="607"/>
      <c r="AZV64" s="607"/>
      <c r="AZW64" s="607"/>
      <c r="AZX64" s="607"/>
      <c r="AZY64" s="607"/>
      <c r="AZZ64" s="607"/>
      <c r="BAA64" s="607"/>
      <c r="BAB64" s="607"/>
      <c r="BAC64" s="607"/>
      <c r="BAD64" s="607"/>
      <c r="BAE64" s="607"/>
      <c r="BAF64" s="607"/>
      <c r="BAG64" s="607"/>
      <c r="BAH64" s="607"/>
      <c r="BAI64" s="607"/>
      <c r="BAJ64" s="607"/>
      <c r="BAK64" s="607"/>
      <c r="BAL64" s="607"/>
      <c r="BAM64" s="607"/>
      <c r="BAN64" s="607"/>
      <c r="BAO64" s="607"/>
      <c r="BAP64" s="607"/>
      <c r="BAQ64" s="607"/>
      <c r="BAR64" s="607"/>
      <c r="BAS64" s="607"/>
      <c r="BAT64" s="607"/>
      <c r="BAU64" s="607"/>
      <c r="BAV64" s="607"/>
      <c r="BAW64" s="607"/>
      <c r="BAX64" s="607"/>
      <c r="BAY64" s="607"/>
      <c r="BAZ64" s="607"/>
      <c r="BBA64" s="607"/>
      <c r="BBB64" s="607"/>
      <c r="BBC64" s="607"/>
      <c r="BBD64" s="607"/>
      <c r="BBE64" s="607"/>
      <c r="BBF64" s="607"/>
      <c r="BBG64" s="607"/>
      <c r="BBH64" s="607"/>
      <c r="BBI64" s="607"/>
      <c r="BBJ64" s="607"/>
      <c r="BBK64" s="607"/>
      <c r="BBL64" s="607"/>
      <c r="BBM64" s="607"/>
      <c r="BBN64" s="607"/>
      <c r="BBO64" s="607"/>
      <c r="BBP64" s="607"/>
      <c r="BBQ64" s="607"/>
      <c r="BBR64" s="607"/>
      <c r="BBS64" s="607"/>
      <c r="BBT64" s="607"/>
      <c r="BBU64" s="607"/>
      <c r="BBV64" s="607"/>
      <c r="BBW64" s="607"/>
      <c r="BBX64" s="607"/>
      <c r="BBY64" s="607"/>
      <c r="BBZ64" s="607"/>
      <c r="BCA64" s="607"/>
      <c r="BCB64" s="607"/>
      <c r="BCC64" s="607"/>
      <c r="BCD64" s="607"/>
      <c r="BCE64" s="607"/>
      <c r="BCF64" s="607"/>
      <c r="BCG64" s="607"/>
      <c r="BCH64" s="607"/>
      <c r="BCI64" s="607"/>
      <c r="BCJ64" s="607"/>
      <c r="BCK64" s="607"/>
      <c r="BCL64" s="607"/>
      <c r="BCM64" s="607"/>
      <c r="BCN64" s="607"/>
      <c r="BCO64" s="607"/>
      <c r="BCP64" s="607"/>
      <c r="BCQ64" s="607"/>
      <c r="BCR64" s="607"/>
      <c r="BCS64" s="607"/>
      <c r="BCT64" s="607"/>
      <c r="BCU64" s="607"/>
      <c r="BCV64" s="607"/>
      <c r="BCW64" s="607"/>
      <c r="BCX64" s="607"/>
      <c r="BCY64" s="607"/>
      <c r="BCZ64" s="607"/>
      <c r="BDA64" s="607"/>
      <c r="BDB64" s="607"/>
      <c r="BDC64" s="607"/>
      <c r="BDD64" s="607"/>
      <c r="BDE64" s="607"/>
      <c r="BDF64" s="607"/>
      <c r="BDG64" s="607"/>
      <c r="BDH64" s="607"/>
      <c r="BDI64" s="607"/>
      <c r="BDJ64" s="607"/>
      <c r="BDK64" s="607"/>
      <c r="BDL64" s="607"/>
      <c r="BDM64" s="607"/>
      <c r="BDN64" s="607"/>
      <c r="BDO64" s="607"/>
      <c r="BDP64" s="607"/>
      <c r="BDQ64" s="607"/>
      <c r="BDR64" s="607"/>
      <c r="BDS64" s="607"/>
      <c r="BDT64" s="607"/>
      <c r="BDU64" s="607"/>
      <c r="BDV64" s="607"/>
      <c r="BDW64" s="607"/>
      <c r="BDX64" s="607"/>
      <c r="BDY64" s="607"/>
      <c r="BDZ64" s="607"/>
      <c r="BEA64" s="607"/>
      <c r="BEB64" s="607"/>
      <c r="BEC64" s="607"/>
      <c r="BED64" s="607"/>
      <c r="BEE64" s="607"/>
      <c r="BEF64" s="607"/>
      <c r="BEG64" s="607"/>
      <c r="BEH64" s="607"/>
      <c r="BEI64" s="607"/>
      <c r="BEJ64" s="607"/>
      <c r="BEK64" s="607"/>
      <c r="BEL64" s="607"/>
      <c r="BEM64" s="607"/>
      <c r="BEN64" s="607"/>
      <c r="BEO64" s="607"/>
      <c r="BEP64" s="607"/>
      <c r="BEQ64" s="607"/>
      <c r="BER64" s="607"/>
      <c r="BES64" s="607"/>
      <c r="BET64" s="607"/>
      <c r="BEU64" s="607"/>
      <c r="BEV64" s="607"/>
      <c r="BEW64" s="607"/>
      <c r="BEX64" s="607"/>
      <c r="BEY64" s="607"/>
      <c r="BEZ64" s="607"/>
      <c r="BFA64" s="607"/>
      <c r="BFB64" s="607"/>
      <c r="BFC64" s="607"/>
      <c r="BFD64" s="607"/>
      <c r="BFE64" s="607"/>
      <c r="BFF64" s="607"/>
      <c r="BFG64" s="607"/>
      <c r="BFH64" s="607"/>
      <c r="BFI64" s="607"/>
      <c r="BFJ64" s="607"/>
      <c r="BFK64" s="607"/>
      <c r="BFL64" s="607"/>
      <c r="BFM64" s="607"/>
      <c r="BFN64" s="607"/>
      <c r="BFO64" s="607"/>
      <c r="BFP64" s="607"/>
      <c r="BFQ64" s="607"/>
      <c r="BFR64" s="607"/>
      <c r="BFS64" s="607"/>
      <c r="BFT64" s="607"/>
      <c r="BFU64" s="607"/>
      <c r="BFV64" s="607"/>
      <c r="BFW64" s="607"/>
      <c r="BFX64" s="607"/>
      <c r="BFY64" s="607"/>
      <c r="BFZ64" s="607"/>
      <c r="BGA64" s="607"/>
      <c r="BGB64" s="607"/>
      <c r="BGC64" s="607"/>
      <c r="BGD64" s="607"/>
      <c r="BGE64" s="607"/>
      <c r="BGF64" s="607"/>
      <c r="BGG64" s="607"/>
      <c r="BGH64" s="607"/>
      <c r="BGI64" s="607"/>
      <c r="BGJ64" s="607"/>
      <c r="BGK64" s="607"/>
      <c r="BGL64" s="607"/>
      <c r="BGM64" s="607"/>
      <c r="BGN64" s="607"/>
      <c r="BGO64" s="607"/>
      <c r="BGP64" s="607"/>
      <c r="BGQ64" s="607"/>
      <c r="BGR64" s="607"/>
      <c r="BGS64" s="607"/>
      <c r="BGT64" s="607"/>
      <c r="BGU64" s="607"/>
      <c r="BGV64" s="607"/>
      <c r="BGW64" s="607"/>
      <c r="BGX64" s="607"/>
      <c r="BGY64" s="607"/>
      <c r="BGZ64" s="607"/>
      <c r="BHA64" s="607"/>
      <c r="BHB64" s="607"/>
      <c r="BHC64" s="607"/>
      <c r="BHD64" s="607"/>
      <c r="BHE64" s="607"/>
      <c r="BHF64" s="607"/>
      <c r="BHG64" s="607"/>
      <c r="BHH64" s="607"/>
      <c r="BHI64" s="607"/>
      <c r="BHJ64" s="607"/>
      <c r="BHK64" s="607"/>
      <c r="BHL64" s="607"/>
      <c r="BHM64" s="607"/>
      <c r="BHN64" s="607"/>
      <c r="BHO64" s="607"/>
      <c r="BHP64" s="607"/>
      <c r="BHQ64" s="607"/>
      <c r="BHR64" s="607"/>
      <c r="BHS64" s="607"/>
      <c r="BHT64" s="607"/>
      <c r="BHU64" s="607"/>
      <c r="BHV64" s="607"/>
      <c r="BHW64" s="607"/>
      <c r="BHX64" s="607"/>
      <c r="BHY64" s="607"/>
      <c r="BHZ64" s="607"/>
      <c r="BIA64" s="607"/>
      <c r="BIB64" s="607"/>
      <c r="BIC64" s="607"/>
      <c r="BID64" s="607"/>
      <c r="BIE64" s="607"/>
      <c r="BIF64" s="607"/>
      <c r="BIG64" s="607"/>
      <c r="BIH64" s="607"/>
      <c r="BII64" s="607"/>
      <c r="BIJ64" s="607"/>
      <c r="BIK64" s="607"/>
      <c r="BIL64" s="607"/>
      <c r="BIM64" s="607"/>
      <c r="BIN64" s="607"/>
      <c r="BIO64" s="607"/>
      <c r="BIP64" s="607"/>
      <c r="BIQ64" s="607"/>
      <c r="BIR64" s="607"/>
      <c r="BIS64" s="607"/>
      <c r="BIT64" s="607"/>
      <c r="BIU64" s="607"/>
      <c r="BIV64" s="607"/>
      <c r="BIW64" s="607"/>
      <c r="BIX64" s="607"/>
      <c r="BIY64" s="607"/>
      <c r="BIZ64" s="607"/>
      <c r="BJA64" s="607"/>
      <c r="BJB64" s="607"/>
      <c r="BJC64" s="607"/>
      <c r="BJD64" s="607"/>
      <c r="BJE64" s="607"/>
      <c r="BJF64" s="607"/>
      <c r="BJG64" s="607"/>
      <c r="BJH64" s="607"/>
      <c r="BJI64" s="607"/>
      <c r="BJJ64" s="607"/>
      <c r="BJK64" s="607"/>
      <c r="BJL64" s="607"/>
      <c r="BJM64" s="607"/>
      <c r="BJN64" s="607"/>
      <c r="BJO64" s="607"/>
      <c r="BJP64" s="607"/>
      <c r="BJQ64" s="607"/>
      <c r="BJR64" s="607"/>
      <c r="BJS64" s="607"/>
      <c r="BJT64" s="607"/>
      <c r="BJU64" s="607"/>
      <c r="BJV64" s="607"/>
      <c r="BJW64" s="607"/>
      <c r="BJX64" s="607"/>
      <c r="BJY64" s="607"/>
      <c r="BJZ64" s="607"/>
      <c r="BKA64" s="607"/>
      <c r="BKB64" s="607"/>
      <c r="BKC64" s="607"/>
      <c r="BKD64" s="607"/>
      <c r="BKE64" s="607"/>
      <c r="BKF64" s="607"/>
      <c r="BKG64" s="607"/>
      <c r="BKH64" s="607"/>
      <c r="BKI64" s="607"/>
      <c r="BKJ64" s="607"/>
      <c r="BKK64" s="607"/>
      <c r="BKL64" s="607"/>
      <c r="BKM64" s="607"/>
      <c r="BKN64" s="607"/>
      <c r="BKO64" s="607"/>
      <c r="BKP64" s="607"/>
      <c r="BKQ64" s="607"/>
      <c r="BKR64" s="607"/>
      <c r="BKS64" s="607"/>
      <c r="BKT64" s="607"/>
      <c r="BKU64" s="607"/>
      <c r="BKV64" s="607"/>
      <c r="BKW64" s="607"/>
      <c r="BKX64" s="607"/>
      <c r="BKY64" s="607"/>
      <c r="BKZ64" s="607"/>
      <c r="BLA64" s="607"/>
      <c r="BLB64" s="607"/>
      <c r="BLC64" s="607"/>
      <c r="BLD64" s="607"/>
      <c r="BLE64" s="607"/>
      <c r="BLF64" s="607"/>
      <c r="BLG64" s="607"/>
      <c r="BLH64" s="607"/>
      <c r="BLI64" s="607"/>
      <c r="BLJ64" s="607"/>
      <c r="BLK64" s="607"/>
      <c r="BLL64" s="607"/>
      <c r="BLM64" s="607"/>
      <c r="BLN64" s="607"/>
      <c r="BLO64" s="607"/>
      <c r="BLP64" s="607"/>
      <c r="BLQ64" s="607"/>
      <c r="BLR64" s="607"/>
      <c r="BLS64" s="607"/>
      <c r="BLT64" s="607"/>
      <c r="BLU64" s="607"/>
      <c r="BLV64" s="607"/>
      <c r="BLW64" s="607"/>
      <c r="BLX64" s="607"/>
      <c r="BLY64" s="607"/>
      <c r="BLZ64" s="607"/>
      <c r="BMA64" s="607"/>
      <c r="BMB64" s="607"/>
      <c r="BMC64" s="607"/>
      <c r="BMD64" s="607"/>
      <c r="BME64" s="607"/>
      <c r="BMF64" s="607"/>
      <c r="BMG64" s="607"/>
      <c r="BMH64" s="607"/>
      <c r="BMI64" s="607"/>
      <c r="BMJ64" s="607"/>
      <c r="BMK64" s="607"/>
      <c r="BML64" s="607"/>
      <c r="BMM64" s="607"/>
      <c r="BMN64" s="607"/>
      <c r="BMO64" s="607"/>
      <c r="BMP64" s="607"/>
      <c r="BMQ64" s="607"/>
      <c r="BMR64" s="607"/>
      <c r="BMS64" s="607"/>
      <c r="BMT64" s="607"/>
      <c r="BMU64" s="607"/>
      <c r="BMV64" s="607"/>
      <c r="BMW64" s="607"/>
      <c r="BMX64" s="607"/>
      <c r="BMY64" s="607"/>
      <c r="BMZ64" s="607"/>
      <c r="BNA64" s="607"/>
      <c r="BNB64" s="607"/>
      <c r="BNC64" s="607"/>
      <c r="BND64" s="607"/>
      <c r="BNE64" s="607"/>
      <c r="BNF64" s="607"/>
      <c r="BNG64" s="607"/>
      <c r="BNH64" s="607"/>
      <c r="BNI64" s="607"/>
      <c r="BNJ64" s="607"/>
      <c r="BNK64" s="607"/>
      <c r="BNL64" s="607"/>
      <c r="BNM64" s="607"/>
      <c r="BNN64" s="607"/>
      <c r="BNO64" s="607"/>
      <c r="BNP64" s="607"/>
      <c r="BNQ64" s="607"/>
      <c r="BNR64" s="607"/>
      <c r="BNS64" s="607"/>
      <c r="BNT64" s="607"/>
      <c r="BNU64" s="607"/>
      <c r="BNV64" s="607"/>
      <c r="BNW64" s="607"/>
      <c r="BNX64" s="607"/>
      <c r="BNY64" s="607"/>
      <c r="BNZ64" s="607"/>
      <c r="BOA64" s="607"/>
      <c r="BOB64" s="607"/>
      <c r="BOC64" s="607"/>
      <c r="BOD64" s="607"/>
      <c r="BOE64" s="607"/>
      <c r="BOF64" s="607"/>
      <c r="BOG64" s="607"/>
      <c r="BOH64" s="607"/>
      <c r="BOI64" s="607"/>
      <c r="BOJ64" s="607"/>
      <c r="BOK64" s="607"/>
      <c r="BOL64" s="607"/>
      <c r="BOM64" s="607"/>
      <c r="BON64" s="607"/>
      <c r="BOO64" s="607"/>
      <c r="BOP64" s="607"/>
      <c r="BOQ64" s="607"/>
      <c r="BOR64" s="607"/>
      <c r="BOS64" s="607"/>
      <c r="BOT64" s="607"/>
      <c r="BOU64" s="607"/>
      <c r="BOV64" s="607"/>
      <c r="BOW64" s="607"/>
      <c r="BOX64" s="607"/>
      <c r="BOY64" s="607"/>
      <c r="BOZ64" s="607"/>
      <c r="BPA64" s="607"/>
      <c r="BPB64" s="607"/>
      <c r="BPC64" s="607"/>
      <c r="BPD64" s="607"/>
      <c r="BPE64" s="607"/>
      <c r="BPF64" s="607"/>
      <c r="BPG64" s="607"/>
      <c r="BPH64" s="607"/>
      <c r="BPI64" s="607"/>
      <c r="BPJ64" s="607"/>
      <c r="BPK64" s="607"/>
      <c r="BPL64" s="607"/>
      <c r="BPM64" s="607"/>
      <c r="BPN64" s="607"/>
      <c r="BPO64" s="607"/>
      <c r="BPP64" s="607"/>
      <c r="BPQ64" s="607"/>
      <c r="BPR64" s="607"/>
      <c r="BPS64" s="607"/>
      <c r="BPT64" s="607"/>
      <c r="BPU64" s="607"/>
      <c r="BPV64" s="607"/>
      <c r="BPW64" s="607"/>
      <c r="BPX64" s="607"/>
      <c r="BPY64" s="607"/>
      <c r="BPZ64" s="607"/>
      <c r="BQA64" s="607"/>
      <c r="BQB64" s="607"/>
      <c r="BQC64" s="607"/>
      <c r="BQD64" s="607"/>
      <c r="BQE64" s="607"/>
      <c r="BQF64" s="607"/>
      <c r="BQG64" s="607"/>
      <c r="BQH64" s="607"/>
      <c r="BQI64" s="607"/>
      <c r="BQJ64" s="607"/>
      <c r="BQK64" s="607"/>
      <c r="BQL64" s="607"/>
      <c r="BQM64" s="607"/>
      <c r="BQN64" s="607"/>
      <c r="BQO64" s="607"/>
      <c r="BQP64" s="607"/>
      <c r="BQQ64" s="607"/>
      <c r="BQR64" s="607"/>
      <c r="BQS64" s="607"/>
      <c r="BQT64" s="607"/>
      <c r="BQU64" s="607"/>
      <c r="BQV64" s="607"/>
      <c r="BQW64" s="607"/>
      <c r="BQX64" s="607"/>
      <c r="BQY64" s="607"/>
      <c r="BQZ64" s="607"/>
      <c r="BRA64" s="607"/>
      <c r="BRB64" s="607"/>
      <c r="BRC64" s="607"/>
      <c r="BRD64" s="607"/>
      <c r="BRE64" s="607"/>
      <c r="BRF64" s="607"/>
      <c r="BRG64" s="607"/>
      <c r="BRH64" s="607"/>
      <c r="BRI64" s="607"/>
      <c r="BRJ64" s="607"/>
      <c r="BRK64" s="607"/>
      <c r="BRL64" s="607"/>
      <c r="BRM64" s="607"/>
      <c r="BRN64" s="607"/>
      <c r="BRO64" s="607"/>
      <c r="BRP64" s="607"/>
      <c r="BRQ64" s="607"/>
      <c r="BRR64" s="607"/>
      <c r="BRS64" s="607"/>
      <c r="BRT64" s="607"/>
      <c r="BRU64" s="607"/>
      <c r="BRV64" s="607"/>
      <c r="BRW64" s="607"/>
      <c r="BRX64" s="607"/>
      <c r="BRY64" s="607"/>
      <c r="BRZ64" s="607"/>
      <c r="BSA64" s="607"/>
      <c r="BSB64" s="607"/>
      <c r="BSC64" s="607"/>
      <c r="BSD64" s="607"/>
      <c r="BSE64" s="607"/>
      <c r="BSF64" s="607"/>
      <c r="BSG64" s="607"/>
      <c r="BSH64" s="607"/>
      <c r="BSI64" s="607"/>
      <c r="BSJ64" s="607"/>
      <c r="BSK64" s="607"/>
      <c r="BSL64" s="607"/>
      <c r="BSM64" s="607"/>
      <c r="BSN64" s="607"/>
      <c r="BSO64" s="607"/>
      <c r="BSP64" s="607"/>
      <c r="BSQ64" s="607"/>
      <c r="BSR64" s="607"/>
      <c r="BSS64" s="607"/>
      <c r="BST64" s="607"/>
      <c r="BSU64" s="607"/>
      <c r="BSV64" s="607"/>
      <c r="BSW64" s="607"/>
      <c r="BSX64" s="607"/>
      <c r="BSY64" s="607"/>
      <c r="BSZ64" s="607"/>
      <c r="BTA64" s="607"/>
      <c r="BTB64" s="607"/>
      <c r="BTC64" s="607"/>
      <c r="BTD64" s="607"/>
      <c r="BTE64" s="607"/>
      <c r="BTF64" s="607"/>
      <c r="BTG64" s="607"/>
      <c r="BTH64" s="607"/>
      <c r="BTI64" s="607"/>
      <c r="BTJ64" s="607"/>
      <c r="BTK64" s="607"/>
      <c r="BTL64" s="607"/>
      <c r="BTM64" s="607"/>
      <c r="BTN64" s="607"/>
      <c r="BTO64" s="607"/>
      <c r="BTP64" s="607"/>
      <c r="BTQ64" s="607"/>
      <c r="BTR64" s="607"/>
      <c r="BTS64" s="607"/>
      <c r="BTT64" s="607"/>
      <c r="BTU64" s="607"/>
      <c r="BTV64" s="607"/>
      <c r="BTW64" s="607"/>
      <c r="BTX64" s="607"/>
      <c r="BTY64" s="607"/>
      <c r="BTZ64" s="607"/>
      <c r="BUA64" s="607"/>
      <c r="BUB64" s="607"/>
      <c r="BUC64" s="607"/>
      <c r="BUD64" s="607"/>
      <c r="BUE64" s="607"/>
      <c r="BUF64" s="607"/>
      <c r="BUG64" s="607"/>
      <c r="BUH64" s="607"/>
      <c r="BUI64" s="607"/>
      <c r="BUJ64" s="607"/>
      <c r="BUK64" s="607"/>
      <c r="BUL64" s="607"/>
      <c r="BUM64" s="607"/>
      <c r="BUN64" s="607"/>
      <c r="BUO64" s="607"/>
      <c r="BUP64" s="607"/>
      <c r="BUQ64" s="607"/>
      <c r="BUR64" s="607"/>
      <c r="BUS64" s="607"/>
      <c r="BUT64" s="607"/>
      <c r="BUU64" s="607"/>
      <c r="BUV64" s="607"/>
      <c r="BUW64" s="607"/>
      <c r="BUX64" s="607"/>
      <c r="BUY64" s="607"/>
      <c r="BUZ64" s="607"/>
      <c r="BVA64" s="607"/>
      <c r="BVB64" s="607"/>
      <c r="BVC64" s="607"/>
      <c r="BVD64" s="607"/>
      <c r="BVE64" s="607"/>
      <c r="BVF64" s="607"/>
      <c r="BVG64" s="607"/>
      <c r="BVH64" s="607"/>
      <c r="BVI64" s="607"/>
      <c r="BVJ64" s="607"/>
      <c r="BVK64" s="607"/>
      <c r="BVL64" s="607"/>
      <c r="BVM64" s="607"/>
      <c r="BVN64" s="607"/>
      <c r="BVO64" s="607"/>
      <c r="BVP64" s="607"/>
      <c r="BVQ64" s="607"/>
      <c r="BVR64" s="607"/>
      <c r="BVS64" s="607"/>
      <c r="BVT64" s="607"/>
      <c r="BVU64" s="607"/>
      <c r="BVV64" s="607"/>
      <c r="BVW64" s="607"/>
      <c r="BVX64" s="607"/>
      <c r="BVY64" s="607"/>
      <c r="BVZ64" s="607"/>
      <c r="BWA64" s="607"/>
      <c r="BWB64" s="607"/>
      <c r="BWC64" s="607"/>
      <c r="BWD64" s="607"/>
      <c r="BWE64" s="607"/>
      <c r="BWF64" s="607"/>
      <c r="BWG64" s="607"/>
      <c r="BWH64" s="607"/>
      <c r="BWI64" s="607"/>
      <c r="BWJ64" s="607"/>
      <c r="BWK64" s="607"/>
      <c r="BWL64" s="607"/>
      <c r="BWM64" s="607"/>
      <c r="BWN64" s="607"/>
      <c r="BWO64" s="607"/>
      <c r="BWP64" s="607"/>
      <c r="BWQ64" s="607"/>
      <c r="BWR64" s="607"/>
      <c r="BWS64" s="607"/>
      <c r="BWT64" s="607"/>
      <c r="BWU64" s="607"/>
      <c r="BWV64" s="607"/>
      <c r="BWW64" s="607"/>
      <c r="BWX64" s="607"/>
      <c r="BWY64" s="607"/>
      <c r="BWZ64" s="607"/>
      <c r="BXA64" s="607"/>
      <c r="BXB64" s="607"/>
      <c r="BXC64" s="607"/>
      <c r="BXD64" s="607"/>
      <c r="BXE64" s="607"/>
      <c r="BXF64" s="607"/>
      <c r="BXG64" s="607"/>
      <c r="BXH64" s="607"/>
      <c r="BXI64" s="607"/>
      <c r="BXJ64" s="607"/>
      <c r="BXK64" s="607"/>
      <c r="BXL64" s="607"/>
      <c r="BXM64" s="607"/>
      <c r="BXN64" s="607"/>
      <c r="BXO64" s="607"/>
      <c r="BXP64" s="607"/>
      <c r="BXQ64" s="607"/>
      <c r="BXR64" s="607"/>
      <c r="BXS64" s="607"/>
      <c r="BXT64" s="607"/>
      <c r="BXU64" s="607"/>
      <c r="BXV64" s="607"/>
      <c r="BXW64" s="607"/>
      <c r="BXX64" s="607"/>
      <c r="BXY64" s="607"/>
      <c r="BXZ64" s="607"/>
      <c r="BYA64" s="607"/>
      <c r="BYB64" s="607"/>
      <c r="BYC64" s="607"/>
      <c r="BYD64" s="607"/>
      <c r="BYE64" s="607"/>
      <c r="BYF64" s="607"/>
      <c r="BYG64" s="607"/>
      <c r="BYH64" s="607"/>
      <c r="BYI64" s="607"/>
      <c r="BYJ64" s="607"/>
      <c r="BYK64" s="607"/>
      <c r="BYL64" s="607"/>
      <c r="BYM64" s="607"/>
      <c r="BYN64" s="607"/>
      <c r="BYO64" s="607"/>
      <c r="BYP64" s="607"/>
      <c r="BYQ64" s="607"/>
      <c r="BYR64" s="607"/>
      <c r="BYS64" s="607"/>
      <c r="BYT64" s="607"/>
      <c r="BYU64" s="607"/>
      <c r="BYV64" s="607"/>
      <c r="BYW64" s="607"/>
      <c r="BYX64" s="607"/>
      <c r="BYY64" s="607"/>
      <c r="BYZ64" s="607"/>
      <c r="BZA64" s="607"/>
      <c r="BZB64" s="607"/>
      <c r="BZC64" s="607"/>
      <c r="BZD64" s="607"/>
      <c r="BZE64" s="607"/>
      <c r="BZF64" s="607"/>
      <c r="BZG64" s="607"/>
      <c r="BZH64" s="607"/>
      <c r="BZI64" s="607"/>
      <c r="BZJ64" s="607"/>
      <c r="BZK64" s="607"/>
      <c r="BZL64" s="607"/>
      <c r="BZM64" s="607"/>
      <c r="BZN64" s="607"/>
      <c r="BZO64" s="607"/>
      <c r="BZP64" s="607"/>
      <c r="BZQ64" s="607"/>
      <c r="BZR64" s="607"/>
      <c r="BZS64" s="607"/>
      <c r="BZT64" s="607"/>
      <c r="BZU64" s="607"/>
      <c r="BZV64" s="607"/>
      <c r="BZW64" s="607"/>
      <c r="BZX64" s="607"/>
      <c r="BZY64" s="607"/>
      <c r="BZZ64" s="607"/>
      <c r="CAA64" s="607"/>
      <c r="CAB64" s="607"/>
      <c r="CAC64" s="607"/>
      <c r="CAD64" s="607"/>
      <c r="CAE64" s="607"/>
      <c r="CAF64" s="607"/>
      <c r="CAG64" s="607"/>
      <c r="CAH64" s="607"/>
      <c r="CAI64" s="607"/>
      <c r="CAJ64" s="607"/>
      <c r="CAK64" s="607"/>
      <c r="CAL64" s="607"/>
      <c r="CAM64" s="607"/>
      <c r="CAN64" s="607"/>
      <c r="CAO64" s="607"/>
      <c r="CAP64" s="607"/>
      <c r="CAQ64" s="607"/>
      <c r="CAR64" s="607"/>
      <c r="CAS64" s="607"/>
      <c r="CAT64" s="607"/>
      <c r="CAU64" s="607"/>
      <c r="CAV64" s="607"/>
      <c r="CAW64" s="607"/>
      <c r="CAX64" s="607"/>
      <c r="CAY64" s="607"/>
      <c r="CAZ64" s="607"/>
      <c r="CBA64" s="607"/>
      <c r="CBB64" s="607"/>
      <c r="CBC64" s="607"/>
      <c r="CBD64" s="607"/>
      <c r="CBE64" s="607"/>
      <c r="CBF64" s="607"/>
      <c r="CBG64" s="607"/>
      <c r="CBH64" s="607"/>
      <c r="CBI64" s="607"/>
      <c r="CBJ64" s="607"/>
      <c r="CBK64" s="607"/>
      <c r="CBL64" s="607"/>
      <c r="CBM64" s="607"/>
      <c r="CBN64" s="607"/>
      <c r="CBO64" s="607"/>
      <c r="CBP64" s="607"/>
      <c r="CBQ64" s="607"/>
      <c r="CBR64" s="607"/>
      <c r="CBS64" s="607"/>
      <c r="CBT64" s="607"/>
      <c r="CBU64" s="607"/>
      <c r="CBV64" s="607"/>
      <c r="CBW64" s="607"/>
      <c r="CBX64" s="607"/>
      <c r="CBY64" s="607"/>
      <c r="CBZ64" s="607"/>
      <c r="CCA64" s="607"/>
      <c r="CCB64" s="607"/>
      <c r="CCC64" s="607"/>
      <c r="CCD64" s="607"/>
      <c r="CCE64" s="607"/>
      <c r="CCF64" s="607"/>
      <c r="CCG64" s="607"/>
      <c r="CCH64" s="607"/>
      <c r="CCI64" s="607"/>
      <c r="CCJ64" s="607"/>
      <c r="CCK64" s="607"/>
      <c r="CCL64" s="607"/>
      <c r="CCM64" s="607"/>
      <c r="CCN64" s="607"/>
      <c r="CCO64" s="607"/>
      <c r="CCP64" s="607"/>
      <c r="CCQ64" s="607"/>
      <c r="CCR64" s="607"/>
      <c r="CCS64" s="607"/>
      <c r="CCT64" s="607"/>
      <c r="CCU64" s="607"/>
      <c r="CCV64" s="607"/>
      <c r="CCW64" s="607"/>
      <c r="CCX64" s="607"/>
      <c r="CCY64" s="607"/>
      <c r="CCZ64" s="607"/>
      <c r="CDA64" s="607"/>
      <c r="CDB64" s="607"/>
      <c r="CDC64" s="607"/>
      <c r="CDD64" s="607"/>
      <c r="CDE64" s="607"/>
      <c r="CDF64" s="607"/>
      <c r="CDG64" s="607"/>
      <c r="CDH64" s="607"/>
      <c r="CDI64" s="607"/>
      <c r="CDJ64" s="607"/>
      <c r="CDK64" s="607"/>
      <c r="CDL64" s="607"/>
      <c r="CDM64" s="607"/>
      <c r="CDN64" s="607"/>
      <c r="CDO64" s="607"/>
      <c r="CDP64" s="607"/>
      <c r="CDQ64" s="607"/>
      <c r="CDR64" s="607"/>
      <c r="CDS64" s="607"/>
      <c r="CDT64" s="607"/>
      <c r="CDU64" s="607"/>
      <c r="CDV64" s="607"/>
      <c r="CDW64" s="607"/>
      <c r="CDX64" s="607"/>
      <c r="CDY64" s="607"/>
      <c r="CDZ64" s="607"/>
      <c r="CEA64" s="607"/>
      <c r="CEB64" s="607"/>
      <c r="CEC64" s="607"/>
      <c r="CED64" s="607"/>
      <c r="CEE64" s="607"/>
      <c r="CEF64" s="607"/>
      <c r="CEG64" s="607"/>
      <c r="CEH64" s="607"/>
      <c r="CEI64" s="607"/>
      <c r="CEJ64" s="607"/>
      <c r="CEK64" s="607"/>
      <c r="CEL64" s="607"/>
      <c r="CEM64" s="607"/>
      <c r="CEN64" s="607"/>
      <c r="CEO64" s="607"/>
      <c r="CEP64" s="607"/>
      <c r="CEQ64" s="607"/>
      <c r="CER64" s="607"/>
      <c r="CES64" s="607"/>
      <c r="CET64" s="607"/>
      <c r="CEU64" s="607"/>
      <c r="CEV64" s="607"/>
      <c r="CEW64" s="607"/>
      <c r="CEX64" s="607"/>
      <c r="CEY64" s="607"/>
      <c r="CEZ64" s="607"/>
      <c r="CFA64" s="607"/>
      <c r="CFB64" s="607"/>
      <c r="CFC64" s="607"/>
      <c r="CFD64" s="607"/>
      <c r="CFE64" s="607"/>
      <c r="CFF64" s="607"/>
      <c r="CFG64" s="607"/>
      <c r="CFH64" s="607"/>
      <c r="CFI64" s="607"/>
      <c r="CFJ64" s="607"/>
      <c r="CFK64" s="607"/>
      <c r="CFL64" s="607"/>
      <c r="CFM64" s="607"/>
      <c r="CFN64" s="607"/>
      <c r="CFO64" s="607"/>
      <c r="CFP64" s="607"/>
      <c r="CFQ64" s="607"/>
      <c r="CFR64" s="607"/>
      <c r="CFS64" s="607"/>
      <c r="CFT64" s="607"/>
      <c r="CFU64" s="607"/>
      <c r="CFV64" s="607"/>
      <c r="CFW64" s="607"/>
      <c r="CFX64" s="607"/>
      <c r="CFY64" s="607"/>
      <c r="CFZ64" s="607"/>
      <c r="CGA64" s="607"/>
      <c r="CGB64" s="607"/>
      <c r="CGC64" s="607"/>
      <c r="CGD64" s="607"/>
      <c r="CGE64" s="607"/>
      <c r="CGF64" s="607"/>
      <c r="CGG64" s="607"/>
      <c r="CGH64" s="607"/>
      <c r="CGI64" s="607"/>
      <c r="CGJ64" s="607"/>
      <c r="CGK64" s="607"/>
      <c r="CGL64" s="607"/>
      <c r="CGM64" s="607"/>
      <c r="CGN64" s="607"/>
      <c r="CGO64" s="607"/>
      <c r="CGP64" s="607"/>
      <c r="CGQ64" s="607"/>
      <c r="CGR64" s="607"/>
      <c r="CGS64" s="607"/>
      <c r="CGT64" s="607"/>
      <c r="CGU64" s="607"/>
      <c r="CGV64" s="607"/>
      <c r="CGW64" s="607"/>
      <c r="CGX64" s="607"/>
      <c r="CGY64" s="607"/>
      <c r="CGZ64" s="607"/>
      <c r="CHA64" s="607"/>
      <c r="CHB64" s="607"/>
      <c r="CHC64" s="607"/>
      <c r="CHD64" s="607"/>
      <c r="CHE64" s="607"/>
      <c r="CHF64" s="607"/>
      <c r="CHG64" s="607"/>
      <c r="CHH64" s="607"/>
      <c r="CHI64" s="607"/>
      <c r="CHJ64" s="607"/>
      <c r="CHK64" s="607"/>
      <c r="CHL64" s="607"/>
      <c r="CHM64" s="607"/>
      <c r="CHN64" s="607"/>
      <c r="CHO64" s="607"/>
      <c r="CHP64" s="607"/>
      <c r="CHQ64" s="607"/>
      <c r="CHR64" s="607"/>
      <c r="CHS64" s="607"/>
      <c r="CHT64" s="607"/>
      <c r="CHU64" s="607"/>
      <c r="CHV64" s="607"/>
      <c r="CHW64" s="607"/>
      <c r="CHX64" s="607"/>
      <c r="CHY64" s="607"/>
      <c r="CHZ64" s="607"/>
      <c r="CIA64" s="607"/>
      <c r="CIB64" s="607"/>
      <c r="CIC64" s="607"/>
      <c r="CID64" s="607"/>
      <c r="CIE64" s="607"/>
      <c r="CIF64" s="607"/>
      <c r="CIG64" s="607"/>
      <c r="CIH64" s="607"/>
      <c r="CII64" s="607"/>
      <c r="CIJ64" s="607"/>
      <c r="CIK64" s="607"/>
      <c r="CIL64" s="607"/>
      <c r="CIM64" s="607"/>
      <c r="CIN64" s="607"/>
      <c r="CIO64" s="607"/>
      <c r="CIP64" s="607"/>
      <c r="CIQ64" s="607"/>
      <c r="CIR64" s="607"/>
      <c r="CIS64" s="607"/>
      <c r="CIT64" s="607"/>
      <c r="CIU64" s="607"/>
      <c r="CIV64" s="607"/>
      <c r="CIW64" s="607"/>
      <c r="CIX64" s="607"/>
      <c r="CIY64" s="607"/>
      <c r="CIZ64" s="607"/>
      <c r="CJA64" s="607"/>
      <c r="CJB64" s="607"/>
      <c r="CJC64" s="607"/>
      <c r="CJD64" s="607"/>
      <c r="CJE64" s="607"/>
      <c r="CJF64" s="607"/>
      <c r="CJG64" s="607"/>
      <c r="CJH64" s="607"/>
      <c r="CJI64" s="607"/>
      <c r="CJJ64" s="607"/>
      <c r="CJK64" s="607"/>
      <c r="CJL64" s="607"/>
      <c r="CJM64" s="607"/>
      <c r="CJN64" s="607"/>
      <c r="CJO64" s="607"/>
      <c r="CJP64" s="607"/>
      <c r="CJQ64" s="607"/>
      <c r="CJR64" s="607"/>
      <c r="CJS64" s="607"/>
      <c r="CJT64" s="607"/>
      <c r="CJU64" s="607"/>
      <c r="CJV64" s="607"/>
      <c r="CJW64" s="607"/>
      <c r="CJX64" s="607"/>
      <c r="CJY64" s="607"/>
      <c r="CJZ64" s="607"/>
      <c r="CKA64" s="607"/>
      <c r="CKB64" s="607"/>
      <c r="CKC64" s="607"/>
      <c r="CKD64" s="607"/>
      <c r="CKE64" s="607"/>
      <c r="CKF64" s="607"/>
      <c r="CKG64" s="607"/>
      <c r="CKH64" s="607"/>
      <c r="CKI64" s="607"/>
      <c r="CKJ64" s="607"/>
      <c r="CKK64" s="607"/>
      <c r="CKL64" s="607"/>
      <c r="CKM64" s="607"/>
      <c r="CKN64" s="607"/>
      <c r="CKO64" s="607"/>
      <c r="CKP64" s="607"/>
      <c r="CKQ64" s="607"/>
      <c r="CKR64" s="607"/>
      <c r="CKS64" s="607"/>
      <c r="CKT64" s="607"/>
      <c r="CKU64" s="607"/>
      <c r="CKV64" s="607"/>
      <c r="CKW64" s="607"/>
      <c r="CKX64" s="607"/>
      <c r="CKY64" s="607"/>
      <c r="CKZ64" s="607"/>
      <c r="CLA64" s="607"/>
      <c r="CLB64" s="607"/>
      <c r="CLC64" s="607"/>
      <c r="CLD64" s="607"/>
      <c r="CLE64" s="607"/>
      <c r="CLF64" s="607"/>
      <c r="CLG64" s="607"/>
      <c r="CLH64" s="607"/>
      <c r="CLI64" s="607"/>
      <c r="CLJ64" s="607"/>
      <c r="CLK64" s="607"/>
      <c r="CLL64" s="607"/>
      <c r="CLM64" s="607"/>
      <c r="CLN64" s="607"/>
      <c r="CLO64" s="607"/>
      <c r="CLP64" s="607"/>
      <c r="CLQ64" s="607"/>
      <c r="CLR64" s="607"/>
      <c r="CLS64" s="607"/>
      <c r="CLT64" s="607"/>
      <c r="CLU64" s="607"/>
      <c r="CLV64" s="607"/>
      <c r="CLW64" s="607"/>
      <c r="CLX64" s="607"/>
      <c r="CLY64" s="607"/>
      <c r="CLZ64" s="607"/>
      <c r="CMA64" s="607"/>
      <c r="CMB64" s="607"/>
      <c r="CMC64" s="607"/>
      <c r="CMD64" s="607"/>
      <c r="CME64" s="607"/>
      <c r="CMF64" s="607"/>
      <c r="CMG64" s="607"/>
      <c r="CMH64" s="607"/>
      <c r="CMI64" s="607"/>
      <c r="CMJ64" s="607"/>
      <c r="CMK64" s="607"/>
      <c r="CML64" s="607"/>
      <c r="CMM64" s="607"/>
      <c r="CMN64" s="607"/>
      <c r="CMO64" s="607"/>
      <c r="CMP64" s="607"/>
      <c r="CMQ64" s="607"/>
      <c r="CMR64" s="607"/>
      <c r="CMS64" s="607"/>
      <c r="CMT64" s="607"/>
      <c r="CMU64" s="607"/>
      <c r="CMV64" s="607"/>
      <c r="CMW64" s="607"/>
      <c r="CMX64" s="607"/>
      <c r="CMY64" s="607"/>
      <c r="CMZ64" s="607"/>
      <c r="CNA64" s="607"/>
      <c r="CNB64" s="607"/>
      <c r="CNC64" s="607"/>
      <c r="CND64" s="607"/>
      <c r="CNE64" s="607"/>
      <c r="CNF64" s="607"/>
      <c r="CNG64" s="607"/>
      <c r="CNH64" s="607"/>
      <c r="CNI64" s="607"/>
      <c r="CNJ64" s="607"/>
      <c r="CNK64" s="607"/>
      <c r="CNL64" s="607"/>
      <c r="CNM64" s="607"/>
      <c r="CNN64" s="607"/>
      <c r="CNO64" s="607"/>
      <c r="CNP64" s="607"/>
      <c r="CNQ64" s="607"/>
      <c r="CNR64" s="607"/>
      <c r="CNS64" s="607"/>
      <c r="CNT64" s="607"/>
      <c r="CNU64" s="607"/>
      <c r="CNV64" s="607"/>
      <c r="CNW64" s="607"/>
      <c r="CNX64" s="607"/>
      <c r="CNY64" s="607"/>
      <c r="CNZ64" s="607"/>
      <c r="COA64" s="607"/>
      <c r="COB64" s="607"/>
      <c r="COC64" s="607"/>
      <c r="COD64" s="607"/>
      <c r="COE64" s="607"/>
      <c r="COF64" s="607"/>
      <c r="COG64" s="607"/>
      <c r="COH64" s="607"/>
      <c r="COI64" s="607"/>
      <c r="COJ64" s="607"/>
      <c r="COK64" s="607"/>
      <c r="COL64" s="607"/>
      <c r="COM64" s="607"/>
      <c r="CON64" s="607"/>
      <c r="COO64" s="607"/>
      <c r="COP64" s="607"/>
      <c r="COQ64" s="607"/>
      <c r="COR64" s="607"/>
      <c r="COS64" s="607"/>
      <c r="COT64" s="607"/>
      <c r="COU64" s="607"/>
      <c r="COV64" s="607"/>
      <c r="COW64" s="607"/>
      <c r="COX64" s="607"/>
      <c r="COY64" s="607"/>
      <c r="COZ64" s="607"/>
      <c r="CPA64" s="607"/>
      <c r="CPB64" s="607"/>
      <c r="CPC64" s="607"/>
      <c r="CPD64" s="607"/>
      <c r="CPE64" s="607"/>
      <c r="CPF64" s="607"/>
      <c r="CPG64" s="607"/>
      <c r="CPH64" s="607"/>
      <c r="CPI64" s="607"/>
      <c r="CPJ64" s="607"/>
      <c r="CPK64" s="607"/>
      <c r="CPL64" s="607"/>
      <c r="CPM64" s="607"/>
      <c r="CPN64" s="607"/>
      <c r="CPO64" s="607"/>
      <c r="CPP64" s="607"/>
      <c r="CPQ64" s="607"/>
      <c r="CPR64" s="607"/>
      <c r="CPS64" s="607"/>
      <c r="CPT64" s="607"/>
      <c r="CPU64" s="607"/>
      <c r="CPV64" s="607"/>
      <c r="CPW64" s="607"/>
      <c r="CPX64" s="607"/>
      <c r="CPY64" s="607"/>
      <c r="CPZ64" s="607"/>
      <c r="CQA64" s="607"/>
      <c r="CQB64" s="607"/>
      <c r="CQC64" s="607"/>
      <c r="CQD64" s="607"/>
      <c r="CQE64" s="607"/>
      <c r="CQF64" s="607"/>
      <c r="CQG64" s="607"/>
      <c r="CQH64" s="607"/>
      <c r="CQI64" s="607"/>
      <c r="CQJ64" s="607"/>
      <c r="CQK64" s="607"/>
      <c r="CQL64" s="607"/>
      <c r="CQM64" s="607"/>
      <c r="CQN64" s="607"/>
      <c r="CQO64" s="607"/>
      <c r="CQP64" s="607"/>
      <c r="CQQ64" s="607"/>
      <c r="CQR64" s="607"/>
      <c r="CQS64" s="607"/>
      <c r="CQT64" s="607"/>
      <c r="CQU64" s="607"/>
      <c r="CQV64" s="607"/>
      <c r="CQW64" s="607"/>
      <c r="CQX64" s="607"/>
      <c r="CQY64" s="607"/>
      <c r="CQZ64" s="607"/>
      <c r="CRA64" s="607"/>
      <c r="CRB64" s="607"/>
      <c r="CRC64" s="607"/>
      <c r="CRD64" s="607"/>
      <c r="CRE64" s="607"/>
      <c r="CRF64" s="607"/>
      <c r="CRG64" s="607"/>
      <c r="CRH64" s="607"/>
      <c r="CRI64" s="607"/>
      <c r="CRJ64" s="607"/>
      <c r="CRK64" s="607"/>
      <c r="CRL64" s="607"/>
      <c r="CRM64" s="607"/>
      <c r="CRN64" s="607"/>
      <c r="CRO64" s="607"/>
      <c r="CRP64" s="607"/>
      <c r="CRQ64" s="607"/>
      <c r="CRR64" s="607"/>
      <c r="CRS64" s="607"/>
      <c r="CRT64" s="607"/>
      <c r="CRU64" s="607"/>
      <c r="CRV64" s="607"/>
      <c r="CRW64" s="607"/>
      <c r="CRX64" s="607"/>
      <c r="CRY64" s="607"/>
      <c r="CRZ64" s="607"/>
      <c r="CSA64" s="607"/>
      <c r="CSB64" s="607"/>
      <c r="CSC64" s="607"/>
      <c r="CSD64" s="607"/>
      <c r="CSE64" s="607"/>
      <c r="CSF64" s="607"/>
      <c r="CSG64" s="607"/>
      <c r="CSH64" s="607"/>
      <c r="CSI64" s="607"/>
      <c r="CSJ64" s="607"/>
      <c r="CSK64" s="607"/>
      <c r="CSL64" s="607"/>
      <c r="CSM64" s="607"/>
      <c r="CSN64" s="607"/>
      <c r="CSO64" s="607"/>
      <c r="CSP64" s="607"/>
      <c r="CSQ64" s="607"/>
      <c r="CSR64" s="607"/>
      <c r="CSS64" s="607"/>
      <c r="CST64" s="607"/>
      <c r="CSU64" s="607"/>
      <c r="CSV64" s="607"/>
      <c r="CSW64" s="607"/>
      <c r="CSX64" s="607"/>
      <c r="CSY64" s="607"/>
      <c r="CSZ64" s="607"/>
      <c r="CTA64" s="607"/>
      <c r="CTB64" s="607"/>
      <c r="CTC64" s="607"/>
      <c r="CTD64" s="607"/>
      <c r="CTE64" s="607"/>
      <c r="CTF64" s="607"/>
      <c r="CTG64" s="607"/>
      <c r="CTH64" s="607"/>
      <c r="CTI64" s="607"/>
      <c r="CTJ64" s="607"/>
      <c r="CTK64" s="607"/>
      <c r="CTL64" s="607"/>
      <c r="CTM64" s="607"/>
      <c r="CTN64" s="607"/>
      <c r="CTO64" s="607"/>
      <c r="CTP64" s="607"/>
      <c r="CTQ64" s="607"/>
      <c r="CTR64" s="607"/>
      <c r="CTS64" s="607"/>
      <c r="CTT64" s="607"/>
      <c r="CTU64" s="607"/>
      <c r="CTV64" s="607"/>
      <c r="CTW64" s="607"/>
      <c r="CTX64" s="607"/>
      <c r="CTY64" s="607"/>
      <c r="CTZ64" s="607"/>
      <c r="CUA64" s="607"/>
      <c r="CUB64" s="607"/>
      <c r="CUC64" s="607"/>
      <c r="CUD64" s="607"/>
      <c r="CUE64" s="607"/>
      <c r="CUF64" s="607"/>
      <c r="CUG64" s="607"/>
      <c r="CUH64" s="607"/>
      <c r="CUI64" s="607"/>
      <c r="CUJ64" s="607"/>
      <c r="CUK64" s="607"/>
      <c r="CUL64" s="607"/>
      <c r="CUM64" s="607"/>
      <c r="CUN64" s="607"/>
      <c r="CUO64" s="607"/>
      <c r="CUP64" s="607"/>
      <c r="CUQ64" s="607"/>
      <c r="CUR64" s="607"/>
      <c r="CUS64" s="607"/>
      <c r="CUT64" s="607"/>
      <c r="CUU64" s="607"/>
      <c r="CUV64" s="607"/>
      <c r="CUW64" s="607"/>
      <c r="CUX64" s="607"/>
      <c r="CUY64" s="607"/>
      <c r="CUZ64" s="607"/>
      <c r="CVA64" s="607"/>
      <c r="CVB64" s="607"/>
      <c r="CVC64" s="607"/>
      <c r="CVD64" s="607"/>
      <c r="CVE64" s="607"/>
      <c r="CVF64" s="607"/>
      <c r="CVG64" s="607"/>
      <c r="CVH64" s="607"/>
      <c r="CVI64" s="607"/>
      <c r="CVJ64" s="607"/>
      <c r="CVK64" s="607"/>
      <c r="CVL64" s="607"/>
      <c r="CVM64" s="607"/>
      <c r="CVN64" s="607"/>
      <c r="CVO64" s="607"/>
      <c r="CVP64" s="607"/>
      <c r="CVQ64" s="607"/>
      <c r="CVR64" s="607"/>
      <c r="CVS64" s="607"/>
      <c r="CVT64" s="607"/>
      <c r="CVU64" s="607"/>
      <c r="CVV64" s="607"/>
      <c r="CVW64" s="607"/>
      <c r="CVX64" s="607"/>
      <c r="CVY64" s="607"/>
      <c r="CVZ64" s="607"/>
      <c r="CWA64" s="607"/>
      <c r="CWB64" s="607"/>
      <c r="CWC64" s="607"/>
      <c r="CWD64" s="607"/>
      <c r="CWE64" s="607"/>
      <c r="CWF64" s="607"/>
      <c r="CWG64" s="607"/>
      <c r="CWH64" s="607"/>
      <c r="CWI64" s="607"/>
      <c r="CWJ64" s="607"/>
      <c r="CWK64" s="607"/>
      <c r="CWL64" s="607"/>
      <c r="CWM64" s="607"/>
      <c r="CWN64" s="607"/>
      <c r="CWO64" s="607"/>
      <c r="CWP64" s="607"/>
      <c r="CWQ64" s="607"/>
      <c r="CWR64" s="607"/>
      <c r="CWS64" s="607"/>
      <c r="CWT64" s="607"/>
      <c r="CWU64" s="607"/>
      <c r="CWV64" s="607"/>
      <c r="CWW64" s="607"/>
      <c r="CWX64" s="607"/>
      <c r="CWY64" s="607"/>
      <c r="CWZ64" s="607"/>
      <c r="CXA64" s="607"/>
      <c r="CXB64" s="607"/>
      <c r="CXC64" s="607"/>
      <c r="CXD64" s="607"/>
      <c r="CXE64" s="607"/>
      <c r="CXF64" s="607"/>
      <c r="CXG64" s="607"/>
      <c r="CXH64" s="607"/>
      <c r="CXI64" s="607"/>
      <c r="CXJ64" s="607"/>
      <c r="CXK64" s="607"/>
      <c r="CXL64" s="607"/>
      <c r="CXM64" s="607"/>
      <c r="CXN64" s="607"/>
      <c r="CXO64" s="607"/>
      <c r="CXP64" s="607"/>
      <c r="CXQ64" s="607"/>
      <c r="CXR64" s="607"/>
      <c r="CXS64" s="607"/>
      <c r="CXT64" s="607"/>
      <c r="CXU64" s="607"/>
      <c r="CXV64" s="607"/>
      <c r="CXW64" s="607"/>
      <c r="CXX64" s="607"/>
      <c r="CXY64" s="607"/>
      <c r="CXZ64" s="607"/>
      <c r="CYA64" s="607"/>
      <c r="CYB64" s="607"/>
      <c r="CYC64" s="607"/>
      <c r="CYD64" s="607"/>
      <c r="CYE64" s="607"/>
      <c r="CYF64" s="607"/>
      <c r="CYG64" s="607"/>
      <c r="CYH64" s="607"/>
      <c r="CYI64" s="607"/>
      <c r="CYJ64" s="607"/>
      <c r="CYK64" s="607"/>
      <c r="CYL64" s="607"/>
      <c r="CYM64" s="607"/>
      <c r="CYN64" s="607"/>
      <c r="CYO64" s="607"/>
      <c r="CYP64" s="607"/>
      <c r="CYQ64" s="607"/>
      <c r="CYR64" s="607"/>
      <c r="CYS64" s="607"/>
      <c r="CYT64" s="607"/>
      <c r="CYU64" s="607"/>
      <c r="CYV64" s="607"/>
      <c r="CYW64" s="607"/>
      <c r="CYX64" s="607"/>
      <c r="CYY64" s="607"/>
      <c r="CYZ64" s="607"/>
      <c r="CZA64" s="607"/>
      <c r="CZB64" s="607"/>
      <c r="CZC64" s="607"/>
      <c r="CZD64" s="607"/>
      <c r="CZE64" s="607"/>
      <c r="CZF64" s="607"/>
      <c r="CZG64" s="607"/>
      <c r="CZH64" s="607"/>
      <c r="CZI64" s="607"/>
      <c r="CZJ64" s="607"/>
      <c r="CZK64" s="607"/>
      <c r="CZL64" s="607"/>
      <c r="CZM64" s="607"/>
      <c r="CZN64" s="607"/>
      <c r="CZO64" s="607"/>
      <c r="CZP64" s="607"/>
      <c r="CZQ64" s="607"/>
      <c r="CZR64" s="607"/>
      <c r="CZS64" s="607"/>
      <c r="CZT64" s="607"/>
      <c r="CZU64" s="607"/>
      <c r="CZV64" s="607"/>
      <c r="CZW64" s="607"/>
      <c r="CZX64" s="607"/>
      <c r="CZY64" s="607"/>
      <c r="CZZ64" s="607"/>
      <c r="DAA64" s="607"/>
      <c r="DAB64" s="607"/>
      <c r="DAC64" s="607"/>
      <c r="DAD64" s="607"/>
      <c r="DAE64" s="607"/>
      <c r="DAF64" s="607"/>
      <c r="DAG64" s="607"/>
      <c r="DAH64" s="607"/>
      <c r="DAI64" s="607"/>
      <c r="DAJ64" s="607"/>
      <c r="DAK64" s="607"/>
      <c r="DAL64" s="607"/>
      <c r="DAM64" s="607"/>
      <c r="DAN64" s="607"/>
      <c r="DAO64" s="607"/>
      <c r="DAP64" s="607"/>
      <c r="DAQ64" s="607"/>
      <c r="DAR64" s="607"/>
      <c r="DAS64" s="607"/>
      <c r="DAT64" s="607"/>
      <c r="DAU64" s="607"/>
      <c r="DAV64" s="607"/>
      <c r="DAW64" s="607"/>
      <c r="DAX64" s="607"/>
      <c r="DAY64" s="607"/>
      <c r="DAZ64" s="607"/>
      <c r="DBA64" s="607"/>
      <c r="DBB64" s="607"/>
      <c r="DBC64" s="607"/>
      <c r="DBD64" s="607"/>
      <c r="DBE64" s="607"/>
      <c r="DBF64" s="607"/>
      <c r="DBG64" s="607"/>
      <c r="DBH64" s="607"/>
      <c r="DBI64" s="607"/>
      <c r="DBJ64" s="607"/>
      <c r="DBK64" s="607"/>
      <c r="DBL64" s="607"/>
      <c r="DBM64" s="607"/>
      <c r="DBN64" s="607"/>
      <c r="DBO64" s="607"/>
      <c r="DBP64" s="607"/>
      <c r="DBQ64" s="607"/>
      <c r="DBR64" s="607"/>
      <c r="DBS64" s="607"/>
      <c r="DBT64" s="607"/>
      <c r="DBU64" s="607"/>
      <c r="DBV64" s="607"/>
      <c r="DBW64" s="607"/>
      <c r="DBX64" s="607"/>
      <c r="DBY64" s="607"/>
      <c r="DBZ64" s="607"/>
      <c r="DCA64" s="607"/>
      <c r="DCB64" s="607"/>
      <c r="DCC64" s="607"/>
      <c r="DCD64" s="607"/>
      <c r="DCE64" s="607"/>
      <c r="DCF64" s="607"/>
      <c r="DCG64" s="607"/>
      <c r="DCH64" s="607"/>
      <c r="DCI64" s="607"/>
      <c r="DCJ64" s="607"/>
      <c r="DCK64" s="607"/>
      <c r="DCL64" s="607"/>
      <c r="DCM64" s="607"/>
      <c r="DCN64" s="607"/>
      <c r="DCO64" s="607"/>
      <c r="DCP64" s="607"/>
      <c r="DCQ64" s="607"/>
      <c r="DCR64" s="607"/>
      <c r="DCS64" s="607"/>
      <c r="DCT64" s="607"/>
      <c r="DCU64" s="607"/>
      <c r="DCV64" s="607"/>
      <c r="DCW64" s="607"/>
      <c r="DCX64" s="607"/>
      <c r="DCY64" s="607"/>
      <c r="DCZ64" s="607"/>
      <c r="DDA64" s="607"/>
      <c r="DDB64" s="607"/>
      <c r="DDC64" s="607"/>
      <c r="DDD64" s="607"/>
      <c r="DDE64" s="607"/>
      <c r="DDF64" s="607"/>
      <c r="DDG64" s="607"/>
      <c r="DDH64" s="607"/>
      <c r="DDI64" s="607"/>
      <c r="DDJ64" s="607"/>
      <c r="DDK64" s="607"/>
      <c r="DDL64" s="607"/>
      <c r="DDM64" s="607"/>
      <c r="DDN64" s="607"/>
      <c r="DDO64" s="607"/>
      <c r="DDP64" s="607"/>
      <c r="DDQ64" s="607"/>
      <c r="DDR64" s="607"/>
      <c r="DDS64" s="607"/>
      <c r="DDT64" s="607"/>
      <c r="DDU64" s="607"/>
      <c r="DDV64" s="607"/>
      <c r="DDW64" s="607"/>
      <c r="DDX64" s="607"/>
      <c r="DDY64" s="607"/>
      <c r="DDZ64" s="607"/>
      <c r="DEA64" s="607"/>
      <c r="DEB64" s="607"/>
      <c r="DEC64" s="607"/>
      <c r="DED64" s="607"/>
      <c r="DEE64" s="607"/>
      <c r="DEF64" s="607"/>
      <c r="DEG64" s="607"/>
      <c r="DEH64" s="607"/>
      <c r="DEI64" s="607"/>
      <c r="DEJ64" s="607"/>
      <c r="DEK64" s="607"/>
      <c r="DEL64" s="607"/>
      <c r="DEM64" s="607"/>
      <c r="DEN64" s="607"/>
      <c r="DEO64" s="607"/>
      <c r="DEP64" s="607"/>
      <c r="DEQ64" s="607"/>
      <c r="DER64" s="607"/>
      <c r="DES64" s="607"/>
      <c r="DET64" s="607"/>
      <c r="DEU64" s="607"/>
      <c r="DEV64" s="607"/>
      <c r="DEW64" s="607"/>
      <c r="DEX64" s="607"/>
      <c r="DEY64" s="607"/>
      <c r="DEZ64" s="607"/>
      <c r="DFA64" s="607"/>
      <c r="DFB64" s="607"/>
      <c r="DFC64" s="607"/>
      <c r="DFD64" s="607"/>
      <c r="DFE64" s="607"/>
      <c r="DFF64" s="607"/>
      <c r="DFG64" s="607"/>
      <c r="DFH64" s="607"/>
      <c r="DFI64" s="607"/>
      <c r="DFJ64" s="607"/>
      <c r="DFK64" s="607"/>
      <c r="DFL64" s="607"/>
      <c r="DFM64" s="607"/>
      <c r="DFN64" s="607"/>
      <c r="DFO64" s="607"/>
      <c r="DFP64" s="607"/>
      <c r="DFQ64" s="607"/>
      <c r="DFR64" s="607"/>
      <c r="DFS64" s="607"/>
      <c r="DFT64" s="607"/>
      <c r="DFU64" s="607"/>
      <c r="DFV64" s="607"/>
      <c r="DFW64" s="607"/>
      <c r="DFX64" s="607"/>
      <c r="DFY64" s="607"/>
      <c r="DFZ64" s="607"/>
      <c r="DGA64" s="607"/>
      <c r="DGB64" s="607"/>
      <c r="DGC64" s="607"/>
      <c r="DGD64" s="607"/>
      <c r="DGE64" s="607"/>
      <c r="DGF64" s="607"/>
      <c r="DGG64" s="607"/>
      <c r="DGH64" s="607"/>
      <c r="DGI64" s="607"/>
      <c r="DGJ64" s="607"/>
      <c r="DGK64" s="607"/>
      <c r="DGL64" s="607"/>
      <c r="DGM64" s="607"/>
      <c r="DGN64" s="607"/>
      <c r="DGO64" s="607"/>
      <c r="DGP64" s="607"/>
      <c r="DGQ64" s="607"/>
      <c r="DGR64" s="607"/>
      <c r="DGS64" s="607"/>
      <c r="DGT64" s="607"/>
      <c r="DGU64" s="607"/>
      <c r="DGV64" s="607"/>
      <c r="DGW64" s="607"/>
      <c r="DGX64" s="607"/>
      <c r="DGY64" s="607"/>
      <c r="DGZ64" s="607"/>
      <c r="DHA64" s="607"/>
      <c r="DHB64" s="607"/>
      <c r="DHC64" s="607"/>
      <c r="DHD64" s="607"/>
      <c r="DHE64" s="607"/>
      <c r="DHF64" s="607"/>
      <c r="DHG64" s="607"/>
      <c r="DHH64" s="607"/>
      <c r="DHI64" s="607"/>
      <c r="DHJ64" s="607"/>
      <c r="DHK64" s="607"/>
      <c r="DHL64" s="607"/>
      <c r="DHM64" s="607"/>
      <c r="DHN64" s="607"/>
      <c r="DHO64" s="607"/>
      <c r="DHP64" s="607"/>
      <c r="DHQ64" s="607"/>
      <c r="DHR64" s="607"/>
      <c r="DHS64" s="607"/>
      <c r="DHT64" s="607"/>
      <c r="DHU64" s="607"/>
      <c r="DHV64" s="607"/>
      <c r="DHW64" s="607"/>
      <c r="DHX64" s="607"/>
      <c r="DHY64" s="607"/>
      <c r="DHZ64" s="607"/>
      <c r="DIA64" s="607"/>
      <c r="DIB64" s="607"/>
      <c r="DIC64" s="607"/>
      <c r="DID64" s="607"/>
      <c r="DIE64" s="607"/>
      <c r="DIF64" s="607"/>
      <c r="DIG64" s="607"/>
      <c r="DIH64" s="607"/>
      <c r="DII64" s="607"/>
      <c r="DIJ64" s="607"/>
      <c r="DIK64" s="607"/>
      <c r="DIL64" s="607"/>
      <c r="DIM64" s="607"/>
      <c r="DIN64" s="607"/>
      <c r="DIO64" s="607"/>
      <c r="DIP64" s="607"/>
      <c r="DIQ64" s="607"/>
      <c r="DIR64" s="607"/>
      <c r="DIS64" s="607"/>
      <c r="DIT64" s="607"/>
      <c r="DIU64" s="607"/>
      <c r="DIV64" s="607"/>
      <c r="DIW64" s="607"/>
      <c r="DIX64" s="607"/>
      <c r="DIY64" s="607"/>
      <c r="DIZ64" s="607"/>
      <c r="DJA64" s="607"/>
      <c r="DJB64" s="607"/>
      <c r="DJC64" s="607"/>
      <c r="DJD64" s="607"/>
      <c r="DJE64" s="607"/>
      <c r="DJF64" s="607"/>
      <c r="DJG64" s="607"/>
      <c r="DJH64" s="607"/>
      <c r="DJI64" s="607"/>
      <c r="DJJ64" s="607"/>
      <c r="DJK64" s="607"/>
      <c r="DJL64" s="607"/>
      <c r="DJM64" s="607"/>
      <c r="DJN64" s="607"/>
      <c r="DJO64" s="607"/>
      <c r="DJP64" s="607"/>
      <c r="DJQ64" s="607"/>
      <c r="DJR64" s="607"/>
      <c r="DJS64" s="607"/>
      <c r="DJT64" s="607"/>
      <c r="DJU64" s="607"/>
      <c r="DJV64" s="607"/>
      <c r="DJW64" s="607"/>
      <c r="DJX64" s="607"/>
      <c r="DJY64" s="607"/>
      <c r="DJZ64" s="607"/>
      <c r="DKA64" s="607"/>
      <c r="DKB64" s="607"/>
      <c r="DKC64" s="607"/>
      <c r="DKD64" s="607"/>
      <c r="DKE64" s="607"/>
      <c r="DKF64" s="607"/>
      <c r="DKG64" s="607"/>
      <c r="DKH64" s="607"/>
      <c r="DKI64" s="607"/>
      <c r="DKJ64" s="607"/>
      <c r="DKK64" s="607"/>
      <c r="DKL64" s="607"/>
      <c r="DKM64" s="607"/>
      <c r="DKN64" s="607"/>
      <c r="DKO64" s="607"/>
      <c r="DKP64" s="607"/>
      <c r="DKQ64" s="607"/>
      <c r="DKR64" s="607"/>
      <c r="DKS64" s="607"/>
      <c r="DKT64" s="607"/>
      <c r="DKU64" s="607"/>
      <c r="DKV64" s="607"/>
      <c r="DKW64" s="607"/>
      <c r="DKX64" s="607"/>
      <c r="DKY64" s="607"/>
      <c r="DKZ64" s="607"/>
      <c r="DLA64" s="607"/>
      <c r="DLB64" s="607"/>
      <c r="DLC64" s="607"/>
      <c r="DLD64" s="607"/>
      <c r="DLE64" s="607"/>
      <c r="DLF64" s="607"/>
      <c r="DLG64" s="607"/>
      <c r="DLH64" s="607"/>
      <c r="DLI64" s="607"/>
      <c r="DLJ64" s="607"/>
      <c r="DLK64" s="607"/>
      <c r="DLL64" s="607"/>
      <c r="DLM64" s="607"/>
      <c r="DLN64" s="607"/>
      <c r="DLO64" s="607"/>
      <c r="DLP64" s="607"/>
      <c r="DLQ64" s="607"/>
      <c r="DLR64" s="607"/>
      <c r="DLS64" s="607"/>
      <c r="DLT64" s="607"/>
      <c r="DLU64" s="607"/>
      <c r="DLV64" s="607"/>
      <c r="DLW64" s="607"/>
      <c r="DLX64" s="607"/>
      <c r="DLY64" s="607"/>
      <c r="DLZ64" s="607"/>
      <c r="DMA64" s="607"/>
      <c r="DMB64" s="607"/>
      <c r="DMC64" s="607"/>
      <c r="DMD64" s="607"/>
      <c r="DME64" s="607"/>
      <c r="DMF64" s="607"/>
      <c r="DMG64" s="607"/>
      <c r="DMH64" s="607"/>
      <c r="DMI64" s="607"/>
      <c r="DMJ64" s="607"/>
      <c r="DMK64" s="607"/>
      <c r="DML64" s="607"/>
      <c r="DMM64" s="607"/>
      <c r="DMN64" s="607"/>
      <c r="DMO64" s="607"/>
      <c r="DMP64" s="607"/>
      <c r="DMQ64" s="607"/>
      <c r="DMR64" s="607"/>
      <c r="DMS64" s="607"/>
      <c r="DMT64" s="607"/>
      <c r="DMU64" s="607"/>
      <c r="DMV64" s="607"/>
      <c r="DMW64" s="607"/>
      <c r="DMX64" s="607"/>
      <c r="DMY64" s="607"/>
      <c r="DMZ64" s="607"/>
      <c r="DNA64" s="607"/>
      <c r="DNB64" s="607"/>
      <c r="DNC64" s="607"/>
      <c r="DND64" s="607"/>
      <c r="DNE64" s="607"/>
      <c r="DNF64" s="607"/>
      <c r="DNG64" s="607"/>
      <c r="DNH64" s="607"/>
      <c r="DNI64" s="607"/>
      <c r="DNJ64" s="607"/>
      <c r="DNK64" s="607"/>
      <c r="DNL64" s="607"/>
      <c r="DNM64" s="607"/>
      <c r="DNN64" s="607"/>
      <c r="DNO64" s="607"/>
      <c r="DNP64" s="607"/>
      <c r="DNQ64" s="607"/>
      <c r="DNR64" s="607"/>
      <c r="DNS64" s="607"/>
      <c r="DNT64" s="607"/>
      <c r="DNU64" s="607"/>
      <c r="DNV64" s="607"/>
      <c r="DNW64" s="607"/>
      <c r="DNX64" s="607"/>
      <c r="DNY64" s="607"/>
      <c r="DNZ64" s="607"/>
      <c r="DOA64" s="607"/>
      <c r="DOB64" s="607"/>
      <c r="DOC64" s="607"/>
      <c r="DOD64" s="607"/>
      <c r="DOE64" s="607"/>
      <c r="DOF64" s="607"/>
      <c r="DOG64" s="607"/>
      <c r="DOH64" s="607"/>
      <c r="DOI64" s="607"/>
      <c r="DOJ64" s="607"/>
      <c r="DOK64" s="607"/>
      <c r="DOL64" s="607"/>
      <c r="DOM64" s="607"/>
      <c r="DON64" s="607"/>
      <c r="DOO64" s="607"/>
      <c r="DOP64" s="607"/>
      <c r="DOQ64" s="607"/>
      <c r="DOR64" s="607"/>
      <c r="DOS64" s="607"/>
      <c r="DOT64" s="607"/>
      <c r="DOU64" s="607"/>
      <c r="DOV64" s="607"/>
      <c r="DOW64" s="607"/>
      <c r="DOX64" s="607"/>
      <c r="DOY64" s="607"/>
      <c r="DOZ64" s="607"/>
      <c r="DPA64" s="607"/>
      <c r="DPB64" s="607"/>
      <c r="DPC64" s="607"/>
      <c r="DPD64" s="607"/>
      <c r="DPE64" s="607"/>
      <c r="DPF64" s="607"/>
      <c r="DPG64" s="607"/>
      <c r="DPH64" s="607"/>
      <c r="DPI64" s="607"/>
      <c r="DPJ64" s="607"/>
      <c r="DPK64" s="607"/>
      <c r="DPL64" s="607"/>
      <c r="DPM64" s="607"/>
      <c r="DPN64" s="607"/>
      <c r="DPO64" s="607"/>
      <c r="DPP64" s="607"/>
      <c r="DPQ64" s="607"/>
      <c r="DPR64" s="607"/>
      <c r="DPS64" s="607"/>
      <c r="DPT64" s="607"/>
      <c r="DPU64" s="607"/>
      <c r="DPV64" s="607"/>
      <c r="DPW64" s="607"/>
      <c r="DPX64" s="607"/>
      <c r="DPY64" s="607"/>
      <c r="DPZ64" s="607"/>
      <c r="DQA64" s="607"/>
      <c r="DQB64" s="607"/>
      <c r="DQC64" s="607"/>
      <c r="DQD64" s="607"/>
      <c r="DQE64" s="607"/>
      <c r="DQF64" s="607"/>
      <c r="DQG64" s="607"/>
      <c r="DQH64" s="607"/>
      <c r="DQI64" s="607"/>
      <c r="DQJ64" s="607"/>
      <c r="DQK64" s="607"/>
      <c r="DQL64" s="607"/>
      <c r="DQM64" s="607"/>
      <c r="DQN64" s="607"/>
      <c r="DQO64" s="607"/>
      <c r="DQP64" s="607"/>
      <c r="DQQ64" s="607"/>
      <c r="DQR64" s="607"/>
      <c r="DQS64" s="607"/>
      <c r="DQT64" s="607"/>
      <c r="DQU64" s="607"/>
      <c r="DQV64" s="607"/>
      <c r="DQW64" s="607"/>
      <c r="DQX64" s="607"/>
      <c r="DQY64" s="607"/>
      <c r="DQZ64" s="607"/>
      <c r="DRA64" s="607"/>
      <c r="DRB64" s="607"/>
      <c r="DRC64" s="607"/>
      <c r="DRD64" s="607"/>
      <c r="DRE64" s="607"/>
      <c r="DRF64" s="607"/>
      <c r="DRG64" s="607"/>
      <c r="DRH64" s="607"/>
      <c r="DRI64" s="607"/>
      <c r="DRJ64" s="607"/>
      <c r="DRK64" s="607"/>
      <c r="DRL64" s="607"/>
      <c r="DRM64" s="607"/>
      <c r="DRN64" s="607"/>
      <c r="DRO64" s="607"/>
      <c r="DRP64" s="607"/>
      <c r="DRQ64" s="607"/>
      <c r="DRR64" s="607"/>
      <c r="DRS64" s="607"/>
      <c r="DRT64" s="607"/>
      <c r="DRU64" s="607"/>
      <c r="DRV64" s="607"/>
      <c r="DRW64" s="607"/>
      <c r="DRX64" s="607"/>
      <c r="DRY64" s="607"/>
      <c r="DRZ64" s="607"/>
      <c r="DSA64" s="607"/>
      <c r="DSB64" s="607"/>
      <c r="DSC64" s="607"/>
      <c r="DSD64" s="607"/>
      <c r="DSE64" s="607"/>
      <c r="DSF64" s="607"/>
      <c r="DSG64" s="607"/>
      <c r="DSH64" s="607"/>
      <c r="DSI64" s="607"/>
      <c r="DSJ64" s="607"/>
      <c r="DSK64" s="607"/>
      <c r="DSL64" s="607"/>
      <c r="DSM64" s="607"/>
      <c r="DSN64" s="607"/>
      <c r="DSO64" s="607"/>
      <c r="DSP64" s="607"/>
      <c r="DSQ64" s="607"/>
      <c r="DSR64" s="607"/>
      <c r="DSS64" s="607"/>
      <c r="DST64" s="607"/>
      <c r="DSU64" s="607"/>
      <c r="DSV64" s="607"/>
      <c r="DSW64" s="607"/>
      <c r="DSX64" s="607"/>
      <c r="DSY64" s="607"/>
      <c r="DSZ64" s="607"/>
      <c r="DTA64" s="607"/>
      <c r="DTB64" s="607"/>
      <c r="DTC64" s="607"/>
      <c r="DTD64" s="607"/>
      <c r="DTE64" s="607"/>
      <c r="DTF64" s="607"/>
      <c r="DTG64" s="607"/>
      <c r="DTH64" s="607"/>
      <c r="DTI64" s="607"/>
      <c r="DTJ64" s="607"/>
      <c r="DTK64" s="607"/>
      <c r="DTL64" s="607"/>
      <c r="DTM64" s="607"/>
      <c r="DTN64" s="607"/>
      <c r="DTO64" s="607"/>
      <c r="DTP64" s="607"/>
      <c r="DTQ64" s="607"/>
      <c r="DTR64" s="607"/>
      <c r="DTS64" s="607"/>
      <c r="DTT64" s="607"/>
      <c r="DTU64" s="607"/>
      <c r="DTV64" s="607"/>
      <c r="DTW64" s="607"/>
      <c r="DTX64" s="607"/>
      <c r="DTY64" s="607"/>
      <c r="DTZ64" s="607"/>
      <c r="DUA64" s="607"/>
      <c r="DUB64" s="607"/>
      <c r="DUC64" s="607"/>
      <c r="DUD64" s="607"/>
      <c r="DUE64" s="607"/>
      <c r="DUF64" s="607"/>
      <c r="DUG64" s="607"/>
      <c r="DUH64" s="607"/>
      <c r="DUI64" s="607"/>
      <c r="DUJ64" s="607"/>
      <c r="DUK64" s="607"/>
      <c r="DUL64" s="607"/>
      <c r="DUM64" s="607"/>
      <c r="DUN64" s="607"/>
      <c r="DUO64" s="607"/>
      <c r="DUP64" s="607"/>
      <c r="DUQ64" s="607"/>
      <c r="DUR64" s="607"/>
      <c r="DUS64" s="607"/>
      <c r="DUT64" s="607"/>
      <c r="DUU64" s="607"/>
      <c r="DUV64" s="607"/>
      <c r="DUW64" s="607"/>
      <c r="DUX64" s="607"/>
      <c r="DUY64" s="607"/>
      <c r="DUZ64" s="607"/>
      <c r="DVA64" s="607"/>
      <c r="DVB64" s="607"/>
      <c r="DVC64" s="607"/>
      <c r="DVD64" s="607"/>
      <c r="DVE64" s="607"/>
      <c r="DVF64" s="607"/>
      <c r="DVG64" s="607"/>
      <c r="DVH64" s="607"/>
      <c r="DVI64" s="607"/>
      <c r="DVJ64" s="607"/>
      <c r="DVK64" s="607"/>
      <c r="DVL64" s="607"/>
      <c r="DVM64" s="607"/>
      <c r="DVN64" s="607"/>
      <c r="DVO64" s="607"/>
      <c r="DVP64" s="607"/>
      <c r="DVQ64" s="607"/>
      <c r="DVR64" s="607"/>
      <c r="DVS64" s="607"/>
      <c r="DVT64" s="607"/>
      <c r="DVU64" s="607"/>
      <c r="DVV64" s="607"/>
      <c r="DVW64" s="607"/>
      <c r="DVX64" s="607"/>
      <c r="DVY64" s="607"/>
      <c r="DVZ64" s="607"/>
      <c r="DWA64" s="607"/>
      <c r="DWB64" s="607"/>
      <c r="DWC64" s="607"/>
      <c r="DWD64" s="607"/>
      <c r="DWE64" s="607"/>
      <c r="DWF64" s="607"/>
      <c r="DWG64" s="607"/>
      <c r="DWH64" s="607"/>
      <c r="DWI64" s="607"/>
      <c r="DWJ64" s="607"/>
      <c r="DWK64" s="607"/>
      <c r="DWL64" s="607"/>
      <c r="DWM64" s="607"/>
      <c r="DWN64" s="607"/>
      <c r="DWO64" s="607"/>
      <c r="DWP64" s="607"/>
      <c r="DWQ64" s="607"/>
      <c r="DWR64" s="607"/>
      <c r="DWS64" s="607"/>
      <c r="DWT64" s="607"/>
      <c r="DWU64" s="607"/>
      <c r="DWV64" s="607"/>
      <c r="DWW64" s="607"/>
      <c r="DWX64" s="607"/>
      <c r="DWY64" s="607"/>
      <c r="DWZ64" s="607"/>
      <c r="DXA64" s="607"/>
      <c r="DXB64" s="607"/>
      <c r="DXC64" s="607"/>
      <c r="DXD64" s="607"/>
      <c r="DXE64" s="607"/>
      <c r="DXF64" s="607"/>
      <c r="DXG64" s="607"/>
      <c r="DXH64" s="607"/>
      <c r="DXI64" s="607"/>
      <c r="DXJ64" s="607"/>
      <c r="DXK64" s="607"/>
      <c r="DXL64" s="607"/>
      <c r="DXM64" s="607"/>
      <c r="DXN64" s="607"/>
      <c r="DXO64" s="607"/>
      <c r="DXP64" s="607"/>
      <c r="DXQ64" s="607"/>
      <c r="DXR64" s="607"/>
      <c r="DXS64" s="607"/>
      <c r="DXT64" s="607"/>
      <c r="DXU64" s="607"/>
      <c r="DXV64" s="607"/>
      <c r="DXW64" s="607"/>
      <c r="DXX64" s="607"/>
      <c r="DXY64" s="607"/>
      <c r="DXZ64" s="607"/>
      <c r="DYA64" s="607"/>
      <c r="DYB64" s="607"/>
      <c r="DYC64" s="607"/>
      <c r="DYD64" s="607"/>
      <c r="DYE64" s="607"/>
      <c r="DYF64" s="607"/>
      <c r="DYG64" s="607"/>
      <c r="DYH64" s="607"/>
      <c r="DYI64" s="607"/>
      <c r="DYJ64" s="607"/>
      <c r="DYK64" s="607"/>
      <c r="DYL64" s="607"/>
      <c r="DYM64" s="607"/>
      <c r="DYN64" s="607"/>
      <c r="DYO64" s="607"/>
      <c r="DYP64" s="607"/>
      <c r="DYQ64" s="607"/>
      <c r="DYR64" s="607"/>
      <c r="DYS64" s="607"/>
      <c r="DYT64" s="607"/>
      <c r="DYU64" s="607"/>
      <c r="DYV64" s="607"/>
      <c r="DYW64" s="607"/>
      <c r="DYX64" s="607"/>
      <c r="DYY64" s="607"/>
      <c r="DYZ64" s="607"/>
      <c r="DZA64" s="607"/>
      <c r="DZB64" s="607"/>
      <c r="DZC64" s="607"/>
      <c r="DZD64" s="607"/>
      <c r="DZE64" s="607"/>
      <c r="DZF64" s="607"/>
      <c r="DZG64" s="607"/>
      <c r="DZH64" s="607"/>
      <c r="DZI64" s="607"/>
      <c r="DZJ64" s="607"/>
      <c r="DZK64" s="607"/>
      <c r="DZL64" s="607"/>
      <c r="DZM64" s="607"/>
      <c r="DZN64" s="607"/>
      <c r="DZO64" s="607"/>
      <c r="DZP64" s="607"/>
      <c r="DZQ64" s="607"/>
      <c r="DZR64" s="607"/>
      <c r="DZS64" s="607"/>
      <c r="DZT64" s="607"/>
      <c r="DZU64" s="607"/>
      <c r="DZV64" s="607"/>
      <c r="DZW64" s="607"/>
      <c r="DZX64" s="607"/>
      <c r="DZY64" s="607"/>
      <c r="DZZ64" s="607"/>
      <c r="EAA64" s="607"/>
      <c r="EAB64" s="607"/>
      <c r="EAC64" s="607"/>
      <c r="EAD64" s="607"/>
      <c r="EAE64" s="607"/>
      <c r="EAF64" s="607"/>
      <c r="EAG64" s="607"/>
      <c r="EAH64" s="607"/>
      <c r="EAI64" s="607"/>
      <c r="EAJ64" s="607"/>
      <c r="EAK64" s="607"/>
      <c r="EAL64" s="607"/>
      <c r="EAM64" s="607"/>
      <c r="EAN64" s="607"/>
      <c r="EAO64" s="607"/>
      <c r="EAP64" s="607"/>
      <c r="EAQ64" s="607"/>
      <c r="EAR64" s="607"/>
      <c r="EAS64" s="607"/>
      <c r="EAT64" s="607"/>
      <c r="EAU64" s="607"/>
      <c r="EAV64" s="607"/>
      <c r="EAW64" s="607"/>
      <c r="EAX64" s="607"/>
      <c r="EAY64" s="607"/>
      <c r="EAZ64" s="607"/>
      <c r="EBA64" s="607"/>
      <c r="EBB64" s="607"/>
      <c r="EBC64" s="607"/>
      <c r="EBD64" s="607"/>
      <c r="EBE64" s="607"/>
      <c r="EBF64" s="607"/>
      <c r="EBG64" s="607"/>
      <c r="EBH64" s="607"/>
      <c r="EBI64" s="607"/>
      <c r="EBJ64" s="607"/>
      <c r="EBK64" s="607"/>
      <c r="EBL64" s="607"/>
      <c r="EBM64" s="607"/>
      <c r="EBN64" s="607"/>
      <c r="EBO64" s="607"/>
      <c r="EBP64" s="607"/>
      <c r="EBQ64" s="607"/>
      <c r="EBR64" s="607"/>
      <c r="EBS64" s="607"/>
      <c r="EBT64" s="607"/>
      <c r="EBU64" s="607"/>
      <c r="EBV64" s="607"/>
      <c r="EBW64" s="607"/>
      <c r="EBX64" s="607"/>
      <c r="EBY64" s="607"/>
      <c r="EBZ64" s="607"/>
      <c r="ECA64" s="607"/>
      <c r="ECB64" s="607"/>
      <c r="ECC64" s="607"/>
      <c r="ECD64" s="607"/>
      <c r="ECE64" s="607"/>
      <c r="ECF64" s="607"/>
      <c r="ECG64" s="607"/>
      <c r="ECH64" s="607"/>
      <c r="ECI64" s="607"/>
      <c r="ECJ64" s="607"/>
      <c r="ECK64" s="607"/>
      <c r="ECL64" s="607"/>
      <c r="ECM64" s="607"/>
      <c r="ECN64" s="607"/>
      <c r="ECO64" s="607"/>
      <c r="ECP64" s="607"/>
      <c r="ECQ64" s="607"/>
      <c r="ECR64" s="607"/>
      <c r="ECS64" s="607"/>
      <c r="ECT64" s="607"/>
      <c r="ECU64" s="607"/>
      <c r="ECV64" s="607"/>
      <c r="ECW64" s="607"/>
      <c r="ECX64" s="607"/>
      <c r="ECY64" s="607"/>
      <c r="ECZ64" s="607"/>
      <c r="EDA64" s="607"/>
      <c r="EDB64" s="607"/>
      <c r="EDC64" s="607"/>
      <c r="EDD64" s="607"/>
      <c r="EDE64" s="607"/>
      <c r="EDF64" s="607"/>
      <c r="EDG64" s="607"/>
      <c r="EDH64" s="607"/>
      <c r="EDI64" s="607"/>
      <c r="EDJ64" s="607"/>
      <c r="EDK64" s="607"/>
      <c r="EDL64" s="607"/>
      <c r="EDM64" s="607"/>
      <c r="EDN64" s="607"/>
      <c r="EDO64" s="607"/>
      <c r="EDP64" s="607"/>
      <c r="EDQ64" s="607"/>
      <c r="EDR64" s="607"/>
      <c r="EDS64" s="607"/>
      <c r="EDT64" s="607"/>
      <c r="EDU64" s="607"/>
      <c r="EDV64" s="607"/>
      <c r="EDW64" s="607"/>
      <c r="EDX64" s="607"/>
      <c r="EDY64" s="607"/>
      <c r="EDZ64" s="607"/>
      <c r="EEA64" s="607"/>
      <c r="EEB64" s="607"/>
      <c r="EEC64" s="607"/>
      <c r="EED64" s="607"/>
      <c r="EEE64" s="607"/>
      <c r="EEF64" s="607"/>
      <c r="EEG64" s="607"/>
      <c r="EEH64" s="607"/>
      <c r="EEI64" s="607"/>
      <c r="EEJ64" s="607"/>
      <c r="EEK64" s="607"/>
      <c r="EEL64" s="607"/>
      <c r="EEM64" s="607"/>
      <c r="EEN64" s="607"/>
      <c r="EEO64" s="607"/>
      <c r="EEP64" s="607"/>
      <c r="EEQ64" s="607"/>
      <c r="EER64" s="607"/>
      <c r="EES64" s="607"/>
      <c r="EET64" s="607"/>
      <c r="EEU64" s="607"/>
      <c r="EEV64" s="607"/>
      <c r="EEW64" s="607"/>
      <c r="EEX64" s="607"/>
      <c r="EEY64" s="607"/>
      <c r="EEZ64" s="607"/>
      <c r="EFA64" s="607"/>
      <c r="EFB64" s="607"/>
      <c r="EFC64" s="607"/>
      <c r="EFD64" s="607"/>
      <c r="EFE64" s="607"/>
      <c r="EFF64" s="607"/>
      <c r="EFG64" s="607"/>
      <c r="EFH64" s="607"/>
      <c r="EFI64" s="607"/>
      <c r="EFJ64" s="607"/>
      <c r="EFK64" s="607"/>
      <c r="EFL64" s="607"/>
      <c r="EFM64" s="607"/>
      <c r="EFN64" s="607"/>
      <c r="EFO64" s="607"/>
      <c r="EFP64" s="607"/>
      <c r="EFQ64" s="607"/>
      <c r="EFR64" s="607"/>
      <c r="EFS64" s="607"/>
      <c r="EFT64" s="607"/>
      <c r="EFU64" s="607"/>
      <c r="EFV64" s="607"/>
      <c r="EFW64" s="607"/>
      <c r="EFX64" s="607"/>
      <c r="EFY64" s="607"/>
      <c r="EFZ64" s="607"/>
      <c r="EGA64" s="607"/>
      <c r="EGB64" s="607"/>
      <c r="EGC64" s="607"/>
      <c r="EGD64" s="607"/>
      <c r="EGE64" s="607"/>
      <c r="EGF64" s="607"/>
      <c r="EGG64" s="607"/>
      <c r="EGH64" s="607"/>
      <c r="EGI64" s="607"/>
      <c r="EGJ64" s="607"/>
      <c r="EGK64" s="607"/>
      <c r="EGL64" s="607"/>
      <c r="EGM64" s="607"/>
      <c r="EGN64" s="607"/>
      <c r="EGO64" s="607"/>
      <c r="EGP64" s="607"/>
      <c r="EGQ64" s="607"/>
      <c r="EGR64" s="607"/>
      <c r="EGS64" s="607"/>
      <c r="EGT64" s="607"/>
      <c r="EGU64" s="607"/>
      <c r="EGV64" s="607"/>
      <c r="EGW64" s="607"/>
      <c r="EGX64" s="607"/>
      <c r="EGY64" s="607"/>
      <c r="EGZ64" s="607"/>
      <c r="EHA64" s="607"/>
      <c r="EHB64" s="607"/>
      <c r="EHC64" s="607"/>
      <c r="EHD64" s="607"/>
      <c r="EHE64" s="607"/>
      <c r="EHF64" s="607"/>
      <c r="EHG64" s="607"/>
      <c r="EHH64" s="607"/>
      <c r="EHI64" s="607"/>
      <c r="EHJ64" s="607"/>
      <c r="EHK64" s="607"/>
      <c r="EHL64" s="607"/>
      <c r="EHM64" s="607"/>
      <c r="EHN64" s="607"/>
      <c r="EHO64" s="607"/>
      <c r="EHP64" s="607"/>
      <c r="EHQ64" s="607"/>
      <c r="EHR64" s="607"/>
      <c r="EHS64" s="607"/>
      <c r="EHT64" s="607"/>
      <c r="EHU64" s="607"/>
      <c r="EHV64" s="607"/>
      <c r="EHW64" s="607"/>
      <c r="EHX64" s="607"/>
      <c r="EHY64" s="607"/>
      <c r="EHZ64" s="607"/>
      <c r="EIA64" s="607"/>
      <c r="EIB64" s="607"/>
      <c r="EIC64" s="607"/>
      <c r="EID64" s="607"/>
      <c r="EIE64" s="607"/>
      <c r="EIF64" s="607"/>
      <c r="EIG64" s="607"/>
      <c r="EIH64" s="607"/>
      <c r="EII64" s="607"/>
      <c r="EIJ64" s="607"/>
      <c r="EIK64" s="607"/>
      <c r="EIL64" s="607"/>
      <c r="EIM64" s="607"/>
      <c r="EIN64" s="607"/>
      <c r="EIO64" s="607"/>
      <c r="EIP64" s="607"/>
      <c r="EIQ64" s="607"/>
      <c r="EIR64" s="607"/>
      <c r="EIS64" s="607"/>
      <c r="EIT64" s="607"/>
      <c r="EIU64" s="607"/>
      <c r="EIV64" s="607"/>
      <c r="EIW64" s="607"/>
      <c r="EIX64" s="607"/>
      <c r="EIY64" s="607"/>
      <c r="EIZ64" s="607"/>
      <c r="EJA64" s="607"/>
      <c r="EJB64" s="607"/>
      <c r="EJC64" s="607"/>
      <c r="EJD64" s="607"/>
      <c r="EJE64" s="607"/>
      <c r="EJF64" s="607"/>
      <c r="EJG64" s="607"/>
      <c r="EJH64" s="607"/>
      <c r="EJI64" s="607"/>
      <c r="EJJ64" s="607"/>
      <c r="EJK64" s="607"/>
      <c r="EJL64" s="607"/>
      <c r="EJM64" s="607"/>
      <c r="EJN64" s="607"/>
      <c r="EJO64" s="607"/>
      <c r="EJP64" s="607"/>
      <c r="EJQ64" s="607"/>
      <c r="EJR64" s="607"/>
      <c r="EJS64" s="607"/>
      <c r="EJT64" s="607"/>
      <c r="EJU64" s="607"/>
      <c r="EJV64" s="607"/>
      <c r="EJW64" s="607"/>
      <c r="EJX64" s="607"/>
      <c r="EJY64" s="607"/>
      <c r="EJZ64" s="607"/>
      <c r="EKA64" s="607"/>
      <c r="EKB64" s="607"/>
      <c r="EKC64" s="607"/>
      <c r="EKD64" s="607"/>
      <c r="EKE64" s="607"/>
      <c r="EKF64" s="607"/>
      <c r="EKG64" s="607"/>
      <c r="EKH64" s="607"/>
      <c r="EKI64" s="607"/>
      <c r="EKJ64" s="607"/>
      <c r="EKK64" s="607"/>
      <c r="EKL64" s="607"/>
      <c r="EKM64" s="607"/>
      <c r="EKN64" s="607"/>
      <c r="EKO64" s="607"/>
      <c r="EKP64" s="607"/>
      <c r="EKQ64" s="607"/>
      <c r="EKR64" s="607"/>
      <c r="EKS64" s="607"/>
      <c r="EKT64" s="607"/>
      <c r="EKU64" s="607"/>
      <c r="EKV64" s="607"/>
      <c r="EKW64" s="607"/>
      <c r="EKX64" s="607"/>
      <c r="EKY64" s="607"/>
      <c r="EKZ64" s="607"/>
      <c r="ELA64" s="607"/>
      <c r="ELB64" s="607"/>
      <c r="ELC64" s="607"/>
      <c r="ELD64" s="607"/>
      <c r="ELE64" s="607"/>
      <c r="ELF64" s="607"/>
      <c r="ELG64" s="607"/>
      <c r="ELH64" s="607"/>
      <c r="ELI64" s="607"/>
      <c r="ELJ64" s="607"/>
      <c r="ELK64" s="607"/>
      <c r="ELL64" s="607"/>
      <c r="ELM64" s="607"/>
      <c r="ELN64" s="607"/>
      <c r="ELO64" s="607"/>
      <c r="ELP64" s="607"/>
      <c r="ELQ64" s="607"/>
      <c r="ELR64" s="607"/>
      <c r="ELS64" s="607"/>
      <c r="ELT64" s="607"/>
      <c r="ELU64" s="607"/>
      <c r="ELV64" s="607"/>
      <c r="ELW64" s="607"/>
      <c r="ELX64" s="607"/>
      <c r="ELY64" s="607"/>
      <c r="ELZ64" s="607"/>
      <c r="EMA64" s="607"/>
      <c r="EMB64" s="607"/>
      <c r="EMC64" s="607"/>
      <c r="EMD64" s="607"/>
      <c r="EME64" s="607"/>
      <c r="EMF64" s="607"/>
      <c r="EMG64" s="607"/>
      <c r="EMH64" s="607"/>
      <c r="EMI64" s="607"/>
      <c r="EMJ64" s="607"/>
      <c r="EMK64" s="607"/>
      <c r="EML64" s="607"/>
      <c r="EMM64" s="607"/>
      <c r="EMN64" s="607"/>
      <c r="EMO64" s="607"/>
      <c r="EMP64" s="607"/>
      <c r="EMQ64" s="607"/>
      <c r="EMR64" s="607"/>
      <c r="EMS64" s="607"/>
      <c r="EMT64" s="607"/>
      <c r="EMU64" s="607"/>
      <c r="EMV64" s="607"/>
      <c r="EMW64" s="607"/>
      <c r="EMX64" s="607"/>
      <c r="EMY64" s="607"/>
      <c r="EMZ64" s="607"/>
      <c r="ENA64" s="607"/>
      <c r="ENB64" s="607"/>
      <c r="ENC64" s="607"/>
      <c r="END64" s="607"/>
      <c r="ENE64" s="607"/>
      <c r="ENF64" s="607"/>
      <c r="ENG64" s="607"/>
      <c r="ENH64" s="607"/>
      <c r="ENI64" s="607"/>
      <c r="ENJ64" s="607"/>
      <c r="ENK64" s="607"/>
      <c r="ENL64" s="607"/>
      <c r="ENM64" s="607"/>
      <c r="ENN64" s="607"/>
      <c r="ENO64" s="607"/>
      <c r="ENP64" s="607"/>
      <c r="ENQ64" s="607"/>
      <c r="ENR64" s="607"/>
      <c r="ENS64" s="607"/>
      <c r="ENT64" s="607"/>
      <c r="ENU64" s="607"/>
      <c r="ENV64" s="607"/>
      <c r="ENW64" s="607"/>
      <c r="ENX64" s="607"/>
      <c r="ENY64" s="607"/>
      <c r="ENZ64" s="607"/>
      <c r="EOA64" s="607"/>
      <c r="EOB64" s="607"/>
      <c r="EOC64" s="607"/>
      <c r="EOD64" s="607"/>
      <c r="EOE64" s="607"/>
      <c r="EOF64" s="607"/>
      <c r="EOG64" s="607"/>
      <c r="EOH64" s="607"/>
      <c r="EOI64" s="607"/>
      <c r="EOJ64" s="607"/>
      <c r="EOK64" s="607"/>
      <c r="EOL64" s="607"/>
      <c r="EOM64" s="607"/>
      <c r="EON64" s="607"/>
      <c r="EOO64" s="607"/>
      <c r="EOP64" s="607"/>
      <c r="EOQ64" s="607"/>
      <c r="EOR64" s="607"/>
      <c r="EOS64" s="607"/>
      <c r="EOT64" s="607"/>
      <c r="EOU64" s="607"/>
      <c r="EOV64" s="607"/>
      <c r="EOW64" s="607"/>
      <c r="EOX64" s="607"/>
      <c r="EOY64" s="607"/>
      <c r="EOZ64" s="607"/>
      <c r="EPA64" s="607"/>
      <c r="EPB64" s="607"/>
      <c r="EPC64" s="607"/>
      <c r="EPD64" s="607"/>
      <c r="EPE64" s="607"/>
      <c r="EPF64" s="607"/>
      <c r="EPG64" s="607"/>
      <c r="EPH64" s="607"/>
      <c r="EPI64" s="607"/>
      <c r="EPJ64" s="607"/>
      <c r="EPK64" s="607"/>
      <c r="EPL64" s="607"/>
      <c r="EPM64" s="607"/>
      <c r="EPN64" s="607"/>
      <c r="EPO64" s="607"/>
      <c r="EPP64" s="607"/>
      <c r="EPQ64" s="607"/>
      <c r="EPR64" s="607"/>
      <c r="EPS64" s="607"/>
      <c r="EPT64" s="607"/>
      <c r="EPU64" s="607"/>
      <c r="EPV64" s="607"/>
      <c r="EPW64" s="607"/>
      <c r="EPX64" s="607"/>
      <c r="EPY64" s="607"/>
      <c r="EPZ64" s="607"/>
      <c r="EQA64" s="607"/>
      <c r="EQB64" s="607"/>
      <c r="EQC64" s="607"/>
      <c r="EQD64" s="607"/>
      <c r="EQE64" s="607"/>
      <c r="EQF64" s="607"/>
      <c r="EQG64" s="607"/>
      <c r="EQH64" s="607"/>
      <c r="EQI64" s="607"/>
      <c r="EQJ64" s="607"/>
      <c r="EQK64" s="607"/>
      <c r="EQL64" s="607"/>
      <c r="EQM64" s="607"/>
      <c r="EQN64" s="607"/>
      <c r="EQO64" s="607"/>
      <c r="EQP64" s="607"/>
      <c r="EQQ64" s="607"/>
      <c r="EQR64" s="607"/>
      <c r="EQS64" s="607"/>
      <c r="EQT64" s="607"/>
      <c r="EQU64" s="607"/>
      <c r="EQV64" s="607"/>
      <c r="EQW64" s="607"/>
      <c r="EQX64" s="607"/>
      <c r="EQY64" s="607"/>
      <c r="EQZ64" s="607"/>
      <c r="ERA64" s="607"/>
      <c r="ERB64" s="607"/>
      <c r="ERC64" s="607"/>
      <c r="ERD64" s="607"/>
      <c r="ERE64" s="607"/>
      <c r="ERF64" s="607"/>
      <c r="ERG64" s="607"/>
      <c r="ERH64" s="607"/>
      <c r="ERI64" s="607"/>
      <c r="ERJ64" s="607"/>
      <c r="ERK64" s="607"/>
      <c r="ERL64" s="607"/>
      <c r="ERM64" s="607"/>
      <c r="ERN64" s="607"/>
      <c r="ERO64" s="607"/>
      <c r="ERP64" s="607"/>
      <c r="ERQ64" s="607"/>
      <c r="ERR64" s="607"/>
      <c r="ERS64" s="607"/>
      <c r="ERT64" s="607"/>
      <c r="ERU64" s="607"/>
      <c r="ERV64" s="607"/>
      <c r="ERW64" s="607"/>
      <c r="ERX64" s="607"/>
      <c r="ERY64" s="607"/>
      <c r="ERZ64" s="607"/>
      <c r="ESA64" s="607"/>
      <c r="ESB64" s="607"/>
      <c r="ESC64" s="607"/>
      <c r="ESD64" s="607"/>
      <c r="ESE64" s="607"/>
      <c r="ESF64" s="607"/>
      <c r="ESG64" s="607"/>
      <c r="ESH64" s="607"/>
      <c r="ESI64" s="607"/>
      <c r="ESJ64" s="607"/>
      <c r="ESK64" s="607"/>
      <c r="ESL64" s="607"/>
      <c r="ESM64" s="607"/>
      <c r="ESN64" s="607"/>
      <c r="ESO64" s="607"/>
      <c r="ESP64" s="607"/>
      <c r="ESQ64" s="607"/>
      <c r="ESR64" s="607"/>
      <c r="ESS64" s="607"/>
      <c r="EST64" s="607"/>
      <c r="ESU64" s="607"/>
      <c r="ESV64" s="607"/>
      <c r="ESW64" s="607"/>
      <c r="ESX64" s="607"/>
      <c r="ESY64" s="607"/>
      <c r="ESZ64" s="607"/>
      <c r="ETA64" s="607"/>
      <c r="ETB64" s="607"/>
      <c r="ETC64" s="607"/>
      <c r="ETD64" s="607"/>
      <c r="ETE64" s="607"/>
      <c r="ETF64" s="607"/>
      <c r="ETG64" s="607"/>
      <c r="ETH64" s="607"/>
      <c r="ETI64" s="607"/>
      <c r="ETJ64" s="607"/>
      <c r="ETK64" s="607"/>
      <c r="ETL64" s="607"/>
      <c r="ETM64" s="607"/>
      <c r="ETN64" s="607"/>
      <c r="ETO64" s="607"/>
      <c r="ETP64" s="607"/>
      <c r="ETQ64" s="607"/>
      <c r="ETR64" s="607"/>
      <c r="ETS64" s="607"/>
      <c r="ETT64" s="607"/>
      <c r="ETU64" s="607"/>
      <c r="ETV64" s="607"/>
      <c r="ETW64" s="607"/>
      <c r="ETX64" s="607"/>
      <c r="ETY64" s="607"/>
      <c r="ETZ64" s="607"/>
      <c r="EUA64" s="607"/>
      <c r="EUB64" s="607"/>
      <c r="EUC64" s="607"/>
      <c r="EUD64" s="607"/>
      <c r="EUE64" s="607"/>
      <c r="EUF64" s="607"/>
      <c r="EUG64" s="607"/>
      <c r="EUH64" s="607"/>
      <c r="EUI64" s="607"/>
      <c r="EUJ64" s="607"/>
      <c r="EUK64" s="607"/>
      <c r="EUL64" s="607"/>
      <c r="EUM64" s="607"/>
      <c r="EUN64" s="607"/>
      <c r="EUO64" s="607"/>
      <c r="EUP64" s="607"/>
      <c r="EUQ64" s="607"/>
      <c r="EUR64" s="607"/>
      <c r="EUS64" s="607"/>
      <c r="EUT64" s="607"/>
      <c r="EUU64" s="607"/>
      <c r="EUV64" s="607"/>
      <c r="EUW64" s="607"/>
      <c r="EUX64" s="607"/>
      <c r="EUY64" s="607"/>
      <c r="EUZ64" s="607"/>
      <c r="EVA64" s="607"/>
      <c r="EVB64" s="607"/>
      <c r="EVC64" s="607"/>
      <c r="EVD64" s="607"/>
      <c r="EVE64" s="607"/>
      <c r="EVF64" s="607"/>
      <c r="EVG64" s="607"/>
      <c r="EVH64" s="607"/>
      <c r="EVI64" s="607"/>
      <c r="EVJ64" s="607"/>
      <c r="EVK64" s="607"/>
      <c r="EVL64" s="607"/>
      <c r="EVM64" s="607"/>
      <c r="EVN64" s="607"/>
      <c r="EVO64" s="607"/>
      <c r="EVP64" s="607"/>
      <c r="EVQ64" s="607"/>
      <c r="EVR64" s="607"/>
      <c r="EVS64" s="607"/>
      <c r="EVT64" s="607"/>
      <c r="EVU64" s="607"/>
      <c r="EVV64" s="607"/>
      <c r="EVW64" s="607"/>
      <c r="EVX64" s="607"/>
      <c r="EVY64" s="607"/>
      <c r="EVZ64" s="607"/>
      <c r="EWA64" s="607"/>
      <c r="EWB64" s="607"/>
      <c r="EWC64" s="607"/>
      <c r="EWD64" s="607"/>
      <c r="EWE64" s="607"/>
      <c r="EWF64" s="607"/>
      <c r="EWG64" s="607"/>
      <c r="EWH64" s="607"/>
      <c r="EWI64" s="607"/>
      <c r="EWJ64" s="607"/>
      <c r="EWK64" s="607"/>
      <c r="EWL64" s="607"/>
      <c r="EWM64" s="607"/>
      <c r="EWN64" s="607"/>
      <c r="EWO64" s="607"/>
      <c r="EWP64" s="607"/>
      <c r="EWQ64" s="607"/>
      <c r="EWR64" s="607"/>
      <c r="EWS64" s="607"/>
      <c r="EWT64" s="607"/>
      <c r="EWU64" s="607"/>
      <c r="EWV64" s="607"/>
      <c r="EWW64" s="607"/>
      <c r="EWX64" s="607"/>
      <c r="EWY64" s="607"/>
      <c r="EWZ64" s="607"/>
      <c r="EXA64" s="607"/>
      <c r="EXB64" s="607"/>
      <c r="EXC64" s="607"/>
      <c r="EXD64" s="607"/>
      <c r="EXE64" s="607"/>
      <c r="EXF64" s="607"/>
      <c r="EXG64" s="607"/>
      <c r="EXH64" s="607"/>
      <c r="EXI64" s="607"/>
      <c r="EXJ64" s="607"/>
      <c r="EXK64" s="607"/>
      <c r="EXL64" s="607"/>
      <c r="EXM64" s="607"/>
      <c r="EXN64" s="607"/>
      <c r="EXO64" s="607"/>
      <c r="EXP64" s="607"/>
      <c r="EXQ64" s="607"/>
      <c r="EXR64" s="607"/>
      <c r="EXS64" s="607"/>
      <c r="EXT64" s="607"/>
      <c r="EXU64" s="607"/>
      <c r="EXV64" s="607"/>
      <c r="EXW64" s="607"/>
      <c r="EXX64" s="607"/>
      <c r="EXY64" s="607"/>
      <c r="EXZ64" s="607"/>
      <c r="EYA64" s="607"/>
      <c r="EYB64" s="607"/>
      <c r="EYC64" s="607"/>
      <c r="EYD64" s="607"/>
      <c r="EYE64" s="607"/>
      <c r="EYF64" s="607"/>
      <c r="EYG64" s="607"/>
      <c r="EYH64" s="607"/>
      <c r="EYI64" s="607"/>
      <c r="EYJ64" s="607"/>
      <c r="EYK64" s="607"/>
      <c r="EYL64" s="607"/>
      <c r="EYM64" s="607"/>
      <c r="EYN64" s="607"/>
      <c r="EYO64" s="607"/>
      <c r="EYP64" s="607"/>
      <c r="EYQ64" s="607"/>
      <c r="EYR64" s="607"/>
      <c r="EYS64" s="607"/>
      <c r="EYT64" s="607"/>
      <c r="EYU64" s="607"/>
      <c r="EYV64" s="607"/>
      <c r="EYW64" s="607"/>
      <c r="EYX64" s="607"/>
      <c r="EYY64" s="607"/>
      <c r="EYZ64" s="607"/>
      <c r="EZA64" s="607"/>
      <c r="EZB64" s="607"/>
      <c r="EZC64" s="607"/>
      <c r="EZD64" s="607"/>
      <c r="EZE64" s="607"/>
      <c r="EZF64" s="607"/>
      <c r="EZG64" s="607"/>
      <c r="EZH64" s="607"/>
      <c r="EZI64" s="607"/>
      <c r="EZJ64" s="607"/>
      <c r="EZK64" s="607"/>
      <c r="EZL64" s="607"/>
      <c r="EZM64" s="607"/>
      <c r="EZN64" s="607"/>
      <c r="EZO64" s="607"/>
      <c r="EZP64" s="607"/>
      <c r="EZQ64" s="607"/>
      <c r="EZR64" s="607"/>
      <c r="EZS64" s="607"/>
      <c r="EZT64" s="607"/>
      <c r="EZU64" s="607"/>
      <c r="EZV64" s="607"/>
      <c r="EZW64" s="607"/>
      <c r="EZX64" s="607"/>
      <c r="EZY64" s="607"/>
      <c r="EZZ64" s="607"/>
      <c r="FAA64" s="607"/>
      <c r="FAB64" s="607"/>
      <c r="FAC64" s="607"/>
      <c r="FAD64" s="607"/>
      <c r="FAE64" s="607"/>
      <c r="FAF64" s="607"/>
      <c r="FAG64" s="607"/>
      <c r="FAH64" s="607"/>
      <c r="FAI64" s="607"/>
      <c r="FAJ64" s="607"/>
      <c r="FAK64" s="607"/>
      <c r="FAL64" s="607"/>
      <c r="FAM64" s="607"/>
      <c r="FAN64" s="607"/>
      <c r="FAO64" s="607"/>
      <c r="FAP64" s="607"/>
      <c r="FAQ64" s="607"/>
      <c r="FAR64" s="607"/>
      <c r="FAS64" s="607"/>
      <c r="FAT64" s="607"/>
      <c r="FAU64" s="607"/>
      <c r="FAV64" s="607"/>
      <c r="FAW64" s="607"/>
      <c r="FAX64" s="607"/>
      <c r="FAY64" s="607"/>
      <c r="FAZ64" s="607"/>
      <c r="FBA64" s="607"/>
      <c r="FBB64" s="607"/>
      <c r="FBC64" s="607"/>
      <c r="FBD64" s="607"/>
      <c r="FBE64" s="607"/>
      <c r="FBF64" s="607"/>
      <c r="FBG64" s="607"/>
      <c r="FBH64" s="607"/>
      <c r="FBI64" s="607"/>
      <c r="FBJ64" s="607"/>
      <c r="FBK64" s="607"/>
      <c r="FBL64" s="607"/>
      <c r="FBM64" s="607"/>
      <c r="FBN64" s="607"/>
      <c r="FBO64" s="607"/>
      <c r="FBP64" s="607"/>
      <c r="FBQ64" s="607"/>
      <c r="FBR64" s="607"/>
      <c r="FBS64" s="607"/>
      <c r="FBT64" s="607"/>
      <c r="FBU64" s="607"/>
      <c r="FBV64" s="607"/>
      <c r="FBW64" s="607"/>
      <c r="FBX64" s="607"/>
      <c r="FBY64" s="607"/>
      <c r="FBZ64" s="607"/>
      <c r="FCA64" s="607"/>
      <c r="FCB64" s="607"/>
      <c r="FCC64" s="607"/>
      <c r="FCD64" s="607"/>
      <c r="FCE64" s="607"/>
      <c r="FCF64" s="607"/>
      <c r="FCG64" s="607"/>
      <c r="FCH64" s="607"/>
      <c r="FCI64" s="607"/>
      <c r="FCJ64" s="607"/>
      <c r="FCK64" s="607"/>
      <c r="FCL64" s="607"/>
      <c r="FCM64" s="607"/>
      <c r="FCN64" s="607"/>
      <c r="FCO64" s="607"/>
      <c r="FCP64" s="607"/>
      <c r="FCQ64" s="607"/>
      <c r="FCR64" s="607"/>
      <c r="FCS64" s="607"/>
      <c r="FCT64" s="607"/>
      <c r="FCU64" s="607"/>
      <c r="FCV64" s="607"/>
      <c r="FCW64" s="607"/>
      <c r="FCX64" s="607"/>
      <c r="FCY64" s="607"/>
      <c r="FCZ64" s="607"/>
      <c r="FDA64" s="607"/>
      <c r="FDB64" s="607"/>
      <c r="FDC64" s="607"/>
      <c r="FDD64" s="607"/>
      <c r="FDE64" s="607"/>
      <c r="FDF64" s="607"/>
      <c r="FDG64" s="607"/>
      <c r="FDH64" s="607"/>
      <c r="FDI64" s="607"/>
      <c r="FDJ64" s="607"/>
      <c r="FDK64" s="607"/>
      <c r="FDL64" s="607"/>
      <c r="FDM64" s="607"/>
      <c r="FDN64" s="607"/>
      <c r="FDO64" s="607"/>
      <c r="FDP64" s="607"/>
      <c r="FDQ64" s="607"/>
      <c r="FDR64" s="607"/>
      <c r="FDS64" s="607"/>
      <c r="FDT64" s="607"/>
      <c r="FDU64" s="607"/>
      <c r="FDV64" s="607"/>
      <c r="FDW64" s="607"/>
      <c r="FDX64" s="607"/>
      <c r="FDY64" s="607"/>
      <c r="FDZ64" s="607"/>
      <c r="FEA64" s="607"/>
      <c r="FEB64" s="607"/>
      <c r="FEC64" s="607"/>
      <c r="FED64" s="607"/>
      <c r="FEE64" s="607"/>
      <c r="FEF64" s="607"/>
      <c r="FEG64" s="607"/>
      <c r="FEH64" s="607"/>
      <c r="FEI64" s="607"/>
      <c r="FEJ64" s="607"/>
      <c r="FEK64" s="607"/>
      <c r="FEL64" s="607"/>
      <c r="FEM64" s="607"/>
      <c r="FEN64" s="607"/>
      <c r="FEO64" s="607"/>
      <c r="FEP64" s="607"/>
      <c r="FEQ64" s="607"/>
      <c r="FER64" s="607"/>
      <c r="FES64" s="607"/>
      <c r="FET64" s="607"/>
      <c r="FEU64" s="607"/>
      <c r="FEV64" s="607"/>
      <c r="FEW64" s="607"/>
      <c r="FEX64" s="607"/>
      <c r="FEY64" s="607"/>
      <c r="FEZ64" s="607"/>
      <c r="FFA64" s="607"/>
      <c r="FFB64" s="607"/>
      <c r="FFC64" s="607"/>
      <c r="FFD64" s="607"/>
      <c r="FFE64" s="607"/>
      <c r="FFF64" s="607"/>
      <c r="FFG64" s="607"/>
      <c r="FFH64" s="607"/>
      <c r="FFI64" s="607"/>
      <c r="FFJ64" s="607"/>
      <c r="FFK64" s="607"/>
      <c r="FFL64" s="607"/>
      <c r="FFM64" s="607"/>
      <c r="FFN64" s="607"/>
      <c r="FFO64" s="607"/>
      <c r="FFP64" s="607"/>
      <c r="FFQ64" s="607"/>
      <c r="FFR64" s="607"/>
      <c r="FFS64" s="607"/>
      <c r="FFT64" s="607"/>
      <c r="FFU64" s="607"/>
      <c r="FFV64" s="607"/>
      <c r="FFW64" s="607"/>
      <c r="FFX64" s="607"/>
      <c r="FFY64" s="607"/>
      <c r="FFZ64" s="607"/>
      <c r="FGA64" s="607"/>
      <c r="FGB64" s="607"/>
      <c r="FGC64" s="607"/>
      <c r="FGD64" s="607"/>
      <c r="FGE64" s="607"/>
      <c r="FGF64" s="607"/>
      <c r="FGG64" s="607"/>
      <c r="FGH64" s="607"/>
      <c r="FGI64" s="607"/>
      <c r="FGJ64" s="607"/>
      <c r="FGK64" s="607"/>
      <c r="FGL64" s="607"/>
      <c r="FGM64" s="607"/>
      <c r="FGN64" s="607"/>
      <c r="FGO64" s="607"/>
      <c r="FGP64" s="607"/>
      <c r="FGQ64" s="607"/>
      <c r="FGR64" s="607"/>
      <c r="FGS64" s="607"/>
      <c r="FGT64" s="607"/>
      <c r="FGU64" s="607"/>
      <c r="FGV64" s="607"/>
      <c r="FGW64" s="607"/>
      <c r="FGX64" s="607"/>
      <c r="FGY64" s="607"/>
      <c r="FGZ64" s="607"/>
      <c r="FHA64" s="607"/>
      <c r="FHB64" s="607"/>
      <c r="FHC64" s="607"/>
      <c r="FHD64" s="607"/>
      <c r="FHE64" s="607"/>
      <c r="FHF64" s="607"/>
      <c r="FHG64" s="607"/>
      <c r="FHH64" s="607"/>
      <c r="FHI64" s="607"/>
      <c r="FHJ64" s="607"/>
      <c r="FHK64" s="607"/>
      <c r="FHL64" s="607"/>
      <c r="FHM64" s="607"/>
      <c r="FHN64" s="607"/>
      <c r="FHO64" s="607"/>
      <c r="FHP64" s="607"/>
      <c r="FHQ64" s="607"/>
      <c r="FHR64" s="607"/>
      <c r="FHS64" s="607"/>
      <c r="FHT64" s="607"/>
      <c r="FHU64" s="607"/>
      <c r="FHV64" s="607"/>
      <c r="FHW64" s="607"/>
      <c r="FHX64" s="607"/>
      <c r="FHY64" s="607"/>
      <c r="FHZ64" s="607"/>
      <c r="FIA64" s="607"/>
      <c r="FIB64" s="607"/>
      <c r="FIC64" s="607"/>
      <c r="FID64" s="607"/>
      <c r="FIE64" s="607"/>
      <c r="FIF64" s="607"/>
      <c r="FIG64" s="607"/>
      <c r="FIH64" s="607"/>
      <c r="FII64" s="607"/>
      <c r="FIJ64" s="607"/>
      <c r="FIK64" s="607"/>
      <c r="FIL64" s="607"/>
      <c r="FIM64" s="607"/>
      <c r="FIN64" s="607"/>
      <c r="FIO64" s="607"/>
      <c r="FIP64" s="607"/>
      <c r="FIQ64" s="607"/>
      <c r="FIR64" s="607"/>
      <c r="FIS64" s="607"/>
      <c r="FIT64" s="607"/>
      <c r="FIU64" s="607"/>
      <c r="FIV64" s="607"/>
      <c r="FIW64" s="607"/>
      <c r="FIX64" s="607"/>
      <c r="FIY64" s="607"/>
      <c r="FIZ64" s="607"/>
      <c r="FJA64" s="607"/>
      <c r="FJB64" s="607"/>
      <c r="FJC64" s="607"/>
      <c r="FJD64" s="607"/>
      <c r="FJE64" s="607"/>
      <c r="FJF64" s="607"/>
      <c r="FJG64" s="607"/>
      <c r="FJH64" s="607"/>
      <c r="FJI64" s="607"/>
      <c r="FJJ64" s="607"/>
      <c r="FJK64" s="607"/>
      <c r="FJL64" s="607"/>
      <c r="FJM64" s="607"/>
      <c r="FJN64" s="607"/>
      <c r="FJO64" s="607"/>
      <c r="FJP64" s="607"/>
      <c r="FJQ64" s="607"/>
      <c r="FJR64" s="607"/>
      <c r="FJS64" s="607"/>
      <c r="FJT64" s="607"/>
      <c r="FJU64" s="607"/>
      <c r="FJV64" s="607"/>
      <c r="FJW64" s="607"/>
      <c r="FJX64" s="607"/>
      <c r="FJY64" s="607"/>
      <c r="FJZ64" s="607"/>
      <c r="FKA64" s="607"/>
      <c r="FKB64" s="607"/>
      <c r="FKC64" s="607"/>
      <c r="FKD64" s="607"/>
      <c r="FKE64" s="607"/>
      <c r="FKF64" s="607"/>
      <c r="FKG64" s="607"/>
      <c r="FKH64" s="607"/>
      <c r="FKI64" s="607"/>
      <c r="FKJ64" s="607"/>
      <c r="FKK64" s="607"/>
      <c r="FKL64" s="607"/>
      <c r="FKM64" s="607"/>
      <c r="FKN64" s="607"/>
      <c r="FKO64" s="607"/>
      <c r="FKP64" s="607"/>
      <c r="FKQ64" s="607"/>
      <c r="FKR64" s="607"/>
      <c r="FKS64" s="607"/>
      <c r="FKT64" s="607"/>
      <c r="FKU64" s="607"/>
      <c r="FKV64" s="607"/>
      <c r="FKW64" s="607"/>
      <c r="FKX64" s="607"/>
      <c r="FKY64" s="607"/>
      <c r="FKZ64" s="607"/>
      <c r="FLA64" s="607"/>
      <c r="FLB64" s="607"/>
      <c r="FLC64" s="607"/>
      <c r="FLD64" s="607"/>
      <c r="FLE64" s="607"/>
      <c r="FLF64" s="607"/>
      <c r="FLG64" s="607"/>
      <c r="FLH64" s="607"/>
      <c r="FLI64" s="607"/>
      <c r="FLJ64" s="607"/>
      <c r="FLK64" s="607"/>
      <c r="FLL64" s="607"/>
      <c r="FLM64" s="607"/>
      <c r="FLN64" s="607"/>
      <c r="FLO64" s="607"/>
      <c r="FLP64" s="607"/>
      <c r="FLQ64" s="607"/>
      <c r="FLR64" s="607"/>
      <c r="FLS64" s="607"/>
      <c r="FLT64" s="607"/>
      <c r="FLU64" s="607"/>
      <c r="FLV64" s="607"/>
      <c r="FLW64" s="607"/>
      <c r="FLX64" s="607"/>
      <c r="FLY64" s="607"/>
      <c r="FLZ64" s="607"/>
      <c r="FMA64" s="607"/>
      <c r="FMB64" s="607"/>
      <c r="FMC64" s="607"/>
      <c r="FMD64" s="607"/>
      <c r="FME64" s="607"/>
      <c r="FMF64" s="607"/>
      <c r="FMG64" s="607"/>
      <c r="FMH64" s="607"/>
      <c r="FMI64" s="607"/>
      <c r="FMJ64" s="607"/>
      <c r="FMK64" s="607"/>
      <c r="FML64" s="607"/>
      <c r="FMM64" s="607"/>
      <c r="FMN64" s="607"/>
      <c r="FMO64" s="607"/>
      <c r="FMP64" s="607"/>
      <c r="FMQ64" s="607"/>
      <c r="FMR64" s="607"/>
      <c r="FMS64" s="607"/>
      <c r="FMT64" s="607"/>
      <c r="FMU64" s="607"/>
      <c r="FMV64" s="607"/>
      <c r="FMW64" s="607"/>
      <c r="FMX64" s="607"/>
      <c r="FMY64" s="607"/>
      <c r="FMZ64" s="607"/>
      <c r="FNA64" s="607"/>
      <c r="FNB64" s="607"/>
      <c r="FNC64" s="607"/>
      <c r="FND64" s="607"/>
      <c r="FNE64" s="607"/>
      <c r="FNF64" s="607"/>
      <c r="FNG64" s="607"/>
      <c r="FNH64" s="607"/>
      <c r="FNI64" s="607"/>
      <c r="FNJ64" s="607"/>
      <c r="FNK64" s="607"/>
      <c r="FNL64" s="607"/>
      <c r="FNM64" s="607"/>
      <c r="FNN64" s="607"/>
      <c r="FNO64" s="607"/>
      <c r="FNP64" s="607"/>
      <c r="FNQ64" s="607"/>
      <c r="FNR64" s="607"/>
      <c r="FNS64" s="607"/>
      <c r="FNT64" s="607"/>
      <c r="FNU64" s="607"/>
      <c r="FNV64" s="607"/>
      <c r="FNW64" s="607"/>
      <c r="FNX64" s="607"/>
      <c r="FNY64" s="607"/>
      <c r="FNZ64" s="607"/>
      <c r="FOA64" s="607"/>
      <c r="FOB64" s="607"/>
      <c r="FOC64" s="607"/>
      <c r="FOD64" s="607"/>
      <c r="FOE64" s="607"/>
      <c r="FOF64" s="607"/>
      <c r="FOG64" s="607"/>
      <c r="FOH64" s="607"/>
      <c r="FOI64" s="607"/>
      <c r="FOJ64" s="607"/>
      <c r="FOK64" s="607"/>
      <c r="FOL64" s="607"/>
      <c r="FOM64" s="607"/>
      <c r="FON64" s="607"/>
      <c r="FOO64" s="607"/>
      <c r="FOP64" s="607"/>
      <c r="FOQ64" s="607"/>
      <c r="FOR64" s="607"/>
      <c r="FOS64" s="607"/>
      <c r="FOT64" s="607"/>
      <c r="FOU64" s="607"/>
      <c r="FOV64" s="607"/>
      <c r="FOW64" s="607"/>
      <c r="FOX64" s="607"/>
      <c r="FOY64" s="607"/>
      <c r="FOZ64" s="607"/>
      <c r="FPA64" s="607"/>
      <c r="FPB64" s="607"/>
      <c r="FPC64" s="607"/>
      <c r="FPD64" s="607"/>
      <c r="FPE64" s="607"/>
      <c r="FPF64" s="607"/>
      <c r="FPG64" s="607"/>
      <c r="FPH64" s="607"/>
      <c r="FPI64" s="607"/>
      <c r="FPJ64" s="607"/>
      <c r="FPK64" s="607"/>
      <c r="FPL64" s="607"/>
      <c r="FPM64" s="607"/>
      <c r="FPN64" s="607"/>
      <c r="FPO64" s="607"/>
      <c r="FPP64" s="607"/>
      <c r="FPQ64" s="607"/>
      <c r="FPR64" s="607"/>
      <c r="FPS64" s="607"/>
      <c r="FPT64" s="607"/>
      <c r="FPU64" s="607"/>
      <c r="FPV64" s="607"/>
      <c r="FPW64" s="607"/>
      <c r="FPX64" s="607"/>
      <c r="FPY64" s="607"/>
      <c r="FPZ64" s="607"/>
      <c r="FQA64" s="607"/>
      <c r="FQB64" s="607"/>
      <c r="FQC64" s="607"/>
      <c r="FQD64" s="607"/>
      <c r="FQE64" s="607"/>
      <c r="FQF64" s="607"/>
      <c r="FQG64" s="607"/>
      <c r="FQH64" s="607"/>
      <c r="FQI64" s="607"/>
      <c r="FQJ64" s="607"/>
      <c r="FQK64" s="607"/>
      <c r="FQL64" s="607"/>
      <c r="FQM64" s="607"/>
      <c r="FQN64" s="607"/>
      <c r="FQO64" s="607"/>
      <c r="FQP64" s="607"/>
      <c r="FQQ64" s="607"/>
      <c r="FQR64" s="607"/>
      <c r="FQS64" s="607"/>
      <c r="FQT64" s="607"/>
      <c r="FQU64" s="607"/>
      <c r="FQV64" s="607"/>
      <c r="FQW64" s="607"/>
      <c r="FQX64" s="607"/>
      <c r="FQY64" s="607"/>
      <c r="FQZ64" s="607"/>
      <c r="FRA64" s="607"/>
      <c r="FRB64" s="607"/>
      <c r="FRC64" s="607"/>
      <c r="FRD64" s="607"/>
      <c r="FRE64" s="607"/>
      <c r="FRF64" s="607"/>
      <c r="FRG64" s="607"/>
      <c r="FRH64" s="607"/>
      <c r="FRI64" s="607"/>
      <c r="FRJ64" s="607"/>
      <c r="FRK64" s="607"/>
      <c r="FRL64" s="607"/>
      <c r="FRM64" s="607"/>
      <c r="FRN64" s="607"/>
      <c r="FRO64" s="607"/>
      <c r="FRP64" s="607"/>
      <c r="FRQ64" s="607"/>
      <c r="FRR64" s="607"/>
      <c r="FRS64" s="607"/>
      <c r="FRT64" s="607"/>
      <c r="FRU64" s="607"/>
      <c r="FRV64" s="607"/>
      <c r="FRW64" s="607"/>
      <c r="FRX64" s="607"/>
      <c r="FRY64" s="607"/>
      <c r="FRZ64" s="607"/>
      <c r="FSA64" s="607"/>
      <c r="FSB64" s="607"/>
      <c r="FSC64" s="607"/>
      <c r="FSD64" s="607"/>
      <c r="FSE64" s="607"/>
      <c r="FSF64" s="607"/>
      <c r="FSG64" s="607"/>
      <c r="FSH64" s="607"/>
      <c r="FSI64" s="607"/>
      <c r="FSJ64" s="607"/>
      <c r="FSK64" s="607"/>
      <c r="FSL64" s="607"/>
      <c r="FSM64" s="607"/>
      <c r="FSN64" s="607"/>
      <c r="FSO64" s="607"/>
      <c r="FSP64" s="607"/>
      <c r="FSQ64" s="607"/>
      <c r="FSR64" s="607"/>
      <c r="FSS64" s="607"/>
      <c r="FST64" s="607"/>
      <c r="FSU64" s="607"/>
      <c r="FSV64" s="607"/>
      <c r="FSW64" s="607"/>
      <c r="FSX64" s="607"/>
      <c r="FSY64" s="607"/>
      <c r="FSZ64" s="607"/>
      <c r="FTA64" s="607"/>
      <c r="FTB64" s="607"/>
      <c r="FTC64" s="607"/>
      <c r="FTD64" s="607"/>
      <c r="FTE64" s="607"/>
      <c r="FTF64" s="607"/>
      <c r="FTG64" s="607"/>
      <c r="FTH64" s="607"/>
      <c r="FTI64" s="607"/>
      <c r="FTJ64" s="607"/>
      <c r="FTK64" s="607"/>
      <c r="FTL64" s="607"/>
      <c r="FTM64" s="607"/>
      <c r="FTN64" s="607"/>
      <c r="FTO64" s="607"/>
      <c r="FTP64" s="607"/>
      <c r="FTQ64" s="607"/>
      <c r="FTR64" s="607"/>
      <c r="FTS64" s="607"/>
      <c r="FTT64" s="607"/>
      <c r="FTU64" s="607"/>
      <c r="FTV64" s="607"/>
      <c r="FTW64" s="607"/>
      <c r="FTX64" s="607"/>
      <c r="FTY64" s="607"/>
      <c r="FTZ64" s="607"/>
      <c r="FUA64" s="607"/>
      <c r="FUB64" s="607"/>
      <c r="FUC64" s="607"/>
      <c r="FUD64" s="607"/>
      <c r="FUE64" s="607"/>
      <c r="FUF64" s="607"/>
      <c r="FUG64" s="607"/>
      <c r="FUH64" s="607"/>
      <c r="FUI64" s="607"/>
      <c r="FUJ64" s="607"/>
      <c r="FUK64" s="607"/>
      <c r="FUL64" s="607"/>
      <c r="FUM64" s="607"/>
      <c r="FUN64" s="607"/>
      <c r="FUO64" s="607"/>
      <c r="FUP64" s="607"/>
      <c r="FUQ64" s="607"/>
      <c r="FUR64" s="607"/>
      <c r="FUS64" s="607"/>
      <c r="FUT64" s="607"/>
      <c r="FUU64" s="607"/>
      <c r="FUV64" s="607"/>
      <c r="FUW64" s="607"/>
      <c r="FUX64" s="607"/>
      <c r="FUY64" s="607"/>
      <c r="FUZ64" s="607"/>
      <c r="FVA64" s="607"/>
      <c r="FVB64" s="607"/>
      <c r="FVC64" s="607"/>
      <c r="FVD64" s="607"/>
      <c r="FVE64" s="607"/>
      <c r="FVF64" s="607"/>
      <c r="FVG64" s="607"/>
      <c r="FVH64" s="607"/>
      <c r="FVI64" s="607"/>
      <c r="FVJ64" s="607"/>
      <c r="FVK64" s="607"/>
      <c r="FVL64" s="607"/>
      <c r="FVM64" s="607"/>
      <c r="FVN64" s="607"/>
      <c r="FVO64" s="607"/>
      <c r="FVP64" s="607"/>
      <c r="FVQ64" s="607"/>
      <c r="FVR64" s="607"/>
      <c r="FVS64" s="607"/>
      <c r="FVT64" s="607"/>
      <c r="FVU64" s="607"/>
      <c r="FVV64" s="607"/>
      <c r="FVW64" s="607"/>
      <c r="FVX64" s="607"/>
      <c r="FVY64" s="607"/>
      <c r="FVZ64" s="607"/>
      <c r="FWA64" s="607"/>
      <c r="FWB64" s="607"/>
      <c r="FWC64" s="607"/>
      <c r="FWD64" s="607"/>
      <c r="FWE64" s="607"/>
      <c r="FWF64" s="607"/>
      <c r="FWG64" s="607"/>
      <c r="FWH64" s="607"/>
      <c r="FWI64" s="607"/>
      <c r="FWJ64" s="607"/>
      <c r="FWK64" s="607"/>
      <c r="FWL64" s="607"/>
      <c r="FWM64" s="607"/>
      <c r="FWN64" s="607"/>
      <c r="FWO64" s="607"/>
      <c r="FWP64" s="607"/>
      <c r="FWQ64" s="607"/>
      <c r="FWR64" s="607"/>
      <c r="FWS64" s="607"/>
      <c r="FWT64" s="607"/>
      <c r="FWU64" s="607"/>
      <c r="FWV64" s="607"/>
      <c r="FWW64" s="607"/>
      <c r="FWX64" s="607"/>
      <c r="FWY64" s="607"/>
      <c r="FWZ64" s="607"/>
      <c r="FXA64" s="607"/>
      <c r="FXB64" s="607"/>
      <c r="FXC64" s="607"/>
      <c r="FXD64" s="607"/>
      <c r="FXE64" s="607"/>
      <c r="FXF64" s="607"/>
      <c r="FXG64" s="607"/>
      <c r="FXH64" s="607"/>
      <c r="FXI64" s="607"/>
      <c r="FXJ64" s="607"/>
      <c r="FXK64" s="607"/>
      <c r="FXL64" s="607"/>
      <c r="FXM64" s="607"/>
      <c r="FXN64" s="607"/>
      <c r="FXO64" s="607"/>
      <c r="FXP64" s="607"/>
      <c r="FXQ64" s="607"/>
      <c r="FXR64" s="607"/>
      <c r="FXS64" s="607"/>
      <c r="FXT64" s="607"/>
      <c r="FXU64" s="607"/>
      <c r="FXV64" s="607"/>
      <c r="FXW64" s="607"/>
      <c r="FXX64" s="607"/>
      <c r="FXY64" s="607"/>
      <c r="FXZ64" s="607"/>
      <c r="FYA64" s="607"/>
      <c r="FYB64" s="607"/>
      <c r="FYC64" s="607"/>
      <c r="FYD64" s="607"/>
      <c r="FYE64" s="607"/>
      <c r="FYF64" s="607"/>
      <c r="FYG64" s="607"/>
      <c r="FYH64" s="607"/>
      <c r="FYI64" s="607"/>
      <c r="FYJ64" s="607"/>
      <c r="FYK64" s="607"/>
      <c r="FYL64" s="607"/>
      <c r="FYM64" s="607"/>
      <c r="FYN64" s="607"/>
      <c r="FYO64" s="607"/>
      <c r="FYP64" s="607"/>
      <c r="FYQ64" s="607"/>
      <c r="FYR64" s="607"/>
      <c r="FYS64" s="607"/>
      <c r="FYT64" s="607"/>
      <c r="FYU64" s="607"/>
      <c r="FYV64" s="607"/>
      <c r="FYW64" s="607"/>
      <c r="FYX64" s="607"/>
      <c r="FYY64" s="607"/>
      <c r="FYZ64" s="607"/>
      <c r="FZA64" s="607"/>
      <c r="FZB64" s="607"/>
      <c r="FZC64" s="607"/>
      <c r="FZD64" s="607"/>
      <c r="FZE64" s="607"/>
      <c r="FZF64" s="607"/>
      <c r="FZG64" s="607"/>
      <c r="FZH64" s="607"/>
      <c r="FZI64" s="607"/>
      <c r="FZJ64" s="607"/>
      <c r="FZK64" s="607"/>
      <c r="FZL64" s="607"/>
      <c r="FZM64" s="607"/>
      <c r="FZN64" s="607"/>
      <c r="FZO64" s="607"/>
      <c r="FZP64" s="607"/>
      <c r="FZQ64" s="607"/>
      <c r="FZR64" s="607"/>
      <c r="FZS64" s="607"/>
      <c r="FZT64" s="607"/>
      <c r="FZU64" s="607"/>
      <c r="FZV64" s="607"/>
      <c r="FZW64" s="607"/>
      <c r="FZX64" s="607"/>
      <c r="FZY64" s="607"/>
      <c r="FZZ64" s="607"/>
      <c r="GAA64" s="607"/>
      <c r="GAB64" s="607"/>
      <c r="GAC64" s="607"/>
      <c r="GAD64" s="607"/>
      <c r="GAE64" s="607"/>
      <c r="GAF64" s="607"/>
      <c r="GAG64" s="607"/>
      <c r="GAH64" s="607"/>
      <c r="GAI64" s="607"/>
      <c r="GAJ64" s="607"/>
      <c r="GAK64" s="607"/>
      <c r="GAL64" s="607"/>
      <c r="GAM64" s="607"/>
      <c r="GAN64" s="607"/>
      <c r="GAO64" s="607"/>
      <c r="GAP64" s="607"/>
      <c r="GAQ64" s="607"/>
      <c r="GAR64" s="607"/>
      <c r="GAS64" s="607"/>
      <c r="GAT64" s="607"/>
      <c r="GAU64" s="607"/>
      <c r="GAV64" s="607"/>
      <c r="GAW64" s="607"/>
      <c r="GAX64" s="607"/>
      <c r="GAY64" s="607"/>
      <c r="GAZ64" s="607"/>
      <c r="GBA64" s="607"/>
      <c r="GBB64" s="607"/>
      <c r="GBC64" s="607"/>
      <c r="GBD64" s="607"/>
      <c r="GBE64" s="607"/>
      <c r="GBF64" s="607"/>
      <c r="GBG64" s="607"/>
      <c r="GBH64" s="607"/>
      <c r="GBI64" s="607"/>
      <c r="GBJ64" s="607"/>
      <c r="GBK64" s="607"/>
      <c r="GBL64" s="607"/>
      <c r="GBM64" s="607"/>
      <c r="GBN64" s="607"/>
      <c r="GBO64" s="607"/>
      <c r="GBP64" s="607"/>
      <c r="GBQ64" s="607"/>
      <c r="GBR64" s="607"/>
      <c r="GBS64" s="607"/>
      <c r="GBT64" s="607"/>
      <c r="GBU64" s="607"/>
      <c r="GBV64" s="607"/>
      <c r="GBW64" s="607"/>
      <c r="GBX64" s="607"/>
      <c r="GBY64" s="607"/>
      <c r="GBZ64" s="607"/>
      <c r="GCA64" s="607"/>
      <c r="GCB64" s="607"/>
      <c r="GCC64" s="607"/>
      <c r="GCD64" s="607"/>
      <c r="GCE64" s="607"/>
      <c r="GCF64" s="607"/>
      <c r="GCG64" s="607"/>
      <c r="GCH64" s="607"/>
      <c r="GCI64" s="607"/>
      <c r="GCJ64" s="607"/>
      <c r="GCK64" s="607"/>
      <c r="GCL64" s="607"/>
      <c r="GCM64" s="607"/>
      <c r="GCN64" s="607"/>
      <c r="GCO64" s="607"/>
      <c r="GCP64" s="607"/>
      <c r="GCQ64" s="607"/>
      <c r="GCR64" s="607"/>
      <c r="GCS64" s="607"/>
      <c r="GCT64" s="607"/>
      <c r="GCU64" s="607"/>
      <c r="GCV64" s="607"/>
      <c r="GCW64" s="607"/>
      <c r="GCX64" s="607"/>
      <c r="GCY64" s="607"/>
      <c r="GCZ64" s="607"/>
      <c r="GDA64" s="607"/>
      <c r="GDB64" s="607"/>
      <c r="GDC64" s="607"/>
      <c r="GDD64" s="607"/>
      <c r="GDE64" s="607"/>
      <c r="GDF64" s="607"/>
      <c r="GDG64" s="607"/>
      <c r="GDH64" s="607"/>
      <c r="GDI64" s="607"/>
      <c r="GDJ64" s="607"/>
      <c r="GDK64" s="607"/>
      <c r="GDL64" s="607"/>
      <c r="GDM64" s="607"/>
      <c r="GDN64" s="607"/>
      <c r="GDO64" s="607"/>
      <c r="GDP64" s="607"/>
      <c r="GDQ64" s="607"/>
      <c r="GDR64" s="607"/>
      <c r="GDS64" s="607"/>
      <c r="GDT64" s="607"/>
      <c r="GDU64" s="607"/>
      <c r="GDV64" s="607"/>
      <c r="GDW64" s="607"/>
      <c r="GDX64" s="607"/>
      <c r="GDY64" s="607"/>
      <c r="GDZ64" s="607"/>
      <c r="GEA64" s="607"/>
      <c r="GEB64" s="607"/>
      <c r="GEC64" s="607"/>
      <c r="GED64" s="607"/>
      <c r="GEE64" s="607"/>
      <c r="GEF64" s="607"/>
      <c r="GEG64" s="607"/>
      <c r="GEH64" s="607"/>
      <c r="GEI64" s="607"/>
      <c r="GEJ64" s="607"/>
      <c r="GEK64" s="607"/>
      <c r="GEL64" s="607"/>
      <c r="GEM64" s="607"/>
      <c r="GEN64" s="607"/>
      <c r="GEO64" s="607"/>
      <c r="GEP64" s="607"/>
      <c r="GEQ64" s="607"/>
      <c r="GER64" s="607"/>
      <c r="GES64" s="607"/>
      <c r="GET64" s="607"/>
      <c r="GEU64" s="607"/>
      <c r="GEV64" s="607"/>
      <c r="GEW64" s="607"/>
      <c r="GEX64" s="607"/>
      <c r="GEY64" s="607"/>
      <c r="GEZ64" s="607"/>
      <c r="GFA64" s="607"/>
      <c r="GFB64" s="607"/>
      <c r="GFC64" s="607"/>
      <c r="GFD64" s="607"/>
      <c r="GFE64" s="607"/>
      <c r="GFF64" s="607"/>
      <c r="GFG64" s="607"/>
      <c r="GFH64" s="607"/>
      <c r="GFI64" s="607"/>
      <c r="GFJ64" s="607"/>
      <c r="GFK64" s="607"/>
      <c r="GFL64" s="607"/>
      <c r="GFM64" s="607"/>
      <c r="GFN64" s="607"/>
      <c r="GFO64" s="607"/>
      <c r="GFP64" s="607"/>
      <c r="GFQ64" s="607"/>
      <c r="GFR64" s="607"/>
      <c r="GFS64" s="607"/>
      <c r="GFT64" s="607"/>
      <c r="GFU64" s="607"/>
      <c r="GFV64" s="607"/>
      <c r="GFW64" s="607"/>
      <c r="GFX64" s="607"/>
      <c r="GFY64" s="607"/>
      <c r="GFZ64" s="607"/>
      <c r="GGA64" s="607"/>
      <c r="GGB64" s="607"/>
      <c r="GGC64" s="607"/>
      <c r="GGD64" s="607"/>
      <c r="GGE64" s="607"/>
      <c r="GGF64" s="607"/>
      <c r="GGG64" s="607"/>
      <c r="GGH64" s="607"/>
      <c r="GGI64" s="607"/>
      <c r="GGJ64" s="607"/>
      <c r="GGK64" s="607"/>
      <c r="GGL64" s="607"/>
      <c r="GGM64" s="607"/>
      <c r="GGN64" s="607"/>
      <c r="GGO64" s="607"/>
      <c r="GGP64" s="607"/>
      <c r="GGQ64" s="607"/>
      <c r="GGR64" s="607"/>
      <c r="GGS64" s="607"/>
      <c r="GGT64" s="607"/>
      <c r="GGU64" s="607"/>
      <c r="GGV64" s="607"/>
      <c r="GGW64" s="607"/>
      <c r="GGX64" s="607"/>
      <c r="GGY64" s="607"/>
      <c r="GGZ64" s="607"/>
      <c r="GHA64" s="607"/>
      <c r="GHB64" s="607"/>
      <c r="GHC64" s="607"/>
      <c r="GHD64" s="607"/>
      <c r="GHE64" s="607"/>
      <c r="GHF64" s="607"/>
      <c r="GHG64" s="607"/>
      <c r="GHH64" s="607"/>
      <c r="GHI64" s="607"/>
      <c r="GHJ64" s="607"/>
      <c r="GHK64" s="607"/>
      <c r="GHL64" s="607"/>
      <c r="GHM64" s="607"/>
      <c r="GHN64" s="607"/>
      <c r="GHO64" s="607"/>
      <c r="GHP64" s="607"/>
      <c r="GHQ64" s="607"/>
      <c r="GHR64" s="607"/>
      <c r="GHS64" s="607"/>
      <c r="GHT64" s="607"/>
      <c r="GHU64" s="607"/>
      <c r="GHV64" s="607"/>
      <c r="GHW64" s="607"/>
      <c r="GHX64" s="607"/>
      <c r="GHY64" s="607"/>
      <c r="GHZ64" s="607"/>
      <c r="GIA64" s="607"/>
      <c r="GIB64" s="607"/>
      <c r="GIC64" s="607"/>
      <c r="GID64" s="607"/>
      <c r="GIE64" s="607"/>
      <c r="GIF64" s="607"/>
      <c r="GIG64" s="607"/>
      <c r="GIH64" s="607"/>
      <c r="GII64" s="607"/>
      <c r="GIJ64" s="607"/>
      <c r="GIK64" s="607"/>
      <c r="GIL64" s="607"/>
      <c r="GIM64" s="607"/>
      <c r="GIN64" s="607"/>
      <c r="GIO64" s="607"/>
      <c r="GIP64" s="607"/>
      <c r="GIQ64" s="607"/>
      <c r="GIR64" s="607"/>
      <c r="GIS64" s="607"/>
      <c r="GIT64" s="607"/>
      <c r="GIU64" s="607"/>
      <c r="GIV64" s="607"/>
      <c r="GIW64" s="607"/>
      <c r="GIX64" s="607"/>
      <c r="GIY64" s="607"/>
      <c r="GIZ64" s="607"/>
      <c r="GJA64" s="607"/>
      <c r="GJB64" s="607"/>
      <c r="GJC64" s="607"/>
      <c r="GJD64" s="607"/>
      <c r="GJE64" s="607"/>
      <c r="GJF64" s="607"/>
      <c r="GJG64" s="607"/>
      <c r="GJH64" s="607"/>
      <c r="GJI64" s="607"/>
      <c r="GJJ64" s="607"/>
      <c r="GJK64" s="607"/>
      <c r="GJL64" s="607"/>
      <c r="GJM64" s="607"/>
      <c r="GJN64" s="607"/>
      <c r="GJO64" s="607"/>
      <c r="GJP64" s="607"/>
      <c r="GJQ64" s="607"/>
      <c r="GJR64" s="607"/>
      <c r="GJS64" s="607"/>
      <c r="GJT64" s="607"/>
      <c r="GJU64" s="607"/>
      <c r="GJV64" s="607"/>
      <c r="GJW64" s="607"/>
      <c r="GJX64" s="607"/>
      <c r="GJY64" s="607"/>
      <c r="GJZ64" s="607"/>
      <c r="GKA64" s="607"/>
      <c r="GKB64" s="607"/>
      <c r="GKC64" s="607"/>
      <c r="GKD64" s="607"/>
      <c r="GKE64" s="607"/>
      <c r="GKF64" s="607"/>
      <c r="GKG64" s="607"/>
      <c r="GKH64" s="607"/>
      <c r="GKI64" s="607"/>
      <c r="GKJ64" s="607"/>
      <c r="GKK64" s="607"/>
      <c r="GKL64" s="607"/>
      <c r="GKM64" s="607"/>
      <c r="GKN64" s="607"/>
      <c r="GKO64" s="607"/>
      <c r="GKP64" s="607"/>
      <c r="GKQ64" s="607"/>
      <c r="GKR64" s="607"/>
      <c r="GKS64" s="607"/>
      <c r="GKT64" s="607"/>
      <c r="GKU64" s="607"/>
      <c r="GKV64" s="607"/>
      <c r="GKW64" s="607"/>
      <c r="GKX64" s="607"/>
      <c r="GKY64" s="607"/>
      <c r="GKZ64" s="607"/>
      <c r="GLA64" s="607"/>
      <c r="GLB64" s="607"/>
      <c r="GLC64" s="607"/>
      <c r="GLD64" s="607"/>
      <c r="GLE64" s="607"/>
      <c r="GLF64" s="607"/>
      <c r="GLG64" s="607"/>
      <c r="GLH64" s="607"/>
      <c r="GLI64" s="607"/>
      <c r="GLJ64" s="607"/>
      <c r="GLK64" s="607"/>
      <c r="GLL64" s="607"/>
      <c r="GLM64" s="607"/>
      <c r="GLN64" s="607"/>
      <c r="GLO64" s="607"/>
      <c r="GLP64" s="607"/>
      <c r="GLQ64" s="607"/>
      <c r="GLR64" s="607"/>
      <c r="GLS64" s="607"/>
      <c r="GLT64" s="607"/>
      <c r="GLU64" s="607"/>
      <c r="GLV64" s="607"/>
      <c r="GLW64" s="607"/>
      <c r="GLX64" s="607"/>
      <c r="GLY64" s="607"/>
      <c r="GLZ64" s="607"/>
      <c r="GMA64" s="607"/>
      <c r="GMB64" s="607"/>
      <c r="GMC64" s="607"/>
      <c r="GMD64" s="607"/>
      <c r="GME64" s="607"/>
      <c r="GMF64" s="607"/>
      <c r="GMG64" s="607"/>
      <c r="GMH64" s="607"/>
      <c r="GMI64" s="607"/>
      <c r="GMJ64" s="607"/>
      <c r="GMK64" s="607"/>
      <c r="GML64" s="607"/>
      <c r="GMM64" s="607"/>
      <c r="GMN64" s="607"/>
      <c r="GMO64" s="607"/>
      <c r="GMP64" s="607"/>
      <c r="GMQ64" s="607"/>
      <c r="GMR64" s="607"/>
      <c r="GMS64" s="607"/>
      <c r="GMT64" s="607"/>
      <c r="GMU64" s="607"/>
      <c r="GMV64" s="607"/>
      <c r="GMW64" s="607"/>
      <c r="GMX64" s="607"/>
      <c r="GMY64" s="607"/>
      <c r="GMZ64" s="607"/>
      <c r="GNA64" s="607"/>
      <c r="GNB64" s="607"/>
      <c r="GNC64" s="607"/>
      <c r="GND64" s="607"/>
      <c r="GNE64" s="607"/>
      <c r="GNF64" s="607"/>
      <c r="GNG64" s="607"/>
      <c r="GNH64" s="607"/>
      <c r="GNI64" s="607"/>
      <c r="GNJ64" s="607"/>
      <c r="GNK64" s="607"/>
      <c r="GNL64" s="607"/>
      <c r="GNM64" s="607"/>
      <c r="GNN64" s="607"/>
      <c r="GNO64" s="607"/>
      <c r="GNP64" s="607"/>
      <c r="GNQ64" s="607"/>
      <c r="GNR64" s="607"/>
      <c r="GNS64" s="607"/>
      <c r="GNT64" s="607"/>
      <c r="GNU64" s="607"/>
      <c r="GNV64" s="607"/>
      <c r="GNW64" s="607"/>
      <c r="GNX64" s="607"/>
      <c r="GNY64" s="607"/>
      <c r="GNZ64" s="607"/>
      <c r="GOA64" s="607"/>
      <c r="GOB64" s="607"/>
      <c r="GOC64" s="607"/>
      <c r="GOD64" s="607"/>
      <c r="GOE64" s="607"/>
      <c r="GOF64" s="607"/>
      <c r="GOG64" s="607"/>
      <c r="GOH64" s="607"/>
      <c r="GOI64" s="607"/>
      <c r="GOJ64" s="607"/>
      <c r="GOK64" s="607"/>
      <c r="GOL64" s="607"/>
      <c r="GOM64" s="607"/>
      <c r="GON64" s="607"/>
      <c r="GOO64" s="607"/>
      <c r="GOP64" s="607"/>
      <c r="GOQ64" s="607"/>
      <c r="GOR64" s="607"/>
      <c r="GOS64" s="607"/>
      <c r="GOT64" s="607"/>
      <c r="GOU64" s="607"/>
      <c r="GOV64" s="607"/>
      <c r="GOW64" s="607"/>
      <c r="GOX64" s="607"/>
      <c r="GOY64" s="607"/>
      <c r="GOZ64" s="607"/>
      <c r="GPA64" s="607"/>
      <c r="GPB64" s="607"/>
      <c r="GPC64" s="607"/>
      <c r="GPD64" s="607"/>
      <c r="GPE64" s="607"/>
      <c r="GPF64" s="607"/>
      <c r="GPG64" s="607"/>
      <c r="GPH64" s="607"/>
      <c r="GPI64" s="607"/>
      <c r="GPJ64" s="607"/>
      <c r="GPK64" s="607"/>
      <c r="GPL64" s="607"/>
      <c r="GPM64" s="607"/>
      <c r="GPN64" s="607"/>
      <c r="GPO64" s="607"/>
      <c r="GPP64" s="607"/>
      <c r="GPQ64" s="607"/>
      <c r="GPR64" s="607"/>
      <c r="GPS64" s="607"/>
      <c r="GPT64" s="607"/>
      <c r="GPU64" s="607"/>
      <c r="GPV64" s="607"/>
      <c r="GPW64" s="607"/>
      <c r="GPX64" s="607"/>
      <c r="GPY64" s="607"/>
      <c r="GPZ64" s="607"/>
      <c r="GQA64" s="607"/>
      <c r="GQB64" s="607"/>
      <c r="GQC64" s="607"/>
      <c r="GQD64" s="607"/>
      <c r="GQE64" s="607"/>
      <c r="GQF64" s="607"/>
      <c r="GQG64" s="607"/>
      <c r="GQH64" s="607"/>
      <c r="GQI64" s="607"/>
      <c r="GQJ64" s="607"/>
      <c r="GQK64" s="607"/>
      <c r="GQL64" s="607"/>
      <c r="GQM64" s="607"/>
      <c r="GQN64" s="607"/>
      <c r="GQO64" s="607"/>
      <c r="GQP64" s="607"/>
      <c r="GQQ64" s="607"/>
      <c r="GQR64" s="607"/>
      <c r="GQS64" s="607"/>
      <c r="GQT64" s="607"/>
      <c r="GQU64" s="607"/>
      <c r="GQV64" s="607"/>
      <c r="GQW64" s="607"/>
      <c r="GQX64" s="607"/>
      <c r="GQY64" s="607"/>
      <c r="GQZ64" s="607"/>
      <c r="GRA64" s="607"/>
      <c r="GRB64" s="607"/>
      <c r="GRC64" s="607"/>
      <c r="GRD64" s="607"/>
      <c r="GRE64" s="607"/>
      <c r="GRF64" s="607"/>
      <c r="GRG64" s="607"/>
      <c r="GRH64" s="607"/>
      <c r="GRI64" s="607"/>
      <c r="GRJ64" s="607"/>
      <c r="GRK64" s="607"/>
      <c r="GRL64" s="607"/>
      <c r="GRM64" s="607"/>
      <c r="GRN64" s="607"/>
      <c r="GRO64" s="607"/>
      <c r="GRP64" s="607"/>
      <c r="GRQ64" s="607"/>
      <c r="GRR64" s="607"/>
      <c r="GRS64" s="607"/>
      <c r="GRT64" s="607"/>
      <c r="GRU64" s="607"/>
      <c r="GRV64" s="607"/>
      <c r="GRW64" s="607"/>
      <c r="GRX64" s="607"/>
      <c r="GRY64" s="607"/>
      <c r="GRZ64" s="607"/>
      <c r="GSA64" s="607"/>
      <c r="GSB64" s="607"/>
      <c r="GSC64" s="607"/>
      <c r="GSD64" s="607"/>
      <c r="GSE64" s="607"/>
      <c r="GSF64" s="607"/>
      <c r="GSG64" s="607"/>
      <c r="GSH64" s="607"/>
      <c r="GSI64" s="607"/>
      <c r="GSJ64" s="607"/>
      <c r="GSK64" s="607"/>
      <c r="GSL64" s="607"/>
      <c r="GSM64" s="607"/>
      <c r="GSN64" s="607"/>
      <c r="GSO64" s="607"/>
      <c r="GSP64" s="607"/>
      <c r="GSQ64" s="607"/>
      <c r="GSR64" s="607"/>
      <c r="GSS64" s="607"/>
      <c r="GST64" s="607"/>
      <c r="GSU64" s="607"/>
      <c r="GSV64" s="607"/>
      <c r="GSW64" s="607"/>
      <c r="GSX64" s="607"/>
      <c r="GSY64" s="607"/>
      <c r="GSZ64" s="607"/>
      <c r="GTA64" s="607"/>
      <c r="GTB64" s="607"/>
      <c r="GTC64" s="607"/>
      <c r="GTD64" s="607"/>
      <c r="GTE64" s="607"/>
      <c r="GTF64" s="607"/>
      <c r="GTG64" s="607"/>
      <c r="GTH64" s="607"/>
      <c r="GTI64" s="607"/>
      <c r="GTJ64" s="607"/>
      <c r="GTK64" s="607"/>
      <c r="GTL64" s="607"/>
      <c r="GTM64" s="607"/>
      <c r="GTN64" s="607"/>
      <c r="GTO64" s="607"/>
      <c r="GTP64" s="607"/>
      <c r="GTQ64" s="607"/>
      <c r="GTR64" s="607"/>
      <c r="GTS64" s="607"/>
      <c r="GTT64" s="607"/>
      <c r="GTU64" s="607"/>
      <c r="GTV64" s="607"/>
      <c r="GTW64" s="607"/>
      <c r="GTX64" s="607"/>
      <c r="GTY64" s="607"/>
      <c r="GTZ64" s="607"/>
      <c r="GUA64" s="607"/>
      <c r="GUB64" s="607"/>
      <c r="GUC64" s="607"/>
      <c r="GUD64" s="607"/>
      <c r="GUE64" s="607"/>
      <c r="GUF64" s="607"/>
      <c r="GUG64" s="607"/>
      <c r="GUH64" s="607"/>
      <c r="GUI64" s="607"/>
      <c r="GUJ64" s="607"/>
      <c r="GUK64" s="607"/>
      <c r="GUL64" s="607"/>
      <c r="GUM64" s="607"/>
      <c r="GUN64" s="607"/>
      <c r="GUO64" s="607"/>
      <c r="GUP64" s="607"/>
      <c r="GUQ64" s="607"/>
      <c r="GUR64" s="607"/>
      <c r="GUS64" s="607"/>
      <c r="GUT64" s="607"/>
      <c r="GUU64" s="607"/>
      <c r="GUV64" s="607"/>
      <c r="GUW64" s="607"/>
      <c r="GUX64" s="607"/>
      <c r="GUY64" s="607"/>
      <c r="GUZ64" s="607"/>
      <c r="GVA64" s="607"/>
      <c r="GVB64" s="607"/>
      <c r="GVC64" s="607"/>
      <c r="GVD64" s="607"/>
      <c r="GVE64" s="607"/>
      <c r="GVF64" s="607"/>
      <c r="GVG64" s="607"/>
      <c r="GVH64" s="607"/>
      <c r="GVI64" s="607"/>
      <c r="GVJ64" s="607"/>
      <c r="GVK64" s="607"/>
      <c r="GVL64" s="607"/>
      <c r="GVM64" s="607"/>
      <c r="GVN64" s="607"/>
      <c r="GVO64" s="607"/>
      <c r="GVP64" s="607"/>
      <c r="GVQ64" s="607"/>
      <c r="GVR64" s="607"/>
      <c r="GVS64" s="607"/>
      <c r="GVT64" s="607"/>
      <c r="GVU64" s="607"/>
      <c r="GVV64" s="607"/>
      <c r="GVW64" s="607"/>
      <c r="GVX64" s="607"/>
      <c r="GVY64" s="607"/>
      <c r="GVZ64" s="607"/>
      <c r="GWA64" s="607"/>
      <c r="GWB64" s="607"/>
      <c r="GWC64" s="607"/>
      <c r="GWD64" s="607"/>
      <c r="GWE64" s="607"/>
      <c r="GWF64" s="607"/>
      <c r="GWG64" s="607"/>
      <c r="GWH64" s="607"/>
      <c r="GWI64" s="607"/>
      <c r="GWJ64" s="607"/>
      <c r="GWK64" s="607"/>
      <c r="GWL64" s="607"/>
      <c r="GWM64" s="607"/>
      <c r="GWN64" s="607"/>
      <c r="GWO64" s="607"/>
      <c r="GWP64" s="607"/>
      <c r="GWQ64" s="607"/>
      <c r="GWR64" s="607"/>
      <c r="GWS64" s="607"/>
      <c r="GWT64" s="607"/>
      <c r="GWU64" s="607"/>
      <c r="GWV64" s="607"/>
      <c r="GWW64" s="607"/>
      <c r="GWX64" s="607"/>
      <c r="GWY64" s="607"/>
      <c r="GWZ64" s="607"/>
      <c r="GXA64" s="607"/>
      <c r="GXB64" s="607"/>
      <c r="GXC64" s="607"/>
      <c r="GXD64" s="607"/>
      <c r="GXE64" s="607"/>
      <c r="GXF64" s="607"/>
      <c r="GXG64" s="607"/>
      <c r="GXH64" s="607"/>
      <c r="GXI64" s="607"/>
      <c r="GXJ64" s="607"/>
      <c r="GXK64" s="607"/>
      <c r="GXL64" s="607"/>
      <c r="GXM64" s="607"/>
      <c r="GXN64" s="607"/>
      <c r="GXO64" s="607"/>
      <c r="GXP64" s="607"/>
      <c r="GXQ64" s="607"/>
      <c r="GXR64" s="607"/>
      <c r="GXS64" s="607"/>
      <c r="GXT64" s="607"/>
      <c r="GXU64" s="607"/>
      <c r="GXV64" s="607"/>
      <c r="GXW64" s="607"/>
      <c r="GXX64" s="607"/>
      <c r="GXY64" s="607"/>
      <c r="GXZ64" s="607"/>
      <c r="GYA64" s="607"/>
      <c r="GYB64" s="607"/>
      <c r="GYC64" s="607"/>
      <c r="GYD64" s="607"/>
      <c r="GYE64" s="607"/>
      <c r="GYF64" s="607"/>
      <c r="GYG64" s="607"/>
      <c r="GYH64" s="607"/>
      <c r="GYI64" s="607"/>
      <c r="GYJ64" s="607"/>
      <c r="GYK64" s="607"/>
      <c r="GYL64" s="607"/>
      <c r="GYM64" s="607"/>
      <c r="GYN64" s="607"/>
      <c r="GYO64" s="607"/>
      <c r="GYP64" s="607"/>
      <c r="GYQ64" s="607"/>
      <c r="GYR64" s="607"/>
      <c r="GYS64" s="607"/>
      <c r="GYT64" s="607"/>
      <c r="GYU64" s="607"/>
      <c r="GYV64" s="607"/>
      <c r="GYW64" s="607"/>
      <c r="GYX64" s="607"/>
      <c r="GYY64" s="607"/>
      <c r="GYZ64" s="607"/>
      <c r="GZA64" s="607"/>
      <c r="GZB64" s="607"/>
      <c r="GZC64" s="607"/>
      <c r="GZD64" s="607"/>
      <c r="GZE64" s="607"/>
      <c r="GZF64" s="607"/>
      <c r="GZG64" s="607"/>
      <c r="GZH64" s="607"/>
      <c r="GZI64" s="607"/>
      <c r="GZJ64" s="607"/>
      <c r="GZK64" s="607"/>
      <c r="GZL64" s="607"/>
      <c r="GZM64" s="607"/>
      <c r="GZN64" s="607"/>
      <c r="GZO64" s="607"/>
      <c r="GZP64" s="607"/>
      <c r="GZQ64" s="607"/>
      <c r="GZR64" s="607"/>
      <c r="GZS64" s="607"/>
      <c r="GZT64" s="607"/>
      <c r="GZU64" s="607"/>
      <c r="GZV64" s="607"/>
      <c r="GZW64" s="607"/>
      <c r="GZX64" s="607"/>
      <c r="GZY64" s="607"/>
      <c r="GZZ64" s="607"/>
      <c r="HAA64" s="607"/>
      <c r="HAB64" s="607"/>
      <c r="HAC64" s="607"/>
      <c r="HAD64" s="607"/>
      <c r="HAE64" s="607"/>
      <c r="HAF64" s="607"/>
      <c r="HAG64" s="607"/>
      <c r="HAH64" s="607"/>
      <c r="HAI64" s="607"/>
      <c r="HAJ64" s="607"/>
      <c r="HAK64" s="607"/>
      <c r="HAL64" s="607"/>
      <c r="HAM64" s="607"/>
      <c r="HAN64" s="607"/>
      <c r="HAO64" s="607"/>
      <c r="HAP64" s="607"/>
      <c r="HAQ64" s="607"/>
      <c r="HAR64" s="607"/>
      <c r="HAS64" s="607"/>
      <c r="HAT64" s="607"/>
      <c r="HAU64" s="607"/>
      <c r="HAV64" s="607"/>
      <c r="HAW64" s="607"/>
      <c r="HAX64" s="607"/>
      <c r="HAY64" s="607"/>
      <c r="HAZ64" s="607"/>
      <c r="HBA64" s="607"/>
      <c r="HBB64" s="607"/>
      <c r="HBC64" s="607"/>
      <c r="HBD64" s="607"/>
      <c r="HBE64" s="607"/>
      <c r="HBF64" s="607"/>
      <c r="HBG64" s="607"/>
      <c r="HBH64" s="607"/>
      <c r="HBI64" s="607"/>
      <c r="HBJ64" s="607"/>
      <c r="HBK64" s="607"/>
      <c r="HBL64" s="607"/>
      <c r="HBM64" s="607"/>
      <c r="HBN64" s="607"/>
      <c r="HBO64" s="607"/>
      <c r="HBP64" s="607"/>
      <c r="HBQ64" s="607"/>
      <c r="HBR64" s="607"/>
      <c r="HBS64" s="607"/>
      <c r="HBT64" s="607"/>
      <c r="HBU64" s="607"/>
      <c r="HBV64" s="607"/>
      <c r="HBW64" s="607"/>
      <c r="HBX64" s="607"/>
      <c r="HBY64" s="607"/>
      <c r="HBZ64" s="607"/>
      <c r="HCA64" s="607"/>
      <c r="HCB64" s="607"/>
      <c r="HCC64" s="607"/>
      <c r="HCD64" s="607"/>
      <c r="HCE64" s="607"/>
      <c r="HCF64" s="607"/>
      <c r="HCG64" s="607"/>
      <c r="HCH64" s="607"/>
      <c r="HCI64" s="607"/>
      <c r="HCJ64" s="607"/>
      <c r="HCK64" s="607"/>
      <c r="HCL64" s="607"/>
      <c r="HCM64" s="607"/>
      <c r="HCN64" s="607"/>
      <c r="HCO64" s="607"/>
      <c r="HCP64" s="607"/>
      <c r="HCQ64" s="607"/>
      <c r="HCR64" s="607"/>
      <c r="HCS64" s="607"/>
      <c r="HCT64" s="607"/>
      <c r="HCU64" s="607"/>
      <c r="HCV64" s="607"/>
      <c r="HCW64" s="607"/>
      <c r="HCX64" s="607"/>
      <c r="HCY64" s="607"/>
      <c r="HCZ64" s="607"/>
      <c r="HDA64" s="607"/>
      <c r="HDB64" s="607"/>
      <c r="HDC64" s="607"/>
      <c r="HDD64" s="607"/>
      <c r="HDE64" s="607"/>
      <c r="HDF64" s="607"/>
      <c r="HDG64" s="607"/>
      <c r="HDH64" s="607"/>
      <c r="HDI64" s="607"/>
      <c r="HDJ64" s="607"/>
      <c r="HDK64" s="607"/>
      <c r="HDL64" s="607"/>
      <c r="HDM64" s="607"/>
      <c r="HDN64" s="607"/>
      <c r="HDO64" s="607"/>
      <c r="HDP64" s="607"/>
      <c r="HDQ64" s="607"/>
      <c r="HDR64" s="607"/>
      <c r="HDS64" s="607"/>
      <c r="HDT64" s="607"/>
      <c r="HDU64" s="607"/>
      <c r="HDV64" s="607"/>
      <c r="HDW64" s="607"/>
      <c r="HDX64" s="607"/>
      <c r="HDY64" s="607"/>
      <c r="HDZ64" s="607"/>
      <c r="HEA64" s="607"/>
      <c r="HEB64" s="607"/>
      <c r="HEC64" s="607"/>
      <c r="HED64" s="607"/>
      <c r="HEE64" s="607"/>
      <c r="HEF64" s="607"/>
      <c r="HEG64" s="607"/>
      <c r="HEH64" s="607"/>
      <c r="HEI64" s="607"/>
      <c r="HEJ64" s="607"/>
      <c r="HEK64" s="607"/>
      <c r="HEL64" s="607"/>
      <c r="HEM64" s="607"/>
      <c r="HEN64" s="607"/>
      <c r="HEO64" s="607"/>
      <c r="HEP64" s="607"/>
      <c r="HEQ64" s="607"/>
      <c r="HER64" s="607"/>
      <c r="HES64" s="607"/>
      <c r="HET64" s="607"/>
      <c r="HEU64" s="607"/>
      <c r="HEV64" s="607"/>
      <c r="HEW64" s="607"/>
      <c r="HEX64" s="607"/>
      <c r="HEY64" s="607"/>
      <c r="HEZ64" s="607"/>
      <c r="HFA64" s="607"/>
      <c r="HFB64" s="607"/>
      <c r="HFC64" s="607"/>
      <c r="HFD64" s="607"/>
      <c r="HFE64" s="607"/>
      <c r="HFF64" s="607"/>
      <c r="HFG64" s="607"/>
      <c r="HFH64" s="607"/>
      <c r="HFI64" s="607"/>
      <c r="HFJ64" s="607"/>
      <c r="HFK64" s="607"/>
      <c r="HFL64" s="607"/>
      <c r="HFM64" s="607"/>
      <c r="HFN64" s="607"/>
      <c r="HFO64" s="607"/>
      <c r="HFP64" s="607"/>
      <c r="HFQ64" s="607"/>
      <c r="HFR64" s="607"/>
      <c r="HFS64" s="607"/>
      <c r="HFT64" s="607"/>
      <c r="HFU64" s="607"/>
      <c r="HFV64" s="607"/>
      <c r="HFW64" s="607"/>
      <c r="HFX64" s="607"/>
      <c r="HFY64" s="607"/>
      <c r="HFZ64" s="607"/>
      <c r="HGA64" s="607"/>
      <c r="HGB64" s="607"/>
      <c r="HGC64" s="607"/>
      <c r="HGD64" s="607"/>
      <c r="HGE64" s="607"/>
      <c r="HGF64" s="607"/>
      <c r="HGG64" s="607"/>
      <c r="HGH64" s="607"/>
      <c r="HGI64" s="607"/>
      <c r="HGJ64" s="607"/>
      <c r="HGK64" s="607"/>
      <c r="HGL64" s="607"/>
      <c r="HGM64" s="607"/>
      <c r="HGN64" s="607"/>
      <c r="HGO64" s="607"/>
      <c r="HGP64" s="607"/>
      <c r="HGQ64" s="607"/>
      <c r="HGR64" s="607"/>
      <c r="HGS64" s="607"/>
      <c r="HGT64" s="607"/>
      <c r="HGU64" s="607"/>
      <c r="HGV64" s="607"/>
      <c r="HGW64" s="607"/>
      <c r="HGX64" s="607"/>
      <c r="HGY64" s="607"/>
      <c r="HGZ64" s="607"/>
      <c r="HHA64" s="607"/>
      <c r="HHB64" s="607"/>
      <c r="HHC64" s="607"/>
      <c r="HHD64" s="607"/>
      <c r="HHE64" s="607"/>
      <c r="HHF64" s="607"/>
      <c r="HHG64" s="607"/>
      <c r="HHH64" s="607"/>
      <c r="HHI64" s="607"/>
      <c r="HHJ64" s="607"/>
      <c r="HHK64" s="607"/>
      <c r="HHL64" s="607"/>
      <c r="HHM64" s="607"/>
      <c r="HHN64" s="607"/>
      <c r="HHO64" s="607"/>
      <c r="HHP64" s="607"/>
      <c r="HHQ64" s="607"/>
      <c r="HHR64" s="607"/>
      <c r="HHS64" s="607"/>
      <c r="HHT64" s="607"/>
      <c r="HHU64" s="607"/>
      <c r="HHV64" s="607"/>
      <c r="HHW64" s="607"/>
      <c r="HHX64" s="607"/>
      <c r="HHY64" s="607"/>
      <c r="HHZ64" s="607"/>
      <c r="HIA64" s="607"/>
      <c r="HIB64" s="607"/>
      <c r="HIC64" s="607"/>
      <c r="HID64" s="607"/>
      <c r="HIE64" s="607"/>
      <c r="HIF64" s="607"/>
      <c r="HIG64" s="607"/>
      <c r="HIH64" s="607"/>
      <c r="HII64" s="607"/>
      <c r="HIJ64" s="607"/>
      <c r="HIK64" s="607"/>
      <c r="HIL64" s="607"/>
      <c r="HIM64" s="607"/>
      <c r="HIN64" s="607"/>
      <c r="HIO64" s="607"/>
      <c r="HIP64" s="607"/>
      <c r="HIQ64" s="607"/>
      <c r="HIR64" s="607"/>
      <c r="HIS64" s="607"/>
      <c r="HIT64" s="607"/>
      <c r="HIU64" s="607"/>
      <c r="HIV64" s="607"/>
      <c r="HIW64" s="607"/>
      <c r="HIX64" s="607"/>
      <c r="HIY64" s="607"/>
      <c r="HIZ64" s="607"/>
      <c r="HJA64" s="607"/>
      <c r="HJB64" s="607"/>
      <c r="HJC64" s="607"/>
      <c r="HJD64" s="607"/>
      <c r="HJE64" s="607"/>
      <c r="HJF64" s="607"/>
      <c r="HJG64" s="607"/>
      <c r="HJH64" s="607"/>
      <c r="HJI64" s="607"/>
      <c r="HJJ64" s="607"/>
      <c r="HJK64" s="607"/>
      <c r="HJL64" s="607"/>
      <c r="HJM64" s="607"/>
      <c r="HJN64" s="607"/>
      <c r="HJO64" s="607"/>
      <c r="HJP64" s="607"/>
      <c r="HJQ64" s="607"/>
      <c r="HJR64" s="607"/>
      <c r="HJS64" s="607"/>
      <c r="HJT64" s="607"/>
      <c r="HJU64" s="607"/>
      <c r="HJV64" s="607"/>
      <c r="HJW64" s="607"/>
      <c r="HJX64" s="607"/>
      <c r="HJY64" s="607"/>
      <c r="HJZ64" s="607"/>
      <c r="HKA64" s="607"/>
      <c r="HKB64" s="607"/>
      <c r="HKC64" s="607"/>
      <c r="HKD64" s="607"/>
      <c r="HKE64" s="607"/>
      <c r="HKF64" s="607"/>
      <c r="HKG64" s="607"/>
      <c r="HKH64" s="607"/>
      <c r="HKI64" s="607"/>
      <c r="HKJ64" s="607"/>
      <c r="HKK64" s="607"/>
      <c r="HKL64" s="607"/>
      <c r="HKM64" s="607"/>
      <c r="HKN64" s="607"/>
      <c r="HKO64" s="607"/>
      <c r="HKP64" s="607"/>
      <c r="HKQ64" s="607"/>
      <c r="HKR64" s="607"/>
      <c r="HKS64" s="607"/>
      <c r="HKT64" s="607"/>
      <c r="HKU64" s="607"/>
      <c r="HKV64" s="607"/>
      <c r="HKW64" s="607"/>
      <c r="HKX64" s="607"/>
      <c r="HKY64" s="607"/>
      <c r="HKZ64" s="607"/>
      <c r="HLA64" s="607"/>
      <c r="HLB64" s="607"/>
      <c r="HLC64" s="607"/>
      <c r="HLD64" s="607"/>
      <c r="HLE64" s="607"/>
      <c r="HLF64" s="607"/>
      <c r="HLG64" s="607"/>
      <c r="HLH64" s="607"/>
      <c r="HLI64" s="607"/>
      <c r="HLJ64" s="607"/>
      <c r="HLK64" s="607"/>
      <c r="HLL64" s="607"/>
      <c r="HLM64" s="607"/>
      <c r="HLN64" s="607"/>
      <c r="HLO64" s="607"/>
      <c r="HLP64" s="607"/>
      <c r="HLQ64" s="607"/>
      <c r="HLR64" s="607"/>
      <c r="HLS64" s="607"/>
      <c r="HLT64" s="607"/>
      <c r="HLU64" s="607"/>
      <c r="HLV64" s="607"/>
      <c r="HLW64" s="607"/>
      <c r="HLX64" s="607"/>
      <c r="HLY64" s="607"/>
      <c r="HLZ64" s="607"/>
      <c r="HMA64" s="607"/>
      <c r="HMB64" s="607"/>
      <c r="HMC64" s="607"/>
      <c r="HMD64" s="607"/>
      <c r="HME64" s="607"/>
      <c r="HMF64" s="607"/>
      <c r="HMG64" s="607"/>
      <c r="HMH64" s="607"/>
      <c r="HMI64" s="607"/>
      <c r="HMJ64" s="607"/>
      <c r="HMK64" s="607"/>
      <c r="HML64" s="607"/>
      <c r="HMM64" s="607"/>
      <c r="HMN64" s="607"/>
      <c r="HMO64" s="607"/>
      <c r="HMP64" s="607"/>
      <c r="HMQ64" s="607"/>
      <c r="HMR64" s="607"/>
      <c r="HMS64" s="607"/>
      <c r="HMT64" s="607"/>
      <c r="HMU64" s="607"/>
      <c r="HMV64" s="607"/>
      <c r="HMW64" s="607"/>
      <c r="HMX64" s="607"/>
      <c r="HMY64" s="607"/>
      <c r="HMZ64" s="607"/>
      <c r="HNA64" s="607"/>
      <c r="HNB64" s="607"/>
      <c r="HNC64" s="607"/>
      <c r="HND64" s="607"/>
      <c r="HNE64" s="607"/>
      <c r="HNF64" s="607"/>
      <c r="HNG64" s="607"/>
      <c r="HNH64" s="607"/>
      <c r="HNI64" s="607"/>
      <c r="HNJ64" s="607"/>
      <c r="HNK64" s="607"/>
      <c r="HNL64" s="607"/>
      <c r="HNM64" s="607"/>
      <c r="HNN64" s="607"/>
      <c r="HNO64" s="607"/>
      <c r="HNP64" s="607"/>
      <c r="HNQ64" s="607"/>
      <c r="HNR64" s="607"/>
      <c r="HNS64" s="607"/>
      <c r="HNT64" s="607"/>
      <c r="HNU64" s="607"/>
      <c r="HNV64" s="607"/>
      <c r="HNW64" s="607"/>
      <c r="HNX64" s="607"/>
      <c r="HNY64" s="607"/>
      <c r="HNZ64" s="607"/>
      <c r="HOA64" s="607"/>
      <c r="HOB64" s="607"/>
      <c r="HOC64" s="607"/>
      <c r="HOD64" s="607"/>
      <c r="HOE64" s="607"/>
      <c r="HOF64" s="607"/>
      <c r="HOG64" s="607"/>
      <c r="HOH64" s="607"/>
      <c r="HOI64" s="607"/>
      <c r="HOJ64" s="607"/>
      <c r="HOK64" s="607"/>
      <c r="HOL64" s="607"/>
      <c r="HOM64" s="607"/>
      <c r="HON64" s="607"/>
      <c r="HOO64" s="607"/>
      <c r="HOP64" s="607"/>
      <c r="HOQ64" s="607"/>
      <c r="HOR64" s="607"/>
      <c r="HOS64" s="607"/>
      <c r="HOT64" s="607"/>
      <c r="HOU64" s="607"/>
      <c r="HOV64" s="607"/>
      <c r="HOW64" s="607"/>
      <c r="HOX64" s="607"/>
      <c r="HOY64" s="607"/>
      <c r="HOZ64" s="607"/>
      <c r="HPA64" s="607"/>
      <c r="HPB64" s="607"/>
      <c r="HPC64" s="607"/>
      <c r="HPD64" s="607"/>
      <c r="HPE64" s="607"/>
      <c r="HPF64" s="607"/>
      <c r="HPG64" s="607"/>
      <c r="HPH64" s="607"/>
      <c r="HPI64" s="607"/>
      <c r="HPJ64" s="607"/>
      <c r="HPK64" s="607"/>
      <c r="HPL64" s="607"/>
      <c r="HPM64" s="607"/>
      <c r="HPN64" s="607"/>
      <c r="HPO64" s="607"/>
      <c r="HPP64" s="607"/>
      <c r="HPQ64" s="607"/>
      <c r="HPR64" s="607"/>
      <c r="HPS64" s="607"/>
      <c r="HPT64" s="607"/>
      <c r="HPU64" s="607"/>
      <c r="HPV64" s="607"/>
      <c r="HPW64" s="607"/>
      <c r="HPX64" s="607"/>
      <c r="HPY64" s="607"/>
      <c r="HPZ64" s="607"/>
      <c r="HQA64" s="607"/>
      <c r="HQB64" s="607"/>
      <c r="HQC64" s="607"/>
      <c r="HQD64" s="607"/>
      <c r="HQE64" s="607"/>
      <c r="HQF64" s="607"/>
      <c r="HQG64" s="607"/>
      <c r="HQH64" s="607"/>
      <c r="HQI64" s="607"/>
      <c r="HQJ64" s="607"/>
      <c r="HQK64" s="607"/>
      <c r="HQL64" s="607"/>
      <c r="HQM64" s="607"/>
      <c r="HQN64" s="607"/>
      <c r="HQO64" s="607"/>
      <c r="HQP64" s="607"/>
      <c r="HQQ64" s="607"/>
      <c r="HQR64" s="607"/>
      <c r="HQS64" s="607"/>
      <c r="HQT64" s="607"/>
      <c r="HQU64" s="607"/>
      <c r="HQV64" s="607"/>
      <c r="HQW64" s="607"/>
      <c r="HQX64" s="607"/>
      <c r="HQY64" s="607"/>
      <c r="HQZ64" s="607"/>
      <c r="HRA64" s="607"/>
      <c r="HRB64" s="607"/>
      <c r="HRC64" s="607"/>
      <c r="HRD64" s="607"/>
      <c r="HRE64" s="607"/>
      <c r="HRF64" s="607"/>
      <c r="HRG64" s="607"/>
      <c r="HRH64" s="607"/>
      <c r="HRI64" s="607"/>
      <c r="HRJ64" s="607"/>
      <c r="HRK64" s="607"/>
      <c r="HRL64" s="607"/>
      <c r="HRM64" s="607"/>
      <c r="HRN64" s="607"/>
      <c r="HRO64" s="607"/>
      <c r="HRP64" s="607"/>
      <c r="HRQ64" s="607"/>
      <c r="HRR64" s="607"/>
      <c r="HRS64" s="607"/>
      <c r="HRT64" s="607"/>
      <c r="HRU64" s="607"/>
      <c r="HRV64" s="607"/>
      <c r="HRW64" s="607"/>
      <c r="HRX64" s="607"/>
      <c r="HRY64" s="607"/>
      <c r="HRZ64" s="607"/>
      <c r="HSA64" s="607"/>
      <c r="HSB64" s="607"/>
      <c r="HSC64" s="607"/>
      <c r="HSD64" s="607"/>
      <c r="HSE64" s="607"/>
      <c r="HSF64" s="607"/>
      <c r="HSG64" s="607"/>
      <c r="HSH64" s="607"/>
      <c r="HSI64" s="607"/>
      <c r="HSJ64" s="607"/>
      <c r="HSK64" s="607"/>
      <c r="HSL64" s="607"/>
      <c r="HSM64" s="607"/>
      <c r="HSN64" s="607"/>
      <c r="HSO64" s="607"/>
      <c r="HSP64" s="607"/>
      <c r="HSQ64" s="607"/>
      <c r="HSR64" s="607"/>
      <c r="HSS64" s="607"/>
      <c r="HST64" s="607"/>
      <c r="HSU64" s="607"/>
      <c r="HSV64" s="607"/>
      <c r="HSW64" s="607"/>
      <c r="HSX64" s="607"/>
      <c r="HSY64" s="607"/>
      <c r="HSZ64" s="607"/>
      <c r="HTA64" s="607"/>
      <c r="HTB64" s="607"/>
      <c r="HTC64" s="607"/>
      <c r="HTD64" s="607"/>
      <c r="HTE64" s="607"/>
      <c r="HTF64" s="607"/>
      <c r="HTG64" s="607"/>
      <c r="HTH64" s="607"/>
      <c r="HTI64" s="607"/>
      <c r="HTJ64" s="607"/>
      <c r="HTK64" s="607"/>
      <c r="HTL64" s="607"/>
      <c r="HTM64" s="607"/>
      <c r="HTN64" s="607"/>
      <c r="HTO64" s="607"/>
      <c r="HTP64" s="607"/>
      <c r="HTQ64" s="607"/>
      <c r="HTR64" s="607"/>
      <c r="HTS64" s="607"/>
      <c r="HTT64" s="607"/>
      <c r="HTU64" s="607"/>
      <c r="HTV64" s="607"/>
      <c r="HTW64" s="607"/>
      <c r="HTX64" s="607"/>
      <c r="HTY64" s="607"/>
      <c r="HTZ64" s="607"/>
      <c r="HUA64" s="607"/>
      <c r="HUB64" s="607"/>
      <c r="HUC64" s="607"/>
      <c r="HUD64" s="607"/>
      <c r="HUE64" s="607"/>
      <c r="HUF64" s="607"/>
      <c r="HUG64" s="607"/>
      <c r="HUH64" s="607"/>
      <c r="HUI64" s="607"/>
      <c r="HUJ64" s="607"/>
      <c r="HUK64" s="607"/>
      <c r="HUL64" s="607"/>
      <c r="HUM64" s="607"/>
      <c r="HUN64" s="607"/>
      <c r="HUO64" s="607"/>
      <c r="HUP64" s="607"/>
      <c r="HUQ64" s="607"/>
      <c r="HUR64" s="607"/>
      <c r="HUS64" s="607"/>
      <c r="HUT64" s="607"/>
      <c r="HUU64" s="607"/>
      <c r="HUV64" s="607"/>
      <c r="HUW64" s="607"/>
      <c r="HUX64" s="607"/>
      <c r="HUY64" s="607"/>
      <c r="HUZ64" s="607"/>
      <c r="HVA64" s="607"/>
      <c r="HVB64" s="607"/>
      <c r="HVC64" s="607"/>
      <c r="HVD64" s="607"/>
      <c r="HVE64" s="607"/>
      <c r="HVF64" s="607"/>
      <c r="HVG64" s="607"/>
      <c r="HVH64" s="607"/>
      <c r="HVI64" s="607"/>
      <c r="HVJ64" s="607"/>
      <c r="HVK64" s="607"/>
      <c r="HVL64" s="607"/>
      <c r="HVM64" s="607"/>
      <c r="HVN64" s="607"/>
      <c r="HVO64" s="607"/>
      <c r="HVP64" s="607"/>
      <c r="HVQ64" s="607"/>
      <c r="HVR64" s="607"/>
      <c r="HVS64" s="607"/>
      <c r="HVT64" s="607"/>
      <c r="HVU64" s="607"/>
      <c r="HVV64" s="607"/>
      <c r="HVW64" s="607"/>
      <c r="HVX64" s="607"/>
      <c r="HVY64" s="607"/>
      <c r="HVZ64" s="607"/>
      <c r="HWA64" s="607"/>
      <c r="HWB64" s="607"/>
      <c r="HWC64" s="607"/>
      <c r="HWD64" s="607"/>
      <c r="HWE64" s="607"/>
      <c r="HWF64" s="607"/>
      <c r="HWG64" s="607"/>
      <c r="HWH64" s="607"/>
      <c r="HWI64" s="607"/>
      <c r="HWJ64" s="607"/>
      <c r="HWK64" s="607"/>
      <c r="HWL64" s="607"/>
      <c r="HWM64" s="607"/>
      <c r="HWN64" s="607"/>
      <c r="HWO64" s="607"/>
      <c r="HWP64" s="607"/>
      <c r="HWQ64" s="607"/>
      <c r="HWR64" s="607"/>
      <c r="HWS64" s="607"/>
      <c r="HWT64" s="607"/>
      <c r="HWU64" s="607"/>
      <c r="HWV64" s="607"/>
      <c r="HWW64" s="607"/>
      <c r="HWX64" s="607"/>
      <c r="HWY64" s="607"/>
      <c r="HWZ64" s="607"/>
      <c r="HXA64" s="607"/>
      <c r="HXB64" s="607"/>
      <c r="HXC64" s="607"/>
      <c r="HXD64" s="607"/>
      <c r="HXE64" s="607"/>
      <c r="HXF64" s="607"/>
      <c r="HXG64" s="607"/>
      <c r="HXH64" s="607"/>
      <c r="HXI64" s="607"/>
      <c r="HXJ64" s="607"/>
      <c r="HXK64" s="607"/>
      <c r="HXL64" s="607"/>
      <c r="HXM64" s="607"/>
      <c r="HXN64" s="607"/>
      <c r="HXO64" s="607"/>
      <c r="HXP64" s="607"/>
      <c r="HXQ64" s="607"/>
      <c r="HXR64" s="607"/>
      <c r="HXS64" s="607"/>
      <c r="HXT64" s="607"/>
      <c r="HXU64" s="607"/>
      <c r="HXV64" s="607"/>
      <c r="HXW64" s="607"/>
      <c r="HXX64" s="607"/>
      <c r="HXY64" s="607"/>
      <c r="HXZ64" s="607"/>
      <c r="HYA64" s="607"/>
      <c r="HYB64" s="607"/>
      <c r="HYC64" s="607"/>
      <c r="HYD64" s="607"/>
      <c r="HYE64" s="607"/>
      <c r="HYF64" s="607"/>
      <c r="HYG64" s="607"/>
      <c r="HYH64" s="607"/>
      <c r="HYI64" s="607"/>
      <c r="HYJ64" s="607"/>
      <c r="HYK64" s="607"/>
      <c r="HYL64" s="607"/>
      <c r="HYM64" s="607"/>
      <c r="HYN64" s="607"/>
      <c r="HYO64" s="607"/>
      <c r="HYP64" s="607"/>
      <c r="HYQ64" s="607"/>
      <c r="HYR64" s="607"/>
      <c r="HYS64" s="607"/>
      <c r="HYT64" s="607"/>
      <c r="HYU64" s="607"/>
      <c r="HYV64" s="607"/>
      <c r="HYW64" s="607"/>
      <c r="HYX64" s="607"/>
      <c r="HYY64" s="607"/>
      <c r="HYZ64" s="607"/>
      <c r="HZA64" s="607"/>
      <c r="HZB64" s="607"/>
      <c r="HZC64" s="607"/>
      <c r="HZD64" s="607"/>
      <c r="HZE64" s="607"/>
      <c r="HZF64" s="607"/>
      <c r="HZG64" s="607"/>
      <c r="HZH64" s="607"/>
      <c r="HZI64" s="607"/>
      <c r="HZJ64" s="607"/>
      <c r="HZK64" s="607"/>
      <c r="HZL64" s="607"/>
      <c r="HZM64" s="607"/>
      <c r="HZN64" s="607"/>
      <c r="HZO64" s="607"/>
      <c r="HZP64" s="607"/>
      <c r="HZQ64" s="607"/>
      <c r="HZR64" s="607"/>
      <c r="HZS64" s="607"/>
      <c r="HZT64" s="607"/>
      <c r="HZU64" s="607"/>
      <c r="HZV64" s="607"/>
      <c r="HZW64" s="607"/>
      <c r="HZX64" s="607"/>
      <c r="HZY64" s="607"/>
      <c r="HZZ64" s="607"/>
      <c r="IAA64" s="607"/>
      <c r="IAB64" s="607"/>
      <c r="IAC64" s="607"/>
      <c r="IAD64" s="607"/>
      <c r="IAE64" s="607"/>
      <c r="IAF64" s="607"/>
      <c r="IAG64" s="607"/>
      <c r="IAH64" s="607"/>
      <c r="IAI64" s="607"/>
      <c r="IAJ64" s="607"/>
      <c r="IAK64" s="607"/>
      <c r="IAL64" s="607"/>
      <c r="IAM64" s="607"/>
      <c r="IAN64" s="607"/>
      <c r="IAO64" s="607"/>
      <c r="IAP64" s="607"/>
      <c r="IAQ64" s="607"/>
      <c r="IAR64" s="607"/>
      <c r="IAS64" s="607"/>
      <c r="IAT64" s="607"/>
      <c r="IAU64" s="607"/>
      <c r="IAV64" s="607"/>
      <c r="IAW64" s="607"/>
      <c r="IAX64" s="607"/>
      <c r="IAY64" s="607"/>
      <c r="IAZ64" s="607"/>
      <c r="IBA64" s="607"/>
      <c r="IBB64" s="607"/>
      <c r="IBC64" s="607"/>
      <c r="IBD64" s="607"/>
      <c r="IBE64" s="607"/>
      <c r="IBF64" s="607"/>
      <c r="IBG64" s="607"/>
      <c r="IBH64" s="607"/>
      <c r="IBI64" s="607"/>
      <c r="IBJ64" s="607"/>
      <c r="IBK64" s="607"/>
      <c r="IBL64" s="607"/>
      <c r="IBM64" s="607"/>
      <c r="IBN64" s="607"/>
      <c r="IBO64" s="607"/>
      <c r="IBP64" s="607"/>
      <c r="IBQ64" s="607"/>
      <c r="IBR64" s="607"/>
      <c r="IBS64" s="607"/>
      <c r="IBT64" s="607"/>
      <c r="IBU64" s="607"/>
      <c r="IBV64" s="607"/>
      <c r="IBW64" s="607"/>
      <c r="IBX64" s="607"/>
      <c r="IBY64" s="607"/>
      <c r="IBZ64" s="607"/>
      <c r="ICA64" s="607"/>
      <c r="ICB64" s="607"/>
      <c r="ICC64" s="607"/>
      <c r="ICD64" s="607"/>
      <c r="ICE64" s="607"/>
      <c r="ICF64" s="607"/>
      <c r="ICG64" s="607"/>
      <c r="ICH64" s="607"/>
      <c r="ICI64" s="607"/>
      <c r="ICJ64" s="607"/>
      <c r="ICK64" s="607"/>
      <c r="ICL64" s="607"/>
      <c r="ICM64" s="607"/>
      <c r="ICN64" s="607"/>
      <c r="ICO64" s="607"/>
      <c r="ICP64" s="607"/>
      <c r="ICQ64" s="607"/>
      <c r="ICR64" s="607"/>
      <c r="ICS64" s="607"/>
      <c r="ICT64" s="607"/>
      <c r="ICU64" s="607"/>
      <c r="ICV64" s="607"/>
      <c r="ICW64" s="607"/>
      <c r="ICX64" s="607"/>
      <c r="ICY64" s="607"/>
      <c r="ICZ64" s="607"/>
      <c r="IDA64" s="607"/>
      <c r="IDB64" s="607"/>
      <c r="IDC64" s="607"/>
      <c r="IDD64" s="607"/>
      <c r="IDE64" s="607"/>
      <c r="IDF64" s="607"/>
      <c r="IDG64" s="607"/>
      <c r="IDH64" s="607"/>
      <c r="IDI64" s="607"/>
      <c r="IDJ64" s="607"/>
      <c r="IDK64" s="607"/>
      <c r="IDL64" s="607"/>
      <c r="IDM64" s="607"/>
      <c r="IDN64" s="607"/>
      <c r="IDO64" s="607"/>
      <c r="IDP64" s="607"/>
      <c r="IDQ64" s="607"/>
      <c r="IDR64" s="607"/>
      <c r="IDS64" s="607"/>
      <c r="IDT64" s="607"/>
      <c r="IDU64" s="607"/>
      <c r="IDV64" s="607"/>
      <c r="IDW64" s="607"/>
      <c r="IDX64" s="607"/>
      <c r="IDY64" s="607"/>
      <c r="IDZ64" s="607"/>
      <c r="IEA64" s="607"/>
      <c r="IEB64" s="607"/>
      <c r="IEC64" s="607"/>
      <c r="IED64" s="607"/>
      <c r="IEE64" s="607"/>
      <c r="IEF64" s="607"/>
      <c r="IEG64" s="607"/>
      <c r="IEH64" s="607"/>
      <c r="IEI64" s="607"/>
      <c r="IEJ64" s="607"/>
      <c r="IEK64" s="607"/>
      <c r="IEL64" s="607"/>
      <c r="IEM64" s="607"/>
      <c r="IEN64" s="607"/>
      <c r="IEO64" s="607"/>
      <c r="IEP64" s="607"/>
      <c r="IEQ64" s="607"/>
      <c r="IER64" s="607"/>
      <c r="IES64" s="607"/>
      <c r="IET64" s="607"/>
      <c r="IEU64" s="607"/>
      <c r="IEV64" s="607"/>
      <c r="IEW64" s="607"/>
      <c r="IEX64" s="607"/>
      <c r="IEY64" s="607"/>
      <c r="IEZ64" s="607"/>
      <c r="IFA64" s="607"/>
      <c r="IFB64" s="607"/>
      <c r="IFC64" s="607"/>
      <c r="IFD64" s="607"/>
      <c r="IFE64" s="607"/>
      <c r="IFF64" s="607"/>
      <c r="IFG64" s="607"/>
      <c r="IFH64" s="607"/>
      <c r="IFI64" s="607"/>
      <c r="IFJ64" s="607"/>
      <c r="IFK64" s="607"/>
      <c r="IFL64" s="607"/>
      <c r="IFM64" s="607"/>
      <c r="IFN64" s="607"/>
      <c r="IFO64" s="607"/>
      <c r="IFP64" s="607"/>
      <c r="IFQ64" s="607"/>
      <c r="IFR64" s="607"/>
      <c r="IFS64" s="607"/>
      <c r="IFT64" s="607"/>
      <c r="IFU64" s="607"/>
      <c r="IFV64" s="607"/>
      <c r="IFW64" s="607"/>
      <c r="IFX64" s="607"/>
      <c r="IFY64" s="607"/>
      <c r="IFZ64" s="607"/>
      <c r="IGA64" s="607"/>
      <c r="IGB64" s="607"/>
      <c r="IGC64" s="607"/>
      <c r="IGD64" s="607"/>
      <c r="IGE64" s="607"/>
      <c r="IGF64" s="607"/>
      <c r="IGG64" s="607"/>
      <c r="IGH64" s="607"/>
      <c r="IGI64" s="607"/>
      <c r="IGJ64" s="607"/>
      <c r="IGK64" s="607"/>
      <c r="IGL64" s="607"/>
      <c r="IGM64" s="607"/>
      <c r="IGN64" s="607"/>
      <c r="IGO64" s="607"/>
      <c r="IGP64" s="607"/>
      <c r="IGQ64" s="607"/>
      <c r="IGR64" s="607"/>
      <c r="IGS64" s="607"/>
      <c r="IGT64" s="607"/>
      <c r="IGU64" s="607"/>
      <c r="IGV64" s="607"/>
      <c r="IGW64" s="607"/>
      <c r="IGX64" s="607"/>
      <c r="IGY64" s="607"/>
      <c r="IGZ64" s="607"/>
      <c r="IHA64" s="607"/>
      <c r="IHB64" s="607"/>
      <c r="IHC64" s="607"/>
      <c r="IHD64" s="607"/>
      <c r="IHE64" s="607"/>
      <c r="IHF64" s="607"/>
      <c r="IHG64" s="607"/>
      <c r="IHH64" s="607"/>
      <c r="IHI64" s="607"/>
      <c r="IHJ64" s="607"/>
      <c r="IHK64" s="607"/>
      <c r="IHL64" s="607"/>
      <c r="IHM64" s="607"/>
      <c r="IHN64" s="607"/>
      <c r="IHO64" s="607"/>
      <c r="IHP64" s="607"/>
      <c r="IHQ64" s="607"/>
      <c r="IHR64" s="607"/>
      <c r="IHS64" s="607"/>
      <c r="IHT64" s="607"/>
      <c r="IHU64" s="607"/>
      <c r="IHV64" s="607"/>
      <c r="IHW64" s="607"/>
      <c r="IHX64" s="607"/>
      <c r="IHY64" s="607"/>
      <c r="IHZ64" s="607"/>
      <c r="IIA64" s="607"/>
      <c r="IIB64" s="607"/>
      <c r="IIC64" s="607"/>
      <c r="IID64" s="607"/>
      <c r="IIE64" s="607"/>
      <c r="IIF64" s="607"/>
      <c r="IIG64" s="607"/>
      <c r="IIH64" s="607"/>
      <c r="III64" s="607"/>
      <c r="IIJ64" s="607"/>
      <c r="IIK64" s="607"/>
      <c r="IIL64" s="607"/>
      <c r="IIM64" s="607"/>
      <c r="IIN64" s="607"/>
      <c r="IIO64" s="607"/>
      <c r="IIP64" s="607"/>
      <c r="IIQ64" s="607"/>
      <c r="IIR64" s="607"/>
      <c r="IIS64" s="607"/>
      <c r="IIT64" s="607"/>
      <c r="IIU64" s="607"/>
      <c r="IIV64" s="607"/>
      <c r="IIW64" s="607"/>
      <c r="IIX64" s="607"/>
      <c r="IIY64" s="607"/>
      <c r="IIZ64" s="607"/>
      <c r="IJA64" s="607"/>
      <c r="IJB64" s="607"/>
      <c r="IJC64" s="607"/>
      <c r="IJD64" s="607"/>
      <c r="IJE64" s="607"/>
      <c r="IJF64" s="607"/>
      <c r="IJG64" s="607"/>
      <c r="IJH64" s="607"/>
      <c r="IJI64" s="607"/>
      <c r="IJJ64" s="607"/>
      <c r="IJK64" s="607"/>
      <c r="IJL64" s="607"/>
      <c r="IJM64" s="607"/>
      <c r="IJN64" s="607"/>
      <c r="IJO64" s="607"/>
      <c r="IJP64" s="607"/>
      <c r="IJQ64" s="607"/>
      <c r="IJR64" s="607"/>
      <c r="IJS64" s="607"/>
      <c r="IJT64" s="607"/>
      <c r="IJU64" s="607"/>
      <c r="IJV64" s="607"/>
      <c r="IJW64" s="607"/>
      <c r="IJX64" s="607"/>
      <c r="IJY64" s="607"/>
      <c r="IJZ64" s="607"/>
      <c r="IKA64" s="607"/>
      <c r="IKB64" s="607"/>
      <c r="IKC64" s="607"/>
      <c r="IKD64" s="607"/>
      <c r="IKE64" s="607"/>
      <c r="IKF64" s="607"/>
      <c r="IKG64" s="607"/>
      <c r="IKH64" s="607"/>
      <c r="IKI64" s="607"/>
      <c r="IKJ64" s="607"/>
      <c r="IKK64" s="607"/>
      <c r="IKL64" s="607"/>
      <c r="IKM64" s="607"/>
      <c r="IKN64" s="607"/>
      <c r="IKO64" s="607"/>
      <c r="IKP64" s="607"/>
      <c r="IKQ64" s="607"/>
      <c r="IKR64" s="607"/>
      <c r="IKS64" s="607"/>
      <c r="IKT64" s="607"/>
      <c r="IKU64" s="607"/>
      <c r="IKV64" s="607"/>
      <c r="IKW64" s="607"/>
      <c r="IKX64" s="607"/>
      <c r="IKY64" s="607"/>
      <c r="IKZ64" s="607"/>
      <c r="ILA64" s="607"/>
      <c r="ILB64" s="607"/>
      <c r="ILC64" s="607"/>
      <c r="ILD64" s="607"/>
      <c r="ILE64" s="607"/>
      <c r="ILF64" s="607"/>
      <c r="ILG64" s="607"/>
      <c r="ILH64" s="607"/>
      <c r="ILI64" s="607"/>
      <c r="ILJ64" s="607"/>
      <c r="ILK64" s="607"/>
      <c r="ILL64" s="607"/>
      <c r="ILM64" s="607"/>
      <c r="ILN64" s="607"/>
      <c r="ILO64" s="607"/>
      <c r="ILP64" s="607"/>
      <c r="ILQ64" s="607"/>
      <c r="ILR64" s="607"/>
      <c r="ILS64" s="607"/>
      <c r="ILT64" s="607"/>
      <c r="ILU64" s="607"/>
      <c r="ILV64" s="607"/>
      <c r="ILW64" s="607"/>
      <c r="ILX64" s="607"/>
      <c r="ILY64" s="607"/>
      <c r="ILZ64" s="607"/>
      <c r="IMA64" s="607"/>
      <c r="IMB64" s="607"/>
      <c r="IMC64" s="607"/>
      <c r="IMD64" s="607"/>
      <c r="IME64" s="607"/>
      <c r="IMF64" s="607"/>
      <c r="IMG64" s="607"/>
      <c r="IMH64" s="607"/>
      <c r="IMI64" s="607"/>
      <c r="IMJ64" s="607"/>
      <c r="IMK64" s="607"/>
      <c r="IML64" s="607"/>
      <c r="IMM64" s="607"/>
      <c r="IMN64" s="607"/>
      <c r="IMO64" s="607"/>
      <c r="IMP64" s="607"/>
      <c r="IMQ64" s="607"/>
      <c r="IMR64" s="607"/>
      <c r="IMS64" s="607"/>
      <c r="IMT64" s="607"/>
      <c r="IMU64" s="607"/>
      <c r="IMV64" s="607"/>
      <c r="IMW64" s="607"/>
      <c r="IMX64" s="607"/>
      <c r="IMY64" s="607"/>
      <c r="IMZ64" s="607"/>
      <c r="INA64" s="607"/>
      <c r="INB64" s="607"/>
      <c r="INC64" s="607"/>
      <c r="IND64" s="607"/>
      <c r="INE64" s="607"/>
      <c r="INF64" s="607"/>
      <c r="ING64" s="607"/>
      <c r="INH64" s="607"/>
      <c r="INI64" s="607"/>
      <c r="INJ64" s="607"/>
      <c r="INK64" s="607"/>
      <c r="INL64" s="607"/>
      <c r="INM64" s="607"/>
      <c r="INN64" s="607"/>
      <c r="INO64" s="607"/>
      <c r="INP64" s="607"/>
      <c r="INQ64" s="607"/>
      <c r="INR64" s="607"/>
      <c r="INS64" s="607"/>
      <c r="INT64" s="607"/>
      <c r="INU64" s="607"/>
      <c r="INV64" s="607"/>
      <c r="INW64" s="607"/>
      <c r="INX64" s="607"/>
      <c r="INY64" s="607"/>
      <c r="INZ64" s="607"/>
      <c r="IOA64" s="607"/>
      <c r="IOB64" s="607"/>
      <c r="IOC64" s="607"/>
      <c r="IOD64" s="607"/>
      <c r="IOE64" s="607"/>
      <c r="IOF64" s="607"/>
      <c r="IOG64" s="607"/>
      <c r="IOH64" s="607"/>
      <c r="IOI64" s="607"/>
      <c r="IOJ64" s="607"/>
      <c r="IOK64" s="607"/>
      <c r="IOL64" s="607"/>
      <c r="IOM64" s="607"/>
      <c r="ION64" s="607"/>
      <c r="IOO64" s="607"/>
      <c r="IOP64" s="607"/>
      <c r="IOQ64" s="607"/>
      <c r="IOR64" s="607"/>
      <c r="IOS64" s="607"/>
      <c r="IOT64" s="607"/>
      <c r="IOU64" s="607"/>
      <c r="IOV64" s="607"/>
      <c r="IOW64" s="607"/>
      <c r="IOX64" s="607"/>
      <c r="IOY64" s="607"/>
      <c r="IOZ64" s="607"/>
      <c r="IPA64" s="607"/>
      <c r="IPB64" s="607"/>
      <c r="IPC64" s="607"/>
      <c r="IPD64" s="607"/>
      <c r="IPE64" s="607"/>
      <c r="IPF64" s="607"/>
      <c r="IPG64" s="607"/>
      <c r="IPH64" s="607"/>
      <c r="IPI64" s="607"/>
      <c r="IPJ64" s="607"/>
      <c r="IPK64" s="607"/>
      <c r="IPL64" s="607"/>
      <c r="IPM64" s="607"/>
      <c r="IPN64" s="607"/>
      <c r="IPO64" s="607"/>
      <c r="IPP64" s="607"/>
      <c r="IPQ64" s="607"/>
      <c r="IPR64" s="607"/>
      <c r="IPS64" s="607"/>
      <c r="IPT64" s="607"/>
      <c r="IPU64" s="607"/>
      <c r="IPV64" s="607"/>
      <c r="IPW64" s="607"/>
      <c r="IPX64" s="607"/>
      <c r="IPY64" s="607"/>
      <c r="IPZ64" s="607"/>
      <c r="IQA64" s="607"/>
      <c r="IQB64" s="607"/>
      <c r="IQC64" s="607"/>
      <c r="IQD64" s="607"/>
      <c r="IQE64" s="607"/>
      <c r="IQF64" s="607"/>
      <c r="IQG64" s="607"/>
      <c r="IQH64" s="607"/>
      <c r="IQI64" s="607"/>
      <c r="IQJ64" s="607"/>
      <c r="IQK64" s="607"/>
      <c r="IQL64" s="607"/>
      <c r="IQM64" s="607"/>
      <c r="IQN64" s="607"/>
      <c r="IQO64" s="607"/>
      <c r="IQP64" s="607"/>
      <c r="IQQ64" s="607"/>
      <c r="IQR64" s="607"/>
      <c r="IQS64" s="607"/>
      <c r="IQT64" s="607"/>
      <c r="IQU64" s="607"/>
      <c r="IQV64" s="607"/>
      <c r="IQW64" s="607"/>
      <c r="IQX64" s="607"/>
      <c r="IQY64" s="607"/>
      <c r="IQZ64" s="607"/>
      <c r="IRA64" s="607"/>
      <c r="IRB64" s="607"/>
      <c r="IRC64" s="607"/>
      <c r="IRD64" s="607"/>
      <c r="IRE64" s="607"/>
      <c r="IRF64" s="607"/>
      <c r="IRG64" s="607"/>
      <c r="IRH64" s="607"/>
      <c r="IRI64" s="607"/>
      <c r="IRJ64" s="607"/>
      <c r="IRK64" s="607"/>
      <c r="IRL64" s="607"/>
      <c r="IRM64" s="607"/>
      <c r="IRN64" s="607"/>
      <c r="IRO64" s="607"/>
      <c r="IRP64" s="607"/>
      <c r="IRQ64" s="607"/>
      <c r="IRR64" s="607"/>
      <c r="IRS64" s="607"/>
      <c r="IRT64" s="607"/>
      <c r="IRU64" s="607"/>
      <c r="IRV64" s="607"/>
      <c r="IRW64" s="607"/>
      <c r="IRX64" s="607"/>
      <c r="IRY64" s="607"/>
      <c r="IRZ64" s="607"/>
      <c r="ISA64" s="607"/>
      <c r="ISB64" s="607"/>
      <c r="ISC64" s="607"/>
      <c r="ISD64" s="607"/>
      <c r="ISE64" s="607"/>
      <c r="ISF64" s="607"/>
      <c r="ISG64" s="607"/>
      <c r="ISH64" s="607"/>
      <c r="ISI64" s="607"/>
      <c r="ISJ64" s="607"/>
      <c r="ISK64" s="607"/>
      <c r="ISL64" s="607"/>
      <c r="ISM64" s="607"/>
      <c r="ISN64" s="607"/>
      <c r="ISO64" s="607"/>
      <c r="ISP64" s="607"/>
      <c r="ISQ64" s="607"/>
      <c r="ISR64" s="607"/>
      <c r="ISS64" s="607"/>
      <c r="IST64" s="607"/>
      <c r="ISU64" s="607"/>
      <c r="ISV64" s="607"/>
      <c r="ISW64" s="607"/>
      <c r="ISX64" s="607"/>
      <c r="ISY64" s="607"/>
      <c r="ISZ64" s="607"/>
      <c r="ITA64" s="607"/>
      <c r="ITB64" s="607"/>
      <c r="ITC64" s="607"/>
      <c r="ITD64" s="607"/>
      <c r="ITE64" s="607"/>
      <c r="ITF64" s="607"/>
      <c r="ITG64" s="607"/>
      <c r="ITH64" s="607"/>
      <c r="ITI64" s="607"/>
      <c r="ITJ64" s="607"/>
      <c r="ITK64" s="607"/>
      <c r="ITL64" s="607"/>
      <c r="ITM64" s="607"/>
      <c r="ITN64" s="607"/>
      <c r="ITO64" s="607"/>
      <c r="ITP64" s="607"/>
      <c r="ITQ64" s="607"/>
      <c r="ITR64" s="607"/>
      <c r="ITS64" s="607"/>
      <c r="ITT64" s="607"/>
      <c r="ITU64" s="607"/>
      <c r="ITV64" s="607"/>
      <c r="ITW64" s="607"/>
      <c r="ITX64" s="607"/>
      <c r="ITY64" s="607"/>
      <c r="ITZ64" s="607"/>
      <c r="IUA64" s="607"/>
      <c r="IUB64" s="607"/>
      <c r="IUC64" s="607"/>
      <c r="IUD64" s="607"/>
      <c r="IUE64" s="607"/>
      <c r="IUF64" s="607"/>
      <c r="IUG64" s="607"/>
      <c r="IUH64" s="607"/>
      <c r="IUI64" s="607"/>
      <c r="IUJ64" s="607"/>
      <c r="IUK64" s="607"/>
      <c r="IUL64" s="607"/>
      <c r="IUM64" s="607"/>
      <c r="IUN64" s="607"/>
      <c r="IUO64" s="607"/>
      <c r="IUP64" s="607"/>
      <c r="IUQ64" s="607"/>
      <c r="IUR64" s="607"/>
      <c r="IUS64" s="607"/>
      <c r="IUT64" s="607"/>
      <c r="IUU64" s="607"/>
      <c r="IUV64" s="607"/>
      <c r="IUW64" s="607"/>
      <c r="IUX64" s="607"/>
      <c r="IUY64" s="607"/>
      <c r="IUZ64" s="607"/>
      <c r="IVA64" s="607"/>
      <c r="IVB64" s="607"/>
      <c r="IVC64" s="607"/>
      <c r="IVD64" s="607"/>
      <c r="IVE64" s="607"/>
      <c r="IVF64" s="607"/>
      <c r="IVG64" s="607"/>
      <c r="IVH64" s="607"/>
      <c r="IVI64" s="607"/>
      <c r="IVJ64" s="607"/>
      <c r="IVK64" s="607"/>
      <c r="IVL64" s="607"/>
      <c r="IVM64" s="607"/>
      <c r="IVN64" s="607"/>
      <c r="IVO64" s="607"/>
      <c r="IVP64" s="607"/>
      <c r="IVQ64" s="607"/>
      <c r="IVR64" s="607"/>
      <c r="IVS64" s="607"/>
      <c r="IVT64" s="607"/>
      <c r="IVU64" s="607"/>
      <c r="IVV64" s="607"/>
      <c r="IVW64" s="607"/>
      <c r="IVX64" s="607"/>
      <c r="IVY64" s="607"/>
      <c r="IVZ64" s="607"/>
      <c r="IWA64" s="607"/>
      <c r="IWB64" s="607"/>
      <c r="IWC64" s="607"/>
      <c r="IWD64" s="607"/>
      <c r="IWE64" s="607"/>
      <c r="IWF64" s="607"/>
      <c r="IWG64" s="607"/>
      <c r="IWH64" s="607"/>
      <c r="IWI64" s="607"/>
      <c r="IWJ64" s="607"/>
      <c r="IWK64" s="607"/>
      <c r="IWL64" s="607"/>
      <c r="IWM64" s="607"/>
      <c r="IWN64" s="607"/>
      <c r="IWO64" s="607"/>
      <c r="IWP64" s="607"/>
      <c r="IWQ64" s="607"/>
      <c r="IWR64" s="607"/>
      <c r="IWS64" s="607"/>
      <c r="IWT64" s="607"/>
      <c r="IWU64" s="607"/>
      <c r="IWV64" s="607"/>
      <c r="IWW64" s="607"/>
      <c r="IWX64" s="607"/>
      <c r="IWY64" s="607"/>
      <c r="IWZ64" s="607"/>
      <c r="IXA64" s="607"/>
      <c r="IXB64" s="607"/>
      <c r="IXC64" s="607"/>
      <c r="IXD64" s="607"/>
      <c r="IXE64" s="607"/>
      <c r="IXF64" s="607"/>
      <c r="IXG64" s="607"/>
      <c r="IXH64" s="607"/>
      <c r="IXI64" s="607"/>
      <c r="IXJ64" s="607"/>
      <c r="IXK64" s="607"/>
      <c r="IXL64" s="607"/>
      <c r="IXM64" s="607"/>
      <c r="IXN64" s="607"/>
      <c r="IXO64" s="607"/>
      <c r="IXP64" s="607"/>
      <c r="IXQ64" s="607"/>
      <c r="IXR64" s="607"/>
      <c r="IXS64" s="607"/>
      <c r="IXT64" s="607"/>
      <c r="IXU64" s="607"/>
      <c r="IXV64" s="607"/>
      <c r="IXW64" s="607"/>
      <c r="IXX64" s="607"/>
      <c r="IXY64" s="607"/>
      <c r="IXZ64" s="607"/>
      <c r="IYA64" s="607"/>
      <c r="IYB64" s="607"/>
      <c r="IYC64" s="607"/>
      <c r="IYD64" s="607"/>
      <c r="IYE64" s="607"/>
      <c r="IYF64" s="607"/>
      <c r="IYG64" s="607"/>
      <c r="IYH64" s="607"/>
      <c r="IYI64" s="607"/>
      <c r="IYJ64" s="607"/>
      <c r="IYK64" s="607"/>
      <c r="IYL64" s="607"/>
      <c r="IYM64" s="607"/>
      <c r="IYN64" s="607"/>
      <c r="IYO64" s="607"/>
      <c r="IYP64" s="607"/>
      <c r="IYQ64" s="607"/>
      <c r="IYR64" s="607"/>
      <c r="IYS64" s="607"/>
      <c r="IYT64" s="607"/>
      <c r="IYU64" s="607"/>
      <c r="IYV64" s="607"/>
      <c r="IYW64" s="607"/>
      <c r="IYX64" s="607"/>
      <c r="IYY64" s="607"/>
      <c r="IYZ64" s="607"/>
      <c r="IZA64" s="607"/>
      <c r="IZB64" s="607"/>
      <c r="IZC64" s="607"/>
      <c r="IZD64" s="607"/>
      <c r="IZE64" s="607"/>
      <c r="IZF64" s="607"/>
      <c r="IZG64" s="607"/>
      <c r="IZH64" s="607"/>
      <c r="IZI64" s="607"/>
      <c r="IZJ64" s="607"/>
      <c r="IZK64" s="607"/>
      <c r="IZL64" s="607"/>
      <c r="IZM64" s="607"/>
      <c r="IZN64" s="607"/>
      <c r="IZO64" s="607"/>
      <c r="IZP64" s="607"/>
      <c r="IZQ64" s="607"/>
      <c r="IZR64" s="607"/>
      <c r="IZS64" s="607"/>
      <c r="IZT64" s="607"/>
      <c r="IZU64" s="607"/>
      <c r="IZV64" s="607"/>
      <c r="IZW64" s="607"/>
      <c r="IZX64" s="607"/>
      <c r="IZY64" s="607"/>
      <c r="IZZ64" s="607"/>
      <c r="JAA64" s="607"/>
      <c r="JAB64" s="607"/>
      <c r="JAC64" s="607"/>
      <c r="JAD64" s="607"/>
      <c r="JAE64" s="607"/>
      <c r="JAF64" s="607"/>
      <c r="JAG64" s="607"/>
      <c r="JAH64" s="607"/>
      <c r="JAI64" s="607"/>
      <c r="JAJ64" s="607"/>
      <c r="JAK64" s="607"/>
      <c r="JAL64" s="607"/>
      <c r="JAM64" s="607"/>
      <c r="JAN64" s="607"/>
      <c r="JAO64" s="607"/>
      <c r="JAP64" s="607"/>
      <c r="JAQ64" s="607"/>
      <c r="JAR64" s="607"/>
      <c r="JAS64" s="607"/>
      <c r="JAT64" s="607"/>
      <c r="JAU64" s="607"/>
      <c r="JAV64" s="607"/>
      <c r="JAW64" s="607"/>
      <c r="JAX64" s="607"/>
      <c r="JAY64" s="607"/>
      <c r="JAZ64" s="607"/>
      <c r="JBA64" s="607"/>
      <c r="JBB64" s="607"/>
      <c r="JBC64" s="607"/>
      <c r="JBD64" s="607"/>
      <c r="JBE64" s="607"/>
      <c r="JBF64" s="607"/>
      <c r="JBG64" s="607"/>
      <c r="JBH64" s="607"/>
      <c r="JBI64" s="607"/>
      <c r="JBJ64" s="607"/>
      <c r="JBK64" s="607"/>
      <c r="JBL64" s="607"/>
      <c r="JBM64" s="607"/>
      <c r="JBN64" s="607"/>
      <c r="JBO64" s="607"/>
      <c r="JBP64" s="607"/>
      <c r="JBQ64" s="607"/>
      <c r="JBR64" s="607"/>
      <c r="JBS64" s="607"/>
      <c r="JBT64" s="607"/>
      <c r="JBU64" s="607"/>
      <c r="JBV64" s="607"/>
      <c r="JBW64" s="607"/>
      <c r="JBX64" s="607"/>
      <c r="JBY64" s="607"/>
      <c r="JBZ64" s="607"/>
      <c r="JCA64" s="607"/>
      <c r="JCB64" s="607"/>
      <c r="JCC64" s="607"/>
      <c r="JCD64" s="607"/>
      <c r="JCE64" s="607"/>
      <c r="JCF64" s="607"/>
      <c r="JCG64" s="607"/>
      <c r="JCH64" s="607"/>
      <c r="JCI64" s="607"/>
      <c r="JCJ64" s="607"/>
      <c r="JCK64" s="607"/>
      <c r="JCL64" s="607"/>
      <c r="JCM64" s="607"/>
      <c r="JCN64" s="607"/>
      <c r="JCO64" s="607"/>
      <c r="JCP64" s="607"/>
      <c r="JCQ64" s="607"/>
      <c r="JCR64" s="607"/>
      <c r="JCS64" s="607"/>
      <c r="JCT64" s="607"/>
      <c r="JCU64" s="607"/>
      <c r="JCV64" s="607"/>
      <c r="JCW64" s="607"/>
      <c r="JCX64" s="607"/>
      <c r="JCY64" s="607"/>
      <c r="JCZ64" s="607"/>
      <c r="JDA64" s="607"/>
      <c r="JDB64" s="607"/>
      <c r="JDC64" s="607"/>
      <c r="JDD64" s="607"/>
      <c r="JDE64" s="607"/>
      <c r="JDF64" s="607"/>
      <c r="JDG64" s="607"/>
      <c r="JDH64" s="607"/>
      <c r="JDI64" s="607"/>
      <c r="JDJ64" s="607"/>
      <c r="JDK64" s="607"/>
      <c r="JDL64" s="607"/>
      <c r="JDM64" s="607"/>
      <c r="JDN64" s="607"/>
      <c r="JDO64" s="607"/>
      <c r="JDP64" s="607"/>
      <c r="JDQ64" s="607"/>
      <c r="JDR64" s="607"/>
      <c r="JDS64" s="607"/>
      <c r="JDT64" s="607"/>
      <c r="JDU64" s="607"/>
      <c r="JDV64" s="607"/>
      <c r="JDW64" s="607"/>
      <c r="JDX64" s="607"/>
      <c r="JDY64" s="607"/>
      <c r="JDZ64" s="607"/>
      <c r="JEA64" s="607"/>
      <c r="JEB64" s="607"/>
      <c r="JEC64" s="607"/>
      <c r="JED64" s="607"/>
      <c r="JEE64" s="607"/>
      <c r="JEF64" s="607"/>
      <c r="JEG64" s="607"/>
      <c r="JEH64" s="607"/>
      <c r="JEI64" s="607"/>
      <c r="JEJ64" s="607"/>
      <c r="JEK64" s="607"/>
      <c r="JEL64" s="607"/>
      <c r="JEM64" s="607"/>
      <c r="JEN64" s="607"/>
      <c r="JEO64" s="607"/>
      <c r="JEP64" s="607"/>
      <c r="JEQ64" s="607"/>
      <c r="JER64" s="607"/>
      <c r="JES64" s="607"/>
      <c r="JET64" s="607"/>
      <c r="JEU64" s="607"/>
      <c r="JEV64" s="607"/>
      <c r="JEW64" s="607"/>
      <c r="JEX64" s="607"/>
      <c r="JEY64" s="607"/>
      <c r="JEZ64" s="607"/>
      <c r="JFA64" s="607"/>
      <c r="JFB64" s="607"/>
      <c r="JFC64" s="607"/>
      <c r="JFD64" s="607"/>
      <c r="JFE64" s="607"/>
      <c r="JFF64" s="607"/>
      <c r="JFG64" s="607"/>
      <c r="JFH64" s="607"/>
      <c r="JFI64" s="607"/>
      <c r="JFJ64" s="607"/>
      <c r="JFK64" s="607"/>
      <c r="JFL64" s="607"/>
      <c r="JFM64" s="607"/>
      <c r="JFN64" s="607"/>
      <c r="JFO64" s="607"/>
      <c r="JFP64" s="607"/>
      <c r="JFQ64" s="607"/>
      <c r="JFR64" s="607"/>
      <c r="JFS64" s="607"/>
      <c r="JFT64" s="607"/>
      <c r="JFU64" s="607"/>
      <c r="JFV64" s="607"/>
      <c r="JFW64" s="607"/>
      <c r="JFX64" s="607"/>
      <c r="JFY64" s="607"/>
      <c r="JFZ64" s="607"/>
      <c r="JGA64" s="607"/>
      <c r="JGB64" s="607"/>
      <c r="JGC64" s="607"/>
      <c r="JGD64" s="607"/>
      <c r="JGE64" s="607"/>
      <c r="JGF64" s="607"/>
      <c r="JGG64" s="607"/>
      <c r="JGH64" s="607"/>
      <c r="JGI64" s="607"/>
      <c r="JGJ64" s="607"/>
      <c r="JGK64" s="607"/>
      <c r="JGL64" s="607"/>
      <c r="JGM64" s="607"/>
      <c r="JGN64" s="607"/>
      <c r="JGO64" s="607"/>
      <c r="JGP64" s="607"/>
      <c r="JGQ64" s="607"/>
      <c r="JGR64" s="607"/>
      <c r="JGS64" s="607"/>
      <c r="JGT64" s="607"/>
      <c r="JGU64" s="607"/>
      <c r="JGV64" s="607"/>
      <c r="JGW64" s="607"/>
      <c r="JGX64" s="607"/>
      <c r="JGY64" s="607"/>
      <c r="JGZ64" s="607"/>
      <c r="JHA64" s="607"/>
      <c r="JHB64" s="607"/>
      <c r="JHC64" s="607"/>
      <c r="JHD64" s="607"/>
      <c r="JHE64" s="607"/>
      <c r="JHF64" s="607"/>
      <c r="JHG64" s="607"/>
      <c r="JHH64" s="607"/>
      <c r="JHI64" s="607"/>
      <c r="JHJ64" s="607"/>
      <c r="JHK64" s="607"/>
      <c r="JHL64" s="607"/>
      <c r="JHM64" s="607"/>
      <c r="JHN64" s="607"/>
      <c r="JHO64" s="607"/>
      <c r="JHP64" s="607"/>
      <c r="JHQ64" s="607"/>
      <c r="JHR64" s="607"/>
      <c r="JHS64" s="607"/>
      <c r="JHT64" s="607"/>
      <c r="JHU64" s="607"/>
      <c r="JHV64" s="607"/>
      <c r="JHW64" s="607"/>
      <c r="JHX64" s="607"/>
      <c r="JHY64" s="607"/>
      <c r="JHZ64" s="607"/>
      <c r="JIA64" s="607"/>
      <c r="JIB64" s="607"/>
      <c r="JIC64" s="607"/>
      <c r="JID64" s="607"/>
      <c r="JIE64" s="607"/>
      <c r="JIF64" s="607"/>
      <c r="JIG64" s="607"/>
      <c r="JIH64" s="607"/>
      <c r="JII64" s="607"/>
      <c r="JIJ64" s="607"/>
      <c r="JIK64" s="607"/>
      <c r="JIL64" s="607"/>
      <c r="JIM64" s="607"/>
      <c r="JIN64" s="607"/>
      <c r="JIO64" s="607"/>
      <c r="JIP64" s="607"/>
      <c r="JIQ64" s="607"/>
      <c r="JIR64" s="607"/>
      <c r="JIS64" s="607"/>
      <c r="JIT64" s="607"/>
      <c r="JIU64" s="607"/>
      <c r="JIV64" s="607"/>
      <c r="JIW64" s="607"/>
      <c r="JIX64" s="607"/>
      <c r="JIY64" s="607"/>
      <c r="JIZ64" s="607"/>
      <c r="JJA64" s="607"/>
      <c r="JJB64" s="607"/>
      <c r="JJC64" s="607"/>
      <c r="JJD64" s="607"/>
      <c r="JJE64" s="607"/>
      <c r="JJF64" s="607"/>
      <c r="JJG64" s="607"/>
      <c r="JJH64" s="607"/>
      <c r="JJI64" s="607"/>
      <c r="JJJ64" s="607"/>
      <c r="JJK64" s="607"/>
      <c r="JJL64" s="607"/>
      <c r="JJM64" s="607"/>
      <c r="JJN64" s="607"/>
      <c r="JJO64" s="607"/>
      <c r="JJP64" s="607"/>
      <c r="JJQ64" s="607"/>
      <c r="JJR64" s="607"/>
      <c r="JJS64" s="607"/>
      <c r="JJT64" s="607"/>
      <c r="JJU64" s="607"/>
      <c r="JJV64" s="607"/>
      <c r="JJW64" s="607"/>
      <c r="JJX64" s="607"/>
      <c r="JJY64" s="607"/>
      <c r="JJZ64" s="607"/>
      <c r="JKA64" s="607"/>
      <c r="JKB64" s="607"/>
      <c r="JKC64" s="607"/>
      <c r="JKD64" s="607"/>
      <c r="JKE64" s="607"/>
      <c r="JKF64" s="607"/>
      <c r="JKG64" s="607"/>
      <c r="JKH64" s="607"/>
      <c r="JKI64" s="607"/>
      <c r="JKJ64" s="607"/>
      <c r="JKK64" s="607"/>
      <c r="JKL64" s="607"/>
      <c r="JKM64" s="607"/>
      <c r="JKN64" s="607"/>
      <c r="JKO64" s="607"/>
      <c r="JKP64" s="607"/>
      <c r="JKQ64" s="607"/>
      <c r="JKR64" s="607"/>
      <c r="JKS64" s="607"/>
      <c r="JKT64" s="607"/>
      <c r="JKU64" s="607"/>
      <c r="JKV64" s="607"/>
      <c r="JKW64" s="607"/>
      <c r="JKX64" s="607"/>
      <c r="JKY64" s="607"/>
      <c r="JKZ64" s="607"/>
      <c r="JLA64" s="607"/>
      <c r="JLB64" s="607"/>
      <c r="JLC64" s="607"/>
      <c r="JLD64" s="607"/>
      <c r="JLE64" s="607"/>
      <c r="JLF64" s="607"/>
      <c r="JLG64" s="607"/>
      <c r="JLH64" s="607"/>
      <c r="JLI64" s="607"/>
      <c r="JLJ64" s="607"/>
      <c r="JLK64" s="607"/>
      <c r="JLL64" s="607"/>
      <c r="JLM64" s="607"/>
      <c r="JLN64" s="607"/>
      <c r="JLO64" s="607"/>
      <c r="JLP64" s="607"/>
      <c r="JLQ64" s="607"/>
      <c r="JLR64" s="607"/>
      <c r="JLS64" s="607"/>
      <c r="JLT64" s="607"/>
      <c r="JLU64" s="607"/>
      <c r="JLV64" s="607"/>
      <c r="JLW64" s="607"/>
      <c r="JLX64" s="607"/>
      <c r="JLY64" s="607"/>
      <c r="JLZ64" s="607"/>
      <c r="JMA64" s="607"/>
      <c r="JMB64" s="607"/>
      <c r="JMC64" s="607"/>
      <c r="JMD64" s="607"/>
      <c r="JME64" s="607"/>
      <c r="JMF64" s="607"/>
      <c r="JMG64" s="607"/>
      <c r="JMH64" s="607"/>
      <c r="JMI64" s="607"/>
      <c r="JMJ64" s="607"/>
      <c r="JMK64" s="607"/>
      <c r="JML64" s="607"/>
      <c r="JMM64" s="607"/>
      <c r="JMN64" s="607"/>
      <c r="JMO64" s="607"/>
      <c r="JMP64" s="607"/>
      <c r="JMQ64" s="607"/>
      <c r="JMR64" s="607"/>
      <c r="JMS64" s="607"/>
      <c r="JMT64" s="607"/>
      <c r="JMU64" s="607"/>
      <c r="JMV64" s="607"/>
      <c r="JMW64" s="607"/>
      <c r="JMX64" s="607"/>
      <c r="JMY64" s="607"/>
      <c r="JMZ64" s="607"/>
      <c r="JNA64" s="607"/>
      <c r="JNB64" s="607"/>
      <c r="JNC64" s="607"/>
      <c r="JND64" s="607"/>
      <c r="JNE64" s="607"/>
      <c r="JNF64" s="607"/>
      <c r="JNG64" s="607"/>
      <c r="JNH64" s="607"/>
      <c r="JNI64" s="607"/>
      <c r="JNJ64" s="607"/>
      <c r="JNK64" s="607"/>
      <c r="JNL64" s="607"/>
      <c r="JNM64" s="607"/>
      <c r="JNN64" s="607"/>
      <c r="JNO64" s="607"/>
      <c r="JNP64" s="607"/>
      <c r="JNQ64" s="607"/>
      <c r="JNR64" s="607"/>
      <c r="JNS64" s="607"/>
      <c r="JNT64" s="607"/>
      <c r="JNU64" s="607"/>
      <c r="JNV64" s="607"/>
      <c r="JNW64" s="607"/>
      <c r="JNX64" s="607"/>
      <c r="JNY64" s="607"/>
      <c r="JNZ64" s="607"/>
      <c r="JOA64" s="607"/>
      <c r="JOB64" s="607"/>
      <c r="JOC64" s="607"/>
      <c r="JOD64" s="607"/>
      <c r="JOE64" s="607"/>
      <c r="JOF64" s="607"/>
      <c r="JOG64" s="607"/>
      <c r="JOH64" s="607"/>
      <c r="JOI64" s="607"/>
      <c r="JOJ64" s="607"/>
      <c r="JOK64" s="607"/>
      <c r="JOL64" s="607"/>
      <c r="JOM64" s="607"/>
      <c r="JON64" s="607"/>
      <c r="JOO64" s="607"/>
      <c r="JOP64" s="607"/>
      <c r="JOQ64" s="607"/>
      <c r="JOR64" s="607"/>
      <c r="JOS64" s="607"/>
      <c r="JOT64" s="607"/>
      <c r="JOU64" s="607"/>
      <c r="JOV64" s="607"/>
      <c r="JOW64" s="607"/>
      <c r="JOX64" s="607"/>
      <c r="JOY64" s="607"/>
      <c r="JOZ64" s="607"/>
      <c r="JPA64" s="607"/>
      <c r="JPB64" s="607"/>
      <c r="JPC64" s="607"/>
      <c r="JPD64" s="607"/>
      <c r="JPE64" s="607"/>
      <c r="JPF64" s="607"/>
      <c r="JPG64" s="607"/>
      <c r="JPH64" s="607"/>
      <c r="JPI64" s="607"/>
      <c r="JPJ64" s="607"/>
      <c r="JPK64" s="607"/>
      <c r="JPL64" s="607"/>
      <c r="JPM64" s="607"/>
      <c r="JPN64" s="607"/>
      <c r="JPO64" s="607"/>
      <c r="JPP64" s="607"/>
      <c r="JPQ64" s="607"/>
      <c r="JPR64" s="607"/>
      <c r="JPS64" s="607"/>
      <c r="JPT64" s="607"/>
      <c r="JPU64" s="607"/>
      <c r="JPV64" s="607"/>
      <c r="JPW64" s="607"/>
      <c r="JPX64" s="607"/>
      <c r="JPY64" s="607"/>
      <c r="JPZ64" s="607"/>
      <c r="JQA64" s="607"/>
      <c r="JQB64" s="607"/>
      <c r="JQC64" s="607"/>
      <c r="JQD64" s="607"/>
      <c r="JQE64" s="607"/>
      <c r="JQF64" s="607"/>
      <c r="JQG64" s="607"/>
      <c r="JQH64" s="607"/>
      <c r="JQI64" s="607"/>
      <c r="JQJ64" s="607"/>
      <c r="JQK64" s="607"/>
      <c r="JQL64" s="607"/>
      <c r="JQM64" s="607"/>
      <c r="JQN64" s="607"/>
      <c r="JQO64" s="607"/>
      <c r="JQP64" s="607"/>
      <c r="JQQ64" s="607"/>
      <c r="JQR64" s="607"/>
      <c r="JQS64" s="607"/>
      <c r="JQT64" s="607"/>
      <c r="JQU64" s="607"/>
      <c r="JQV64" s="607"/>
      <c r="JQW64" s="607"/>
      <c r="JQX64" s="607"/>
      <c r="JQY64" s="607"/>
      <c r="JQZ64" s="607"/>
      <c r="JRA64" s="607"/>
      <c r="JRB64" s="607"/>
      <c r="JRC64" s="607"/>
      <c r="JRD64" s="607"/>
      <c r="JRE64" s="607"/>
      <c r="JRF64" s="607"/>
      <c r="JRG64" s="607"/>
      <c r="JRH64" s="607"/>
      <c r="JRI64" s="607"/>
      <c r="JRJ64" s="607"/>
      <c r="JRK64" s="607"/>
      <c r="JRL64" s="607"/>
      <c r="JRM64" s="607"/>
      <c r="JRN64" s="607"/>
      <c r="JRO64" s="607"/>
      <c r="JRP64" s="607"/>
      <c r="JRQ64" s="607"/>
      <c r="JRR64" s="607"/>
      <c r="JRS64" s="607"/>
      <c r="JRT64" s="607"/>
      <c r="JRU64" s="607"/>
      <c r="JRV64" s="607"/>
      <c r="JRW64" s="607"/>
      <c r="JRX64" s="607"/>
      <c r="JRY64" s="607"/>
      <c r="JRZ64" s="607"/>
      <c r="JSA64" s="607"/>
      <c r="JSB64" s="607"/>
      <c r="JSC64" s="607"/>
      <c r="JSD64" s="607"/>
      <c r="JSE64" s="607"/>
      <c r="JSF64" s="607"/>
      <c r="JSG64" s="607"/>
      <c r="JSH64" s="607"/>
      <c r="JSI64" s="607"/>
      <c r="JSJ64" s="607"/>
      <c r="JSK64" s="607"/>
      <c r="JSL64" s="607"/>
      <c r="JSM64" s="607"/>
      <c r="JSN64" s="607"/>
      <c r="JSO64" s="607"/>
      <c r="JSP64" s="607"/>
      <c r="JSQ64" s="607"/>
      <c r="JSR64" s="607"/>
      <c r="JSS64" s="607"/>
      <c r="JST64" s="607"/>
      <c r="JSU64" s="607"/>
      <c r="JSV64" s="607"/>
      <c r="JSW64" s="607"/>
      <c r="JSX64" s="607"/>
      <c r="JSY64" s="607"/>
      <c r="JSZ64" s="607"/>
      <c r="JTA64" s="607"/>
      <c r="JTB64" s="607"/>
      <c r="JTC64" s="607"/>
      <c r="JTD64" s="607"/>
      <c r="JTE64" s="607"/>
      <c r="JTF64" s="607"/>
      <c r="JTG64" s="607"/>
      <c r="JTH64" s="607"/>
      <c r="JTI64" s="607"/>
      <c r="JTJ64" s="607"/>
      <c r="JTK64" s="607"/>
      <c r="JTL64" s="607"/>
      <c r="JTM64" s="607"/>
      <c r="JTN64" s="607"/>
      <c r="JTO64" s="607"/>
      <c r="JTP64" s="607"/>
      <c r="JTQ64" s="607"/>
      <c r="JTR64" s="607"/>
      <c r="JTS64" s="607"/>
      <c r="JTT64" s="607"/>
      <c r="JTU64" s="607"/>
      <c r="JTV64" s="607"/>
      <c r="JTW64" s="607"/>
      <c r="JTX64" s="607"/>
      <c r="JTY64" s="607"/>
      <c r="JTZ64" s="607"/>
      <c r="JUA64" s="607"/>
      <c r="JUB64" s="607"/>
      <c r="JUC64" s="607"/>
      <c r="JUD64" s="607"/>
      <c r="JUE64" s="607"/>
      <c r="JUF64" s="607"/>
      <c r="JUG64" s="607"/>
      <c r="JUH64" s="607"/>
      <c r="JUI64" s="607"/>
      <c r="JUJ64" s="607"/>
      <c r="JUK64" s="607"/>
      <c r="JUL64" s="607"/>
      <c r="JUM64" s="607"/>
      <c r="JUN64" s="607"/>
      <c r="JUO64" s="607"/>
      <c r="JUP64" s="607"/>
      <c r="JUQ64" s="607"/>
      <c r="JUR64" s="607"/>
      <c r="JUS64" s="607"/>
      <c r="JUT64" s="607"/>
      <c r="JUU64" s="607"/>
      <c r="JUV64" s="607"/>
      <c r="JUW64" s="607"/>
      <c r="JUX64" s="607"/>
      <c r="JUY64" s="607"/>
      <c r="JUZ64" s="607"/>
      <c r="JVA64" s="607"/>
      <c r="JVB64" s="607"/>
      <c r="JVC64" s="607"/>
      <c r="JVD64" s="607"/>
      <c r="JVE64" s="607"/>
      <c r="JVF64" s="607"/>
      <c r="JVG64" s="607"/>
      <c r="JVH64" s="607"/>
      <c r="JVI64" s="607"/>
      <c r="JVJ64" s="607"/>
      <c r="JVK64" s="607"/>
      <c r="JVL64" s="607"/>
      <c r="JVM64" s="607"/>
      <c r="JVN64" s="607"/>
      <c r="JVO64" s="607"/>
      <c r="JVP64" s="607"/>
      <c r="JVQ64" s="607"/>
      <c r="JVR64" s="607"/>
      <c r="JVS64" s="607"/>
      <c r="JVT64" s="607"/>
      <c r="JVU64" s="607"/>
      <c r="JVV64" s="607"/>
      <c r="JVW64" s="607"/>
      <c r="JVX64" s="607"/>
      <c r="JVY64" s="607"/>
      <c r="JVZ64" s="607"/>
      <c r="JWA64" s="607"/>
      <c r="JWB64" s="607"/>
      <c r="JWC64" s="607"/>
      <c r="JWD64" s="607"/>
      <c r="JWE64" s="607"/>
      <c r="JWF64" s="607"/>
      <c r="JWG64" s="607"/>
      <c r="JWH64" s="607"/>
      <c r="JWI64" s="607"/>
      <c r="JWJ64" s="607"/>
      <c r="JWK64" s="607"/>
      <c r="JWL64" s="607"/>
      <c r="JWM64" s="607"/>
      <c r="JWN64" s="607"/>
      <c r="JWO64" s="607"/>
      <c r="JWP64" s="607"/>
      <c r="JWQ64" s="607"/>
      <c r="JWR64" s="607"/>
      <c r="JWS64" s="607"/>
      <c r="JWT64" s="607"/>
      <c r="JWU64" s="607"/>
      <c r="JWV64" s="607"/>
      <c r="JWW64" s="607"/>
      <c r="JWX64" s="607"/>
      <c r="JWY64" s="607"/>
      <c r="JWZ64" s="607"/>
      <c r="JXA64" s="607"/>
      <c r="JXB64" s="607"/>
      <c r="JXC64" s="607"/>
      <c r="JXD64" s="607"/>
      <c r="JXE64" s="607"/>
      <c r="JXF64" s="607"/>
      <c r="JXG64" s="607"/>
      <c r="JXH64" s="607"/>
      <c r="JXI64" s="607"/>
      <c r="JXJ64" s="607"/>
      <c r="JXK64" s="607"/>
      <c r="JXL64" s="607"/>
      <c r="JXM64" s="607"/>
      <c r="JXN64" s="607"/>
      <c r="JXO64" s="607"/>
      <c r="JXP64" s="607"/>
      <c r="JXQ64" s="607"/>
      <c r="JXR64" s="607"/>
      <c r="JXS64" s="607"/>
      <c r="JXT64" s="607"/>
      <c r="JXU64" s="607"/>
      <c r="JXV64" s="607"/>
      <c r="JXW64" s="607"/>
      <c r="JXX64" s="607"/>
      <c r="JXY64" s="607"/>
      <c r="JXZ64" s="607"/>
      <c r="JYA64" s="607"/>
      <c r="JYB64" s="607"/>
      <c r="JYC64" s="607"/>
      <c r="JYD64" s="607"/>
      <c r="JYE64" s="607"/>
      <c r="JYF64" s="607"/>
      <c r="JYG64" s="607"/>
      <c r="JYH64" s="607"/>
      <c r="JYI64" s="607"/>
      <c r="JYJ64" s="607"/>
      <c r="JYK64" s="607"/>
      <c r="JYL64" s="607"/>
      <c r="JYM64" s="607"/>
      <c r="JYN64" s="607"/>
      <c r="JYO64" s="607"/>
      <c r="JYP64" s="607"/>
      <c r="JYQ64" s="607"/>
      <c r="JYR64" s="607"/>
      <c r="JYS64" s="607"/>
      <c r="JYT64" s="607"/>
      <c r="JYU64" s="607"/>
      <c r="JYV64" s="607"/>
      <c r="JYW64" s="607"/>
      <c r="JYX64" s="607"/>
      <c r="JYY64" s="607"/>
      <c r="JYZ64" s="607"/>
      <c r="JZA64" s="607"/>
      <c r="JZB64" s="607"/>
      <c r="JZC64" s="607"/>
      <c r="JZD64" s="607"/>
      <c r="JZE64" s="607"/>
      <c r="JZF64" s="607"/>
      <c r="JZG64" s="607"/>
      <c r="JZH64" s="607"/>
      <c r="JZI64" s="607"/>
      <c r="JZJ64" s="607"/>
      <c r="JZK64" s="607"/>
      <c r="JZL64" s="607"/>
      <c r="JZM64" s="607"/>
      <c r="JZN64" s="607"/>
      <c r="JZO64" s="607"/>
      <c r="JZP64" s="607"/>
      <c r="JZQ64" s="607"/>
      <c r="JZR64" s="607"/>
      <c r="JZS64" s="607"/>
      <c r="JZT64" s="607"/>
      <c r="JZU64" s="607"/>
      <c r="JZV64" s="607"/>
      <c r="JZW64" s="607"/>
      <c r="JZX64" s="607"/>
      <c r="JZY64" s="607"/>
      <c r="JZZ64" s="607"/>
      <c r="KAA64" s="607"/>
      <c r="KAB64" s="607"/>
      <c r="KAC64" s="607"/>
      <c r="KAD64" s="607"/>
      <c r="KAE64" s="607"/>
      <c r="KAF64" s="607"/>
      <c r="KAG64" s="607"/>
      <c r="KAH64" s="607"/>
      <c r="KAI64" s="607"/>
      <c r="KAJ64" s="607"/>
      <c r="KAK64" s="607"/>
      <c r="KAL64" s="607"/>
      <c r="KAM64" s="607"/>
      <c r="KAN64" s="607"/>
      <c r="KAO64" s="607"/>
      <c r="KAP64" s="607"/>
      <c r="KAQ64" s="607"/>
      <c r="KAR64" s="607"/>
      <c r="KAS64" s="607"/>
      <c r="KAT64" s="607"/>
      <c r="KAU64" s="607"/>
      <c r="KAV64" s="607"/>
      <c r="KAW64" s="607"/>
      <c r="KAX64" s="607"/>
      <c r="KAY64" s="607"/>
      <c r="KAZ64" s="607"/>
      <c r="KBA64" s="607"/>
      <c r="KBB64" s="607"/>
      <c r="KBC64" s="607"/>
      <c r="KBD64" s="607"/>
      <c r="KBE64" s="607"/>
      <c r="KBF64" s="607"/>
      <c r="KBG64" s="607"/>
      <c r="KBH64" s="607"/>
      <c r="KBI64" s="607"/>
      <c r="KBJ64" s="607"/>
      <c r="KBK64" s="607"/>
      <c r="KBL64" s="607"/>
      <c r="KBM64" s="607"/>
      <c r="KBN64" s="607"/>
      <c r="KBO64" s="607"/>
      <c r="KBP64" s="607"/>
      <c r="KBQ64" s="607"/>
      <c r="KBR64" s="607"/>
      <c r="KBS64" s="607"/>
      <c r="KBT64" s="607"/>
      <c r="KBU64" s="607"/>
      <c r="KBV64" s="607"/>
      <c r="KBW64" s="607"/>
      <c r="KBX64" s="607"/>
      <c r="KBY64" s="607"/>
      <c r="KBZ64" s="607"/>
      <c r="KCA64" s="607"/>
      <c r="KCB64" s="607"/>
      <c r="KCC64" s="607"/>
      <c r="KCD64" s="607"/>
      <c r="KCE64" s="607"/>
      <c r="KCF64" s="607"/>
      <c r="KCG64" s="607"/>
      <c r="KCH64" s="607"/>
      <c r="KCI64" s="607"/>
      <c r="KCJ64" s="607"/>
      <c r="KCK64" s="607"/>
      <c r="KCL64" s="607"/>
      <c r="KCM64" s="607"/>
      <c r="KCN64" s="607"/>
      <c r="KCO64" s="607"/>
      <c r="KCP64" s="607"/>
      <c r="KCQ64" s="607"/>
      <c r="KCR64" s="607"/>
      <c r="KCS64" s="607"/>
      <c r="KCT64" s="607"/>
      <c r="KCU64" s="607"/>
      <c r="KCV64" s="607"/>
      <c r="KCW64" s="607"/>
      <c r="KCX64" s="607"/>
      <c r="KCY64" s="607"/>
      <c r="KCZ64" s="607"/>
      <c r="KDA64" s="607"/>
      <c r="KDB64" s="607"/>
      <c r="KDC64" s="607"/>
      <c r="KDD64" s="607"/>
      <c r="KDE64" s="607"/>
      <c r="KDF64" s="607"/>
      <c r="KDG64" s="607"/>
      <c r="KDH64" s="607"/>
      <c r="KDI64" s="607"/>
      <c r="KDJ64" s="607"/>
      <c r="KDK64" s="607"/>
      <c r="KDL64" s="607"/>
      <c r="KDM64" s="607"/>
      <c r="KDN64" s="607"/>
      <c r="KDO64" s="607"/>
      <c r="KDP64" s="607"/>
      <c r="KDQ64" s="607"/>
      <c r="KDR64" s="607"/>
      <c r="KDS64" s="607"/>
      <c r="KDT64" s="607"/>
      <c r="KDU64" s="607"/>
      <c r="KDV64" s="607"/>
      <c r="KDW64" s="607"/>
      <c r="KDX64" s="607"/>
      <c r="KDY64" s="607"/>
      <c r="KDZ64" s="607"/>
      <c r="KEA64" s="607"/>
      <c r="KEB64" s="607"/>
      <c r="KEC64" s="607"/>
      <c r="KED64" s="607"/>
      <c r="KEE64" s="607"/>
      <c r="KEF64" s="607"/>
      <c r="KEG64" s="607"/>
      <c r="KEH64" s="607"/>
      <c r="KEI64" s="607"/>
      <c r="KEJ64" s="607"/>
      <c r="KEK64" s="607"/>
      <c r="KEL64" s="607"/>
      <c r="KEM64" s="607"/>
      <c r="KEN64" s="607"/>
      <c r="KEO64" s="607"/>
      <c r="KEP64" s="607"/>
      <c r="KEQ64" s="607"/>
      <c r="KER64" s="607"/>
      <c r="KES64" s="607"/>
      <c r="KET64" s="607"/>
      <c r="KEU64" s="607"/>
      <c r="KEV64" s="607"/>
      <c r="KEW64" s="607"/>
      <c r="KEX64" s="607"/>
      <c r="KEY64" s="607"/>
      <c r="KEZ64" s="607"/>
      <c r="KFA64" s="607"/>
      <c r="KFB64" s="607"/>
      <c r="KFC64" s="607"/>
      <c r="KFD64" s="607"/>
      <c r="KFE64" s="607"/>
      <c r="KFF64" s="607"/>
      <c r="KFG64" s="607"/>
      <c r="KFH64" s="607"/>
      <c r="KFI64" s="607"/>
      <c r="KFJ64" s="607"/>
      <c r="KFK64" s="607"/>
      <c r="KFL64" s="607"/>
      <c r="KFM64" s="607"/>
      <c r="KFN64" s="607"/>
      <c r="KFO64" s="607"/>
      <c r="KFP64" s="607"/>
      <c r="KFQ64" s="607"/>
      <c r="KFR64" s="607"/>
      <c r="KFS64" s="607"/>
      <c r="KFT64" s="607"/>
      <c r="KFU64" s="607"/>
      <c r="KFV64" s="607"/>
      <c r="KFW64" s="607"/>
      <c r="KFX64" s="607"/>
      <c r="KFY64" s="607"/>
      <c r="KFZ64" s="607"/>
      <c r="KGA64" s="607"/>
      <c r="KGB64" s="607"/>
      <c r="KGC64" s="607"/>
      <c r="KGD64" s="607"/>
      <c r="KGE64" s="607"/>
      <c r="KGF64" s="607"/>
      <c r="KGG64" s="607"/>
      <c r="KGH64" s="607"/>
      <c r="KGI64" s="607"/>
      <c r="KGJ64" s="607"/>
      <c r="KGK64" s="607"/>
      <c r="KGL64" s="607"/>
      <c r="KGM64" s="607"/>
      <c r="KGN64" s="607"/>
      <c r="KGO64" s="607"/>
      <c r="KGP64" s="607"/>
      <c r="KGQ64" s="607"/>
      <c r="KGR64" s="607"/>
      <c r="KGS64" s="607"/>
      <c r="KGT64" s="607"/>
      <c r="KGU64" s="607"/>
      <c r="KGV64" s="607"/>
      <c r="KGW64" s="607"/>
      <c r="KGX64" s="607"/>
      <c r="KGY64" s="607"/>
      <c r="KGZ64" s="607"/>
      <c r="KHA64" s="607"/>
      <c r="KHB64" s="607"/>
      <c r="KHC64" s="607"/>
      <c r="KHD64" s="607"/>
      <c r="KHE64" s="607"/>
      <c r="KHF64" s="607"/>
      <c r="KHG64" s="607"/>
      <c r="KHH64" s="607"/>
      <c r="KHI64" s="607"/>
      <c r="KHJ64" s="607"/>
      <c r="KHK64" s="607"/>
      <c r="KHL64" s="607"/>
      <c r="KHM64" s="607"/>
      <c r="KHN64" s="607"/>
      <c r="KHO64" s="607"/>
      <c r="KHP64" s="607"/>
      <c r="KHQ64" s="607"/>
      <c r="KHR64" s="607"/>
      <c r="KHS64" s="607"/>
      <c r="KHT64" s="607"/>
      <c r="KHU64" s="607"/>
      <c r="KHV64" s="607"/>
      <c r="KHW64" s="607"/>
      <c r="KHX64" s="607"/>
      <c r="KHY64" s="607"/>
      <c r="KHZ64" s="607"/>
      <c r="KIA64" s="607"/>
      <c r="KIB64" s="607"/>
      <c r="KIC64" s="607"/>
      <c r="KID64" s="607"/>
      <c r="KIE64" s="607"/>
      <c r="KIF64" s="607"/>
      <c r="KIG64" s="607"/>
      <c r="KIH64" s="607"/>
      <c r="KII64" s="607"/>
      <c r="KIJ64" s="607"/>
      <c r="KIK64" s="607"/>
      <c r="KIL64" s="607"/>
      <c r="KIM64" s="607"/>
      <c r="KIN64" s="607"/>
      <c r="KIO64" s="607"/>
      <c r="KIP64" s="607"/>
      <c r="KIQ64" s="607"/>
      <c r="KIR64" s="607"/>
      <c r="KIS64" s="607"/>
      <c r="KIT64" s="607"/>
      <c r="KIU64" s="607"/>
      <c r="KIV64" s="607"/>
      <c r="KIW64" s="607"/>
      <c r="KIX64" s="607"/>
      <c r="KIY64" s="607"/>
      <c r="KIZ64" s="607"/>
      <c r="KJA64" s="607"/>
      <c r="KJB64" s="607"/>
      <c r="KJC64" s="607"/>
      <c r="KJD64" s="607"/>
      <c r="KJE64" s="607"/>
      <c r="KJF64" s="607"/>
      <c r="KJG64" s="607"/>
      <c r="KJH64" s="607"/>
      <c r="KJI64" s="607"/>
      <c r="KJJ64" s="607"/>
      <c r="KJK64" s="607"/>
      <c r="KJL64" s="607"/>
      <c r="KJM64" s="607"/>
      <c r="KJN64" s="607"/>
      <c r="KJO64" s="607"/>
      <c r="KJP64" s="607"/>
      <c r="KJQ64" s="607"/>
      <c r="KJR64" s="607"/>
      <c r="KJS64" s="607"/>
      <c r="KJT64" s="607"/>
      <c r="KJU64" s="607"/>
      <c r="KJV64" s="607"/>
      <c r="KJW64" s="607"/>
      <c r="KJX64" s="607"/>
      <c r="KJY64" s="607"/>
      <c r="KJZ64" s="607"/>
      <c r="KKA64" s="607"/>
      <c r="KKB64" s="607"/>
      <c r="KKC64" s="607"/>
      <c r="KKD64" s="607"/>
      <c r="KKE64" s="607"/>
      <c r="KKF64" s="607"/>
      <c r="KKG64" s="607"/>
      <c r="KKH64" s="607"/>
      <c r="KKI64" s="607"/>
      <c r="KKJ64" s="607"/>
      <c r="KKK64" s="607"/>
      <c r="KKL64" s="607"/>
      <c r="KKM64" s="607"/>
      <c r="KKN64" s="607"/>
      <c r="KKO64" s="607"/>
      <c r="KKP64" s="607"/>
      <c r="KKQ64" s="607"/>
      <c r="KKR64" s="607"/>
      <c r="KKS64" s="607"/>
      <c r="KKT64" s="607"/>
      <c r="KKU64" s="607"/>
      <c r="KKV64" s="607"/>
      <c r="KKW64" s="607"/>
      <c r="KKX64" s="607"/>
      <c r="KKY64" s="607"/>
      <c r="KKZ64" s="607"/>
      <c r="KLA64" s="607"/>
      <c r="KLB64" s="607"/>
      <c r="KLC64" s="607"/>
      <c r="KLD64" s="607"/>
      <c r="KLE64" s="607"/>
      <c r="KLF64" s="607"/>
      <c r="KLG64" s="607"/>
      <c r="KLH64" s="607"/>
      <c r="KLI64" s="607"/>
      <c r="KLJ64" s="607"/>
      <c r="KLK64" s="607"/>
      <c r="KLL64" s="607"/>
      <c r="KLM64" s="607"/>
      <c r="KLN64" s="607"/>
      <c r="KLO64" s="607"/>
      <c r="KLP64" s="607"/>
      <c r="KLQ64" s="607"/>
      <c r="KLR64" s="607"/>
      <c r="KLS64" s="607"/>
      <c r="KLT64" s="607"/>
      <c r="KLU64" s="607"/>
      <c r="KLV64" s="607"/>
      <c r="KLW64" s="607"/>
      <c r="KLX64" s="607"/>
      <c r="KLY64" s="607"/>
      <c r="KLZ64" s="607"/>
      <c r="KMA64" s="607"/>
      <c r="KMB64" s="607"/>
      <c r="KMC64" s="607"/>
      <c r="KMD64" s="607"/>
      <c r="KME64" s="607"/>
      <c r="KMF64" s="607"/>
      <c r="KMG64" s="607"/>
      <c r="KMH64" s="607"/>
      <c r="KMI64" s="607"/>
      <c r="KMJ64" s="607"/>
      <c r="KMK64" s="607"/>
      <c r="KML64" s="607"/>
      <c r="KMM64" s="607"/>
      <c r="KMN64" s="607"/>
      <c r="KMO64" s="607"/>
      <c r="KMP64" s="607"/>
      <c r="KMQ64" s="607"/>
      <c r="KMR64" s="607"/>
      <c r="KMS64" s="607"/>
      <c r="KMT64" s="607"/>
      <c r="KMU64" s="607"/>
      <c r="KMV64" s="607"/>
      <c r="KMW64" s="607"/>
      <c r="KMX64" s="607"/>
      <c r="KMY64" s="607"/>
      <c r="KMZ64" s="607"/>
      <c r="KNA64" s="607"/>
      <c r="KNB64" s="607"/>
      <c r="KNC64" s="607"/>
      <c r="KND64" s="607"/>
      <c r="KNE64" s="607"/>
      <c r="KNF64" s="607"/>
      <c r="KNG64" s="607"/>
      <c r="KNH64" s="607"/>
      <c r="KNI64" s="607"/>
      <c r="KNJ64" s="607"/>
      <c r="KNK64" s="607"/>
      <c r="KNL64" s="607"/>
      <c r="KNM64" s="607"/>
      <c r="KNN64" s="607"/>
      <c r="KNO64" s="607"/>
      <c r="KNP64" s="607"/>
      <c r="KNQ64" s="607"/>
      <c r="KNR64" s="607"/>
      <c r="KNS64" s="607"/>
      <c r="KNT64" s="607"/>
      <c r="KNU64" s="607"/>
      <c r="KNV64" s="607"/>
      <c r="KNW64" s="607"/>
      <c r="KNX64" s="607"/>
      <c r="KNY64" s="607"/>
      <c r="KNZ64" s="607"/>
      <c r="KOA64" s="607"/>
      <c r="KOB64" s="607"/>
      <c r="KOC64" s="607"/>
      <c r="KOD64" s="607"/>
      <c r="KOE64" s="607"/>
      <c r="KOF64" s="607"/>
      <c r="KOG64" s="607"/>
      <c r="KOH64" s="607"/>
      <c r="KOI64" s="607"/>
      <c r="KOJ64" s="607"/>
      <c r="KOK64" s="607"/>
      <c r="KOL64" s="607"/>
      <c r="KOM64" s="607"/>
      <c r="KON64" s="607"/>
      <c r="KOO64" s="607"/>
      <c r="KOP64" s="607"/>
      <c r="KOQ64" s="607"/>
      <c r="KOR64" s="607"/>
      <c r="KOS64" s="607"/>
      <c r="KOT64" s="607"/>
      <c r="KOU64" s="607"/>
      <c r="KOV64" s="607"/>
      <c r="KOW64" s="607"/>
      <c r="KOX64" s="607"/>
      <c r="KOY64" s="607"/>
      <c r="KOZ64" s="607"/>
      <c r="KPA64" s="607"/>
      <c r="KPB64" s="607"/>
      <c r="KPC64" s="607"/>
      <c r="KPD64" s="607"/>
      <c r="KPE64" s="607"/>
      <c r="KPF64" s="607"/>
      <c r="KPG64" s="607"/>
      <c r="KPH64" s="607"/>
      <c r="KPI64" s="607"/>
      <c r="KPJ64" s="607"/>
      <c r="KPK64" s="607"/>
      <c r="KPL64" s="607"/>
      <c r="KPM64" s="607"/>
      <c r="KPN64" s="607"/>
      <c r="KPO64" s="607"/>
      <c r="KPP64" s="607"/>
      <c r="KPQ64" s="607"/>
      <c r="KPR64" s="607"/>
      <c r="KPS64" s="607"/>
      <c r="KPT64" s="607"/>
      <c r="KPU64" s="607"/>
      <c r="KPV64" s="607"/>
      <c r="KPW64" s="607"/>
      <c r="KPX64" s="607"/>
      <c r="KPY64" s="607"/>
      <c r="KPZ64" s="607"/>
      <c r="KQA64" s="607"/>
      <c r="KQB64" s="607"/>
      <c r="KQC64" s="607"/>
      <c r="KQD64" s="607"/>
      <c r="KQE64" s="607"/>
      <c r="KQF64" s="607"/>
      <c r="KQG64" s="607"/>
      <c r="KQH64" s="607"/>
      <c r="KQI64" s="607"/>
      <c r="KQJ64" s="607"/>
      <c r="KQK64" s="607"/>
      <c r="KQL64" s="607"/>
      <c r="KQM64" s="607"/>
      <c r="KQN64" s="607"/>
      <c r="KQO64" s="607"/>
      <c r="KQP64" s="607"/>
      <c r="KQQ64" s="607"/>
      <c r="KQR64" s="607"/>
      <c r="KQS64" s="607"/>
      <c r="KQT64" s="607"/>
      <c r="KQU64" s="607"/>
      <c r="KQV64" s="607"/>
      <c r="KQW64" s="607"/>
      <c r="KQX64" s="607"/>
      <c r="KQY64" s="607"/>
      <c r="KQZ64" s="607"/>
      <c r="KRA64" s="607"/>
      <c r="KRB64" s="607"/>
      <c r="KRC64" s="607"/>
      <c r="KRD64" s="607"/>
      <c r="KRE64" s="607"/>
      <c r="KRF64" s="607"/>
      <c r="KRG64" s="607"/>
      <c r="KRH64" s="607"/>
      <c r="KRI64" s="607"/>
      <c r="KRJ64" s="607"/>
      <c r="KRK64" s="607"/>
      <c r="KRL64" s="607"/>
      <c r="KRM64" s="607"/>
      <c r="KRN64" s="607"/>
      <c r="KRO64" s="607"/>
      <c r="KRP64" s="607"/>
      <c r="KRQ64" s="607"/>
      <c r="KRR64" s="607"/>
      <c r="KRS64" s="607"/>
      <c r="KRT64" s="607"/>
      <c r="KRU64" s="607"/>
      <c r="KRV64" s="607"/>
      <c r="KRW64" s="607"/>
      <c r="KRX64" s="607"/>
      <c r="KRY64" s="607"/>
      <c r="KRZ64" s="607"/>
      <c r="KSA64" s="607"/>
      <c r="KSB64" s="607"/>
      <c r="KSC64" s="607"/>
      <c r="KSD64" s="607"/>
      <c r="KSE64" s="607"/>
      <c r="KSF64" s="607"/>
      <c r="KSG64" s="607"/>
      <c r="KSH64" s="607"/>
      <c r="KSI64" s="607"/>
      <c r="KSJ64" s="607"/>
      <c r="KSK64" s="607"/>
      <c r="KSL64" s="607"/>
      <c r="KSM64" s="607"/>
      <c r="KSN64" s="607"/>
      <c r="KSO64" s="607"/>
      <c r="KSP64" s="607"/>
      <c r="KSQ64" s="607"/>
      <c r="KSR64" s="607"/>
      <c r="KSS64" s="607"/>
      <c r="KST64" s="607"/>
      <c r="KSU64" s="607"/>
      <c r="KSV64" s="607"/>
      <c r="KSW64" s="607"/>
      <c r="KSX64" s="607"/>
      <c r="KSY64" s="607"/>
      <c r="KSZ64" s="607"/>
      <c r="KTA64" s="607"/>
      <c r="KTB64" s="607"/>
      <c r="KTC64" s="607"/>
      <c r="KTD64" s="607"/>
      <c r="KTE64" s="607"/>
      <c r="KTF64" s="607"/>
      <c r="KTG64" s="607"/>
      <c r="KTH64" s="607"/>
      <c r="KTI64" s="607"/>
      <c r="KTJ64" s="607"/>
      <c r="KTK64" s="607"/>
      <c r="KTL64" s="607"/>
      <c r="KTM64" s="607"/>
      <c r="KTN64" s="607"/>
      <c r="KTO64" s="607"/>
      <c r="KTP64" s="607"/>
      <c r="KTQ64" s="607"/>
      <c r="KTR64" s="607"/>
      <c r="KTS64" s="607"/>
      <c r="KTT64" s="607"/>
      <c r="KTU64" s="607"/>
      <c r="KTV64" s="607"/>
      <c r="KTW64" s="607"/>
      <c r="KTX64" s="607"/>
      <c r="KTY64" s="607"/>
      <c r="KTZ64" s="607"/>
      <c r="KUA64" s="607"/>
      <c r="KUB64" s="607"/>
      <c r="KUC64" s="607"/>
      <c r="KUD64" s="607"/>
      <c r="KUE64" s="607"/>
      <c r="KUF64" s="607"/>
      <c r="KUG64" s="607"/>
      <c r="KUH64" s="607"/>
      <c r="KUI64" s="607"/>
      <c r="KUJ64" s="607"/>
      <c r="KUK64" s="607"/>
      <c r="KUL64" s="607"/>
      <c r="KUM64" s="607"/>
      <c r="KUN64" s="607"/>
      <c r="KUO64" s="607"/>
      <c r="KUP64" s="607"/>
      <c r="KUQ64" s="607"/>
      <c r="KUR64" s="607"/>
      <c r="KUS64" s="607"/>
      <c r="KUT64" s="607"/>
      <c r="KUU64" s="607"/>
      <c r="KUV64" s="607"/>
      <c r="KUW64" s="607"/>
      <c r="KUX64" s="607"/>
      <c r="KUY64" s="607"/>
      <c r="KUZ64" s="607"/>
      <c r="KVA64" s="607"/>
      <c r="KVB64" s="607"/>
      <c r="KVC64" s="607"/>
      <c r="KVD64" s="607"/>
      <c r="KVE64" s="607"/>
      <c r="KVF64" s="607"/>
      <c r="KVG64" s="607"/>
      <c r="KVH64" s="607"/>
      <c r="KVI64" s="607"/>
      <c r="KVJ64" s="607"/>
      <c r="KVK64" s="607"/>
      <c r="KVL64" s="607"/>
      <c r="KVM64" s="607"/>
      <c r="KVN64" s="607"/>
      <c r="KVO64" s="607"/>
      <c r="KVP64" s="607"/>
      <c r="KVQ64" s="607"/>
      <c r="KVR64" s="607"/>
      <c r="KVS64" s="607"/>
      <c r="KVT64" s="607"/>
      <c r="KVU64" s="607"/>
      <c r="KVV64" s="607"/>
      <c r="KVW64" s="607"/>
      <c r="KVX64" s="607"/>
      <c r="KVY64" s="607"/>
      <c r="KVZ64" s="607"/>
      <c r="KWA64" s="607"/>
      <c r="KWB64" s="607"/>
      <c r="KWC64" s="607"/>
      <c r="KWD64" s="607"/>
      <c r="KWE64" s="607"/>
      <c r="KWF64" s="607"/>
      <c r="KWG64" s="607"/>
      <c r="KWH64" s="607"/>
      <c r="KWI64" s="607"/>
      <c r="KWJ64" s="607"/>
      <c r="KWK64" s="607"/>
      <c r="KWL64" s="607"/>
      <c r="KWM64" s="607"/>
      <c r="KWN64" s="607"/>
      <c r="KWO64" s="607"/>
      <c r="KWP64" s="607"/>
      <c r="KWQ64" s="607"/>
      <c r="KWR64" s="607"/>
      <c r="KWS64" s="607"/>
      <c r="KWT64" s="607"/>
      <c r="KWU64" s="607"/>
      <c r="KWV64" s="607"/>
      <c r="KWW64" s="607"/>
      <c r="KWX64" s="607"/>
      <c r="KWY64" s="607"/>
      <c r="KWZ64" s="607"/>
      <c r="KXA64" s="607"/>
      <c r="KXB64" s="607"/>
      <c r="KXC64" s="607"/>
      <c r="KXD64" s="607"/>
      <c r="KXE64" s="607"/>
      <c r="KXF64" s="607"/>
      <c r="KXG64" s="607"/>
      <c r="KXH64" s="607"/>
      <c r="KXI64" s="607"/>
      <c r="KXJ64" s="607"/>
      <c r="KXK64" s="607"/>
      <c r="KXL64" s="607"/>
      <c r="KXM64" s="607"/>
      <c r="KXN64" s="607"/>
      <c r="KXO64" s="607"/>
      <c r="KXP64" s="607"/>
      <c r="KXQ64" s="607"/>
      <c r="KXR64" s="607"/>
      <c r="KXS64" s="607"/>
      <c r="KXT64" s="607"/>
      <c r="KXU64" s="607"/>
      <c r="KXV64" s="607"/>
      <c r="KXW64" s="607"/>
      <c r="KXX64" s="607"/>
      <c r="KXY64" s="607"/>
      <c r="KXZ64" s="607"/>
      <c r="KYA64" s="607"/>
      <c r="KYB64" s="607"/>
      <c r="KYC64" s="607"/>
      <c r="KYD64" s="607"/>
      <c r="KYE64" s="607"/>
      <c r="KYF64" s="607"/>
      <c r="KYG64" s="607"/>
      <c r="KYH64" s="607"/>
      <c r="KYI64" s="607"/>
      <c r="KYJ64" s="607"/>
      <c r="KYK64" s="607"/>
      <c r="KYL64" s="607"/>
      <c r="KYM64" s="607"/>
      <c r="KYN64" s="607"/>
      <c r="KYO64" s="607"/>
      <c r="KYP64" s="607"/>
      <c r="KYQ64" s="607"/>
      <c r="KYR64" s="607"/>
      <c r="KYS64" s="607"/>
      <c r="KYT64" s="607"/>
      <c r="KYU64" s="607"/>
      <c r="KYV64" s="607"/>
      <c r="KYW64" s="607"/>
      <c r="KYX64" s="607"/>
      <c r="KYY64" s="607"/>
      <c r="KYZ64" s="607"/>
      <c r="KZA64" s="607"/>
      <c r="KZB64" s="607"/>
      <c r="KZC64" s="607"/>
      <c r="KZD64" s="607"/>
      <c r="KZE64" s="607"/>
      <c r="KZF64" s="607"/>
      <c r="KZG64" s="607"/>
      <c r="KZH64" s="607"/>
      <c r="KZI64" s="607"/>
      <c r="KZJ64" s="607"/>
      <c r="KZK64" s="607"/>
      <c r="KZL64" s="607"/>
      <c r="KZM64" s="607"/>
      <c r="KZN64" s="607"/>
      <c r="KZO64" s="607"/>
      <c r="KZP64" s="607"/>
      <c r="KZQ64" s="607"/>
      <c r="KZR64" s="607"/>
      <c r="KZS64" s="607"/>
      <c r="KZT64" s="607"/>
      <c r="KZU64" s="607"/>
      <c r="KZV64" s="607"/>
      <c r="KZW64" s="607"/>
      <c r="KZX64" s="607"/>
      <c r="KZY64" s="607"/>
      <c r="KZZ64" s="607"/>
      <c r="LAA64" s="607"/>
      <c r="LAB64" s="607"/>
      <c r="LAC64" s="607"/>
      <c r="LAD64" s="607"/>
      <c r="LAE64" s="607"/>
      <c r="LAF64" s="607"/>
      <c r="LAG64" s="607"/>
      <c r="LAH64" s="607"/>
      <c r="LAI64" s="607"/>
      <c r="LAJ64" s="607"/>
      <c r="LAK64" s="607"/>
      <c r="LAL64" s="607"/>
      <c r="LAM64" s="607"/>
      <c r="LAN64" s="607"/>
      <c r="LAO64" s="607"/>
      <c r="LAP64" s="607"/>
      <c r="LAQ64" s="607"/>
      <c r="LAR64" s="607"/>
      <c r="LAS64" s="607"/>
      <c r="LAT64" s="607"/>
      <c r="LAU64" s="607"/>
      <c r="LAV64" s="607"/>
      <c r="LAW64" s="607"/>
      <c r="LAX64" s="607"/>
      <c r="LAY64" s="607"/>
      <c r="LAZ64" s="607"/>
      <c r="LBA64" s="607"/>
      <c r="LBB64" s="607"/>
      <c r="LBC64" s="607"/>
      <c r="LBD64" s="607"/>
      <c r="LBE64" s="607"/>
      <c r="LBF64" s="607"/>
      <c r="LBG64" s="607"/>
      <c r="LBH64" s="607"/>
      <c r="LBI64" s="607"/>
      <c r="LBJ64" s="607"/>
      <c r="LBK64" s="607"/>
      <c r="LBL64" s="607"/>
      <c r="LBM64" s="607"/>
      <c r="LBN64" s="607"/>
      <c r="LBO64" s="607"/>
      <c r="LBP64" s="607"/>
      <c r="LBQ64" s="607"/>
      <c r="LBR64" s="607"/>
      <c r="LBS64" s="607"/>
      <c r="LBT64" s="607"/>
      <c r="LBU64" s="607"/>
      <c r="LBV64" s="607"/>
      <c r="LBW64" s="607"/>
      <c r="LBX64" s="607"/>
      <c r="LBY64" s="607"/>
      <c r="LBZ64" s="607"/>
      <c r="LCA64" s="607"/>
      <c r="LCB64" s="607"/>
      <c r="LCC64" s="607"/>
      <c r="LCD64" s="607"/>
      <c r="LCE64" s="607"/>
      <c r="LCF64" s="607"/>
      <c r="LCG64" s="607"/>
      <c r="LCH64" s="607"/>
      <c r="LCI64" s="607"/>
      <c r="LCJ64" s="607"/>
      <c r="LCK64" s="607"/>
      <c r="LCL64" s="607"/>
      <c r="LCM64" s="607"/>
      <c r="LCN64" s="607"/>
      <c r="LCO64" s="607"/>
      <c r="LCP64" s="607"/>
      <c r="LCQ64" s="607"/>
      <c r="LCR64" s="607"/>
      <c r="LCS64" s="607"/>
      <c r="LCT64" s="607"/>
      <c r="LCU64" s="607"/>
      <c r="LCV64" s="607"/>
      <c r="LCW64" s="607"/>
      <c r="LCX64" s="607"/>
      <c r="LCY64" s="607"/>
      <c r="LCZ64" s="607"/>
      <c r="LDA64" s="607"/>
      <c r="LDB64" s="607"/>
      <c r="LDC64" s="607"/>
      <c r="LDD64" s="607"/>
      <c r="LDE64" s="607"/>
      <c r="LDF64" s="607"/>
      <c r="LDG64" s="607"/>
      <c r="LDH64" s="607"/>
      <c r="LDI64" s="607"/>
      <c r="LDJ64" s="607"/>
      <c r="LDK64" s="607"/>
      <c r="LDL64" s="607"/>
      <c r="LDM64" s="607"/>
      <c r="LDN64" s="607"/>
      <c r="LDO64" s="607"/>
      <c r="LDP64" s="607"/>
      <c r="LDQ64" s="607"/>
      <c r="LDR64" s="607"/>
      <c r="LDS64" s="607"/>
      <c r="LDT64" s="607"/>
      <c r="LDU64" s="607"/>
      <c r="LDV64" s="607"/>
      <c r="LDW64" s="607"/>
      <c r="LDX64" s="607"/>
      <c r="LDY64" s="607"/>
      <c r="LDZ64" s="607"/>
      <c r="LEA64" s="607"/>
      <c r="LEB64" s="607"/>
      <c r="LEC64" s="607"/>
      <c r="LED64" s="607"/>
      <c r="LEE64" s="607"/>
      <c r="LEF64" s="607"/>
      <c r="LEG64" s="607"/>
      <c r="LEH64" s="607"/>
      <c r="LEI64" s="607"/>
      <c r="LEJ64" s="607"/>
      <c r="LEK64" s="607"/>
      <c r="LEL64" s="607"/>
      <c r="LEM64" s="607"/>
      <c r="LEN64" s="607"/>
      <c r="LEO64" s="607"/>
      <c r="LEP64" s="607"/>
      <c r="LEQ64" s="607"/>
      <c r="LER64" s="607"/>
      <c r="LES64" s="607"/>
      <c r="LET64" s="607"/>
      <c r="LEU64" s="607"/>
      <c r="LEV64" s="607"/>
      <c r="LEW64" s="607"/>
      <c r="LEX64" s="607"/>
      <c r="LEY64" s="607"/>
      <c r="LEZ64" s="607"/>
      <c r="LFA64" s="607"/>
      <c r="LFB64" s="607"/>
      <c r="LFC64" s="607"/>
      <c r="LFD64" s="607"/>
      <c r="LFE64" s="607"/>
      <c r="LFF64" s="607"/>
      <c r="LFG64" s="607"/>
      <c r="LFH64" s="607"/>
      <c r="LFI64" s="607"/>
      <c r="LFJ64" s="607"/>
      <c r="LFK64" s="607"/>
      <c r="LFL64" s="607"/>
      <c r="LFM64" s="607"/>
      <c r="LFN64" s="607"/>
      <c r="LFO64" s="607"/>
      <c r="LFP64" s="607"/>
      <c r="LFQ64" s="607"/>
      <c r="LFR64" s="607"/>
      <c r="LFS64" s="607"/>
      <c r="LFT64" s="607"/>
      <c r="LFU64" s="607"/>
      <c r="LFV64" s="607"/>
      <c r="LFW64" s="607"/>
      <c r="LFX64" s="607"/>
      <c r="LFY64" s="607"/>
      <c r="LFZ64" s="607"/>
      <c r="LGA64" s="607"/>
      <c r="LGB64" s="607"/>
      <c r="LGC64" s="607"/>
      <c r="LGD64" s="607"/>
      <c r="LGE64" s="607"/>
      <c r="LGF64" s="607"/>
      <c r="LGG64" s="607"/>
      <c r="LGH64" s="607"/>
      <c r="LGI64" s="607"/>
      <c r="LGJ64" s="607"/>
      <c r="LGK64" s="607"/>
      <c r="LGL64" s="607"/>
      <c r="LGM64" s="607"/>
      <c r="LGN64" s="607"/>
      <c r="LGO64" s="607"/>
      <c r="LGP64" s="607"/>
      <c r="LGQ64" s="607"/>
      <c r="LGR64" s="607"/>
      <c r="LGS64" s="607"/>
      <c r="LGT64" s="607"/>
      <c r="LGU64" s="607"/>
      <c r="LGV64" s="607"/>
      <c r="LGW64" s="607"/>
      <c r="LGX64" s="607"/>
      <c r="LGY64" s="607"/>
      <c r="LGZ64" s="607"/>
      <c r="LHA64" s="607"/>
      <c r="LHB64" s="607"/>
      <c r="LHC64" s="607"/>
      <c r="LHD64" s="607"/>
      <c r="LHE64" s="607"/>
      <c r="LHF64" s="607"/>
      <c r="LHG64" s="607"/>
      <c r="LHH64" s="607"/>
      <c r="LHI64" s="607"/>
      <c r="LHJ64" s="607"/>
      <c r="LHK64" s="607"/>
      <c r="LHL64" s="607"/>
      <c r="LHM64" s="607"/>
      <c r="LHN64" s="607"/>
      <c r="LHO64" s="607"/>
      <c r="LHP64" s="607"/>
      <c r="LHQ64" s="607"/>
      <c r="LHR64" s="607"/>
      <c r="LHS64" s="607"/>
      <c r="LHT64" s="607"/>
      <c r="LHU64" s="607"/>
      <c r="LHV64" s="607"/>
      <c r="LHW64" s="607"/>
      <c r="LHX64" s="607"/>
      <c r="LHY64" s="607"/>
      <c r="LHZ64" s="607"/>
      <c r="LIA64" s="607"/>
      <c r="LIB64" s="607"/>
      <c r="LIC64" s="607"/>
      <c r="LID64" s="607"/>
      <c r="LIE64" s="607"/>
      <c r="LIF64" s="607"/>
      <c r="LIG64" s="607"/>
      <c r="LIH64" s="607"/>
      <c r="LII64" s="607"/>
      <c r="LIJ64" s="607"/>
      <c r="LIK64" s="607"/>
      <c r="LIL64" s="607"/>
      <c r="LIM64" s="607"/>
      <c r="LIN64" s="607"/>
      <c r="LIO64" s="607"/>
      <c r="LIP64" s="607"/>
      <c r="LIQ64" s="607"/>
      <c r="LIR64" s="607"/>
      <c r="LIS64" s="607"/>
      <c r="LIT64" s="607"/>
      <c r="LIU64" s="607"/>
      <c r="LIV64" s="607"/>
      <c r="LIW64" s="607"/>
      <c r="LIX64" s="607"/>
      <c r="LIY64" s="607"/>
      <c r="LIZ64" s="607"/>
      <c r="LJA64" s="607"/>
      <c r="LJB64" s="607"/>
      <c r="LJC64" s="607"/>
      <c r="LJD64" s="607"/>
      <c r="LJE64" s="607"/>
      <c r="LJF64" s="607"/>
      <c r="LJG64" s="607"/>
      <c r="LJH64" s="607"/>
      <c r="LJI64" s="607"/>
      <c r="LJJ64" s="607"/>
      <c r="LJK64" s="607"/>
      <c r="LJL64" s="607"/>
      <c r="LJM64" s="607"/>
      <c r="LJN64" s="607"/>
      <c r="LJO64" s="607"/>
      <c r="LJP64" s="607"/>
      <c r="LJQ64" s="607"/>
      <c r="LJR64" s="607"/>
      <c r="LJS64" s="607"/>
      <c r="LJT64" s="607"/>
      <c r="LJU64" s="607"/>
      <c r="LJV64" s="607"/>
      <c r="LJW64" s="607"/>
      <c r="LJX64" s="607"/>
      <c r="LJY64" s="607"/>
      <c r="LJZ64" s="607"/>
      <c r="LKA64" s="607"/>
      <c r="LKB64" s="607"/>
      <c r="LKC64" s="607"/>
      <c r="LKD64" s="607"/>
      <c r="LKE64" s="607"/>
      <c r="LKF64" s="607"/>
      <c r="LKG64" s="607"/>
      <c r="LKH64" s="607"/>
      <c r="LKI64" s="607"/>
      <c r="LKJ64" s="607"/>
      <c r="LKK64" s="607"/>
      <c r="LKL64" s="607"/>
      <c r="LKM64" s="607"/>
      <c r="LKN64" s="607"/>
      <c r="LKO64" s="607"/>
      <c r="LKP64" s="607"/>
      <c r="LKQ64" s="607"/>
      <c r="LKR64" s="607"/>
      <c r="LKS64" s="607"/>
      <c r="LKT64" s="607"/>
      <c r="LKU64" s="607"/>
      <c r="LKV64" s="607"/>
      <c r="LKW64" s="607"/>
      <c r="LKX64" s="607"/>
      <c r="LKY64" s="607"/>
      <c r="LKZ64" s="607"/>
      <c r="LLA64" s="607"/>
      <c r="LLB64" s="607"/>
      <c r="LLC64" s="607"/>
      <c r="LLD64" s="607"/>
      <c r="LLE64" s="607"/>
      <c r="LLF64" s="607"/>
      <c r="LLG64" s="607"/>
      <c r="LLH64" s="607"/>
      <c r="LLI64" s="607"/>
      <c r="LLJ64" s="607"/>
      <c r="LLK64" s="607"/>
      <c r="LLL64" s="607"/>
      <c r="LLM64" s="607"/>
      <c r="LLN64" s="607"/>
      <c r="LLO64" s="607"/>
      <c r="LLP64" s="607"/>
      <c r="LLQ64" s="607"/>
      <c r="LLR64" s="607"/>
      <c r="LLS64" s="607"/>
      <c r="LLT64" s="607"/>
      <c r="LLU64" s="607"/>
      <c r="LLV64" s="607"/>
      <c r="LLW64" s="607"/>
      <c r="LLX64" s="607"/>
      <c r="LLY64" s="607"/>
      <c r="LLZ64" s="607"/>
      <c r="LMA64" s="607"/>
      <c r="LMB64" s="607"/>
      <c r="LMC64" s="607"/>
      <c r="LMD64" s="607"/>
      <c r="LME64" s="607"/>
      <c r="LMF64" s="607"/>
      <c r="LMG64" s="607"/>
      <c r="LMH64" s="607"/>
      <c r="LMI64" s="607"/>
      <c r="LMJ64" s="607"/>
      <c r="LMK64" s="607"/>
      <c r="LML64" s="607"/>
      <c r="LMM64" s="607"/>
      <c r="LMN64" s="607"/>
      <c r="LMO64" s="607"/>
      <c r="LMP64" s="607"/>
      <c r="LMQ64" s="607"/>
      <c r="LMR64" s="607"/>
      <c r="LMS64" s="607"/>
      <c r="LMT64" s="607"/>
      <c r="LMU64" s="607"/>
      <c r="LMV64" s="607"/>
      <c r="LMW64" s="607"/>
      <c r="LMX64" s="607"/>
      <c r="LMY64" s="607"/>
      <c r="LMZ64" s="607"/>
      <c r="LNA64" s="607"/>
      <c r="LNB64" s="607"/>
      <c r="LNC64" s="607"/>
      <c r="LND64" s="607"/>
      <c r="LNE64" s="607"/>
      <c r="LNF64" s="607"/>
      <c r="LNG64" s="607"/>
      <c r="LNH64" s="607"/>
      <c r="LNI64" s="607"/>
      <c r="LNJ64" s="607"/>
      <c r="LNK64" s="607"/>
      <c r="LNL64" s="607"/>
      <c r="LNM64" s="607"/>
      <c r="LNN64" s="607"/>
      <c r="LNO64" s="607"/>
      <c r="LNP64" s="607"/>
      <c r="LNQ64" s="607"/>
      <c r="LNR64" s="607"/>
      <c r="LNS64" s="607"/>
      <c r="LNT64" s="607"/>
      <c r="LNU64" s="607"/>
      <c r="LNV64" s="607"/>
      <c r="LNW64" s="607"/>
      <c r="LNX64" s="607"/>
      <c r="LNY64" s="607"/>
      <c r="LNZ64" s="607"/>
      <c r="LOA64" s="607"/>
      <c r="LOB64" s="607"/>
      <c r="LOC64" s="607"/>
      <c r="LOD64" s="607"/>
      <c r="LOE64" s="607"/>
      <c r="LOF64" s="607"/>
      <c r="LOG64" s="607"/>
      <c r="LOH64" s="607"/>
      <c r="LOI64" s="607"/>
      <c r="LOJ64" s="607"/>
      <c r="LOK64" s="607"/>
      <c r="LOL64" s="607"/>
      <c r="LOM64" s="607"/>
      <c r="LON64" s="607"/>
      <c r="LOO64" s="607"/>
      <c r="LOP64" s="607"/>
      <c r="LOQ64" s="607"/>
      <c r="LOR64" s="607"/>
      <c r="LOS64" s="607"/>
      <c r="LOT64" s="607"/>
      <c r="LOU64" s="607"/>
      <c r="LOV64" s="607"/>
      <c r="LOW64" s="607"/>
      <c r="LOX64" s="607"/>
      <c r="LOY64" s="607"/>
      <c r="LOZ64" s="607"/>
      <c r="LPA64" s="607"/>
      <c r="LPB64" s="607"/>
      <c r="LPC64" s="607"/>
      <c r="LPD64" s="607"/>
      <c r="LPE64" s="607"/>
      <c r="LPF64" s="607"/>
      <c r="LPG64" s="607"/>
      <c r="LPH64" s="607"/>
      <c r="LPI64" s="607"/>
      <c r="LPJ64" s="607"/>
      <c r="LPK64" s="607"/>
      <c r="LPL64" s="607"/>
      <c r="LPM64" s="607"/>
      <c r="LPN64" s="607"/>
      <c r="LPO64" s="607"/>
      <c r="LPP64" s="607"/>
      <c r="LPQ64" s="607"/>
      <c r="LPR64" s="607"/>
      <c r="LPS64" s="607"/>
      <c r="LPT64" s="607"/>
      <c r="LPU64" s="607"/>
      <c r="LPV64" s="607"/>
      <c r="LPW64" s="607"/>
      <c r="LPX64" s="607"/>
      <c r="LPY64" s="607"/>
      <c r="LPZ64" s="607"/>
      <c r="LQA64" s="607"/>
      <c r="LQB64" s="607"/>
      <c r="LQC64" s="607"/>
      <c r="LQD64" s="607"/>
      <c r="LQE64" s="607"/>
      <c r="LQF64" s="607"/>
      <c r="LQG64" s="607"/>
      <c r="LQH64" s="607"/>
      <c r="LQI64" s="607"/>
      <c r="LQJ64" s="607"/>
      <c r="LQK64" s="607"/>
      <c r="LQL64" s="607"/>
      <c r="LQM64" s="607"/>
      <c r="LQN64" s="607"/>
      <c r="LQO64" s="607"/>
      <c r="LQP64" s="607"/>
      <c r="LQQ64" s="607"/>
      <c r="LQR64" s="607"/>
      <c r="LQS64" s="607"/>
      <c r="LQT64" s="607"/>
      <c r="LQU64" s="607"/>
      <c r="LQV64" s="607"/>
      <c r="LQW64" s="607"/>
      <c r="LQX64" s="607"/>
      <c r="LQY64" s="607"/>
      <c r="LQZ64" s="607"/>
      <c r="LRA64" s="607"/>
      <c r="LRB64" s="607"/>
      <c r="LRC64" s="607"/>
      <c r="LRD64" s="607"/>
      <c r="LRE64" s="607"/>
      <c r="LRF64" s="607"/>
      <c r="LRG64" s="607"/>
      <c r="LRH64" s="607"/>
      <c r="LRI64" s="607"/>
      <c r="LRJ64" s="607"/>
      <c r="LRK64" s="607"/>
      <c r="LRL64" s="607"/>
      <c r="LRM64" s="607"/>
      <c r="LRN64" s="607"/>
      <c r="LRO64" s="607"/>
      <c r="LRP64" s="607"/>
      <c r="LRQ64" s="607"/>
      <c r="LRR64" s="607"/>
      <c r="LRS64" s="607"/>
      <c r="LRT64" s="607"/>
      <c r="LRU64" s="607"/>
      <c r="LRV64" s="607"/>
      <c r="LRW64" s="607"/>
      <c r="LRX64" s="607"/>
      <c r="LRY64" s="607"/>
      <c r="LRZ64" s="607"/>
      <c r="LSA64" s="607"/>
      <c r="LSB64" s="607"/>
      <c r="LSC64" s="607"/>
      <c r="LSD64" s="607"/>
      <c r="LSE64" s="607"/>
      <c r="LSF64" s="607"/>
      <c r="LSG64" s="607"/>
      <c r="LSH64" s="607"/>
      <c r="LSI64" s="607"/>
      <c r="LSJ64" s="607"/>
      <c r="LSK64" s="607"/>
      <c r="LSL64" s="607"/>
      <c r="LSM64" s="607"/>
      <c r="LSN64" s="607"/>
      <c r="LSO64" s="607"/>
      <c r="LSP64" s="607"/>
      <c r="LSQ64" s="607"/>
      <c r="LSR64" s="607"/>
      <c r="LSS64" s="607"/>
      <c r="LST64" s="607"/>
      <c r="LSU64" s="607"/>
      <c r="LSV64" s="607"/>
      <c r="LSW64" s="607"/>
      <c r="LSX64" s="607"/>
      <c r="LSY64" s="607"/>
      <c r="LSZ64" s="607"/>
      <c r="LTA64" s="607"/>
      <c r="LTB64" s="607"/>
      <c r="LTC64" s="607"/>
      <c r="LTD64" s="607"/>
      <c r="LTE64" s="607"/>
      <c r="LTF64" s="607"/>
      <c r="LTG64" s="607"/>
      <c r="LTH64" s="607"/>
      <c r="LTI64" s="607"/>
      <c r="LTJ64" s="607"/>
      <c r="LTK64" s="607"/>
      <c r="LTL64" s="607"/>
      <c r="LTM64" s="607"/>
      <c r="LTN64" s="607"/>
      <c r="LTO64" s="607"/>
      <c r="LTP64" s="607"/>
      <c r="LTQ64" s="607"/>
      <c r="LTR64" s="607"/>
      <c r="LTS64" s="607"/>
      <c r="LTT64" s="607"/>
      <c r="LTU64" s="607"/>
      <c r="LTV64" s="607"/>
      <c r="LTW64" s="607"/>
      <c r="LTX64" s="607"/>
      <c r="LTY64" s="607"/>
      <c r="LTZ64" s="607"/>
      <c r="LUA64" s="607"/>
      <c r="LUB64" s="607"/>
      <c r="LUC64" s="607"/>
      <c r="LUD64" s="607"/>
      <c r="LUE64" s="607"/>
      <c r="LUF64" s="607"/>
      <c r="LUG64" s="607"/>
      <c r="LUH64" s="607"/>
      <c r="LUI64" s="607"/>
      <c r="LUJ64" s="607"/>
      <c r="LUK64" s="607"/>
      <c r="LUL64" s="607"/>
      <c r="LUM64" s="607"/>
      <c r="LUN64" s="607"/>
      <c r="LUO64" s="607"/>
      <c r="LUP64" s="607"/>
      <c r="LUQ64" s="607"/>
      <c r="LUR64" s="607"/>
      <c r="LUS64" s="607"/>
      <c r="LUT64" s="607"/>
      <c r="LUU64" s="607"/>
      <c r="LUV64" s="607"/>
      <c r="LUW64" s="607"/>
      <c r="LUX64" s="607"/>
      <c r="LUY64" s="607"/>
      <c r="LUZ64" s="607"/>
      <c r="LVA64" s="607"/>
      <c r="LVB64" s="607"/>
      <c r="LVC64" s="607"/>
      <c r="LVD64" s="607"/>
      <c r="LVE64" s="607"/>
      <c r="LVF64" s="607"/>
      <c r="LVG64" s="607"/>
      <c r="LVH64" s="607"/>
      <c r="LVI64" s="607"/>
      <c r="LVJ64" s="607"/>
      <c r="LVK64" s="607"/>
      <c r="LVL64" s="607"/>
      <c r="LVM64" s="607"/>
      <c r="LVN64" s="607"/>
      <c r="LVO64" s="607"/>
      <c r="LVP64" s="607"/>
      <c r="LVQ64" s="607"/>
      <c r="LVR64" s="607"/>
      <c r="LVS64" s="607"/>
      <c r="LVT64" s="607"/>
      <c r="LVU64" s="607"/>
      <c r="LVV64" s="607"/>
      <c r="LVW64" s="607"/>
      <c r="LVX64" s="607"/>
      <c r="LVY64" s="607"/>
      <c r="LVZ64" s="607"/>
      <c r="LWA64" s="607"/>
      <c r="LWB64" s="607"/>
      <c r="LWC64" s="607"/>
      <c r="LWD64" s="607"/>
      <c r="LWE64" s="607"/>
      <c r="LWF64" s="607"/>
      <c r="LWG64" s="607"/>
      <c r="LWH64" s="607"/>
      <c r="LWI64" s="607"/>
      <c r="LWJ64" s="607"/>
      <c r="LWK64" s="607"/>
      <c r="LWL64" s="607"/>
      <c r="LWM64" s="607"/>
      <c r="LWN64" s="607"/>
      <c r="LWO64" s="607"/>
      <c r="LWP64" s="607"/>
      <c r="LWQ64" s="607"/>
      <c r="LWR64" s="607"/>
      <c r="LWS64" s="607"/>
      <c r="LWT64" s="607"/>
      <c r="LWU64" s="607"/>
      <c r="LWV64" s="607"/>
      <c r="LWW64" s="607"/>
      <c r="LWX64" s="607"/>
      <c r="LWY64" s="607"/>
      <c r="LWZ64" s="607"/>
      <c r="LXA64" s="607"/>
      <c r="LXB64" s="607"/>
      <c r="LXC64" s="607"/>
      <c r="LXD64" s="607"/>
      <c r="LXE64" s="607"/>
      <c r="LXF64" s="607"/>
      <c r="LXG64" s="607"/>
      <c r="LXH64" s="607"/>
      <c r="LXI64" s="607"/>
      <c r="LXJ64" s="607"/>
      <c r="LXK64" s="607"/>
      <c r="LXL64" s="607"/>
      <c r="LXM64" s="607"/>
      <c r="LXN64" s="607"/>
      <c r="LXO64" s="607"/>
      <c r="LXP64" s="607"/>
      <c r="LXQ64" s="607"/>
      <c r="LXR64" s="607"/>
      <c r="LXS64" s="607"/>
      <c r="LXT64" s="607"/>
      <c r="LXU64" s="607"/>
      <c r="LXV64" s="607"/>
      <c r="LXW64" s="607"/>
      <c r="LXX64" s="607"/>
      <c r="LXY64" s="607"/>
      <c r="LXZ64" s="607"/>
      <c r="LYA64" s="607"/>
      <c r="LYB64" s="607"/>
      <c r="LYC64" s="607"/>
      <c r="LYD64" s="607"/>
      <c r="LYE64" s="607"/>
      <c r="LYF64" s="607"/>
      <c r="LYG64" s="607"/>
      <c r="LYH64" s="607"/>
      <c r="LYI64" s="607"/>
      <c r="LYJ64" s="607"/>
      <c r="LYK64" s="607"/>
      <c r="LYL64" s="607"/>
      <c r="LYM64" s="607"/>
      <c r="LYN64" s="607"/>
      <c r="LYO64" s="607"/>
      <c r="LYP64" s="607"/>
      <c r="LYQ64" s="607"/>
      <c r="LYR64" s="607"/>
      <c r="LYS64" s="607"/>
      <c r="LYT64" s="607"/>
      <c r="LYU64" s="607"/>
      <c r="LYV64" s="607"/>
      <c r="LYW64" s="607"/>
      <c r="LYX64" s="607"/>
      <c r="LYY64" s="607"/>
      <c r="LYZ64" s="607"/>
      <c r="LZA64" s="607"/>
      <c r="LZB64" s="607"/>
      <c r="LZC64" s="607"/>
      <c r="LZD64" s="607"/>
      <c r="LZE64" s="607"/>
      <c r="LZF64" s="607"/>
      <c r="LZG64" s="607"/>
      <c r="LZH64" s="607"/>
      <c r="LZI64" s="607"/>
      <c r="LZJ64" s="607"/>
      <c r="LZK64" s="607"/>
      <c r="LZL64" s="607"/>
      <c r="LZM64" s="607"/>
      <c r="LZN64" s="607"/>
      <c r="LZO64" s="607"/>
      <c r="LZP64" s="607"/>
      <c r="LZQ64" s="607"/>
      <c r="LZR64" s="607"/>
      <c r="LZS64" s="607"/>
      <c r="LZT64" s="607"/>
      <c r="LZU64" s="607"/>
      <c r="LZV64" s="607"/>
      <c r="LZW64" s="607"/>
      <c r="LZX64" s="607"/>
      <c r="LZY64" s="607"/>
      <c r="LZZ64" s="607"/>
      <c r="MAA64" s="607"/>
      <c r="MAB64" s="607"/>
      <c r="MAC64" s="607"/>
      <c r="MAD64" s="607"/>
      <c r="MAE64" s="607"/>
      <c r="MAF64" s="607"/>
      <c r="MAG64" s="607"/>
      <c r="MAH64" s="607"/>
      <c r="MAI64" s="607"/>
      <c r="MAJ64" s="607"/>
      <c r="MAK64" s="607"/>
      <c r="MAL64" s="607"/>
      <c r="MAM64" s="607"/>
      <c r="MAN64" s="607"/>
      <c r="MAO64" s="607"/>
      <c r="MAP64" s="607"/>
      <c r="MAQ64" s="607"/>
      <c r="MAR64" s="607"/>
      <c r="MAS64" s="607"/>
      <c r="MAT64" s="607"/>
      <c r="MAU64" s="607"/>
      <c r="MAV64" s="607"/>
      <c r="MAW64" s="607"/>
      <c r="MAX64" s="607"/>
      <c r="MAY64" s="607"/>
      <c r="MAZ64" s="607"/>
      <c r="MBA64" s="607"/>
      <c r="MBB64" s="607"/>
      <c r="MBC64" s="607"/>
      <c r="MBD64" s="607"/>
      <c r="MBE64" s="607"/>
      <c r="MBF64" s="607"/>
      <c r="MBG64" s="607"/>
      <c r="MBH64" s="607"/>
      <c r="MBI64" s="607"/>
      <c r="MBJ64" s="607"/>
      <c r="MBK64" s="607"/>
      <c r="MBL64" s="607"/>
      <c r="MBM64" s="607"/>
      <c r="MBN64" s="607"/>
      <c r="MBO64" s="607"/>
      <c r="MBP64" s="607"/>
      <c r="MBQ64" s="607"/>
      <c r="MBR64" s="607"/>
      <c r="MBS64" s="607"/>
      <c r="MBT64" s="607"/>
      <c r="MBU64" s="607"/>
      <c r="MBV64" s="607"/>
      <c r="MBW64" s="607"/>
      <c r="MBX64" s="607"/>
      <c r="MBY64" s="607"/>
      <c r="MBZ64" s="607"/>
      <c r="MCA64" s="607"/>
      <c r="MCB64" s="607"/>
      <c r="MCC64" s="607"/>
      <c r="MCD64" s="607"/>
      <c r="MCE64" s="607"/>
      <c r="MCF64" s="607"/>
      <c r="MCG64" s="607"/>
      <c r="MCH64" s="607"/>
      <c r="MCI64" s="607"/>
      <c r="MCJ64" s="607"/>
      <c r="MCK64" s="607"/>
      <c r="MCL64" s="607"/>
      <c r="MCM64" s="607"/>
      <c r="MCN64" s="607"/>
      <c r="MCO64" s="607"/>
      <c r="MCP64" s="607"/>
      <c r="MCQ64" s="607"/>
      <c r="MCR64" s="607"/>
      <c r="MCS64" s="607"/>
      <c r="MCT64" s="607"/>
      <c r="MCU64" s="607"/>
      <c r="MCV64" s="607"/>
      <c r="MCW64" s="607"/>
      <c r="MCX64" s="607"/>
      <c r="MCY64" s="607"/>
      <c r="MCZ64" s="607"/>
      <c r="MDA64" s="607"/>
      <c r="MDB64" s="607"/>
      <c r="MDC64" s="607"/>
      <c r="MDD64" s="607"/>
      <c r="MDE64" s="607"/>
      <c r="MDF64" s="607"/>
      <c r="MDG64" s="607"/>
      <c r="MDH64" s="607"/>
      <c r="MDI64" s="607"/>
      <c r="MDJ64" s="607"/>
      <c r="MDK64" s="607"/>
      <c r="MDL64" s="607"/>
      <c r="MDM64" s="607"/>
      <c r="MDN64" s="607"/>
      <c r="MDO64" s="607"/>
      <c r="MDP64" s="607"/>
      <c r="MDQ64" s="607"/>
      <c r="MDR64" s="607"/>
      <c r="MDS64" s="607"/>
      <c r="MDT64" s="607"/>
      <c r="MDU64" s="607"/>
      <c r="MDV64" s="607"/>
      <c r="MDW64" s="607"/>
      <c r="MDX64" s="607"/>
      <c r="MDY64" s="607"/>
      <c r="MDZ64" s="607"/>
      <c r="MEA64" s="607"/>
      <c r="MEB64" s="607"/>
      <c r="MEC64" s="607"/>
      <c r="MED64" s="607"/>
      <c r="MEE64" s="607"/>
      <c r="MEF64" s="607"/>
      <c r="MEG64" s="607"/>
      <c r="MEH64" s="607"/>
      <c r="MEI64" s="607"/>
      <c r="MEJ64" s="607"/>
      <c r="MEK64" s="607"/>
      <c r="MEL64" s="607"/>
      <c r="MEM64" s="607"/>
      <c r="MEN64" s="607"/>
      <c r="MEO64" s="607"/>
      <c r="MEP64" s="607"/>
      <c r="MEQ64" s="607"/>
      <c r="MER64" s="607"/>
      <c r="MES64" s="607"/>
      <c r="MET64" s="607"/>
      <c r="MEU64" s="607"/>
      <c r="MEV64" s="607"/>
      <c r="MEW64" s="607"/>
      <c r="MEX64" s="607"/>
      <c r="MEY64" s="607"/>
      <c r="MEZ64" s="607"/>
      <c r="MFA64" s="607"/>
      <c r="MFB64" s="607"/>
      <c r="MFC64" s="607"/>
      <c r="MFD64" s="607"/>
      <c r="MFE64" s="607"/>
      <c r="MFF64" s="607"/>
      <c r="MFG64" s="607"/>
      <c r="MFH64" s="607"/>
      <c r="MFI64" s="607"/>
      <c r="MFJ64" s="607"/>
      <c r="MFK64" s="607"/>
      <c r="MFL64" s="607"/>
      <c r="MFM64" s="607"/>
      <c r="MFN64" s="607"/>
      <c r="MFO64" s="607"/>
      <c r="MFP64" s="607"/>
      <c r="MFQ64" s="607"/>
      <c r="MFR64" s="607"/>
      <c r="MFS64" s="607"/>
      <c r="MFT64" s="607"/>
      <c r="MFU64" s="607"/>
      <c r="MFV64" s="607"/>
      <c r="MFW64" s="607"/>
      <c r="MFX64" s="607"/>
      <c r="MFY64" s="607"/>
      <c r="MFZ64" s="607"/>
      <c r="MGA64" s="607"/>
      <c r="MGB64" s="607"/>
      <c r="MGC64" s="607"/>
      <c r="MGD64" s="607"/>
      <c r="MGE64" s="607"/>
      <c r="MGF64" s="607"/>
      <c r="MGG64" s="607"/>
      <c r="MGH64" s="607"/>
      <c r="MGI64" s="607"/>
      <c r="MGJ64" s="607"/>
      <c r="MGK64" s="607"/>
      <c r="MGL64" s="607"/>
      <c r="MGM64" s="607"/>
      <c r="MGN64" s="607"/>
      <c r="MGO64" s="607"/>
      <c r="MGP64" s="607"/>
      <c r="MGQ64" s="607"/>
      <c r="MGR64" s="607"/>
      <c r="MGS64" s="607"/>
      <c r="MGT64" s="607"/>
      <c r="MGU64" s="607"/>
      <c r="MGV64" s="607"/>
      <c r="MGW64" s="607"/>
      <c r="MGX64" s="607"/>
      <c r="MGY64" s="607"/>
      <c r="MGZ64" s="607"/>
      <c r="MHA64" s="607"/>
      <c r="MHB64" s="607"/>
      <c r="MHC64" s="607"/>
      <c r="MHD64" s="607"/>
      <c r="MHE64" s="607"/>
      <c r="MHF64" s="607"/>
      <c r="MHG64" s="607"/>
      <c r="MHH64" s="607"/>
      <c r="MHI64" s="607"/>
      <c r="MHJ64" s="607"/>
      <c r="MHK64" s="607"/>
      <c r="MHL64" s="607"/>
      <c r="MHM64" s="607"/>
      <c r="MHN64" s="607"/>
      <c r="MHO64" s="607"/>
      <c r="MHP64" s="607"/>
      <c r="MHQ64" s="607"/>
      <c r="MHR64" s="607"/>
      <c r="MHS64" s="607"/>
      <c r="MHT64" s="607"/>
      <c r="MHU64" s="607"/>
      <c r="MHV64" s="607"/>
      <c r="MHW64" s="607"/>
      <c r="MHX64" s="607"/>
      <c r="MHY64" s="607"/>
      <c r="MHZ64" s="607"/>
      <c r="MIA64" s="607"/>
      <c r="MIB64" s="607"/>
      <c r="MIC64" s="607"/>
      <c r="MID64" s="607"/>
      <c r="MIE64" s="607"/>
      <c r="MIF64" s="607"/>
      <c r="MIG64" s="607"/>
      <c r="MIH64" s="607"/>
      <c r="MII64" s="607"/>
      <c r="MIJ64" s="607"/>
      <c r="MIK64" s="607"/>
      <c r="MIL64" s="607"/>
      <c r="MIM64" s="607"/>
      <c r="MIN64" s="607"/>
      <c r="MIO64" s="607"/>
      <c r="MIP64" s="607"/>
      <c r="MIQ64" s="607"/>
      <c r="MIR64" s="607"/>
      <c r="MIS64" s="607"/>
      <c r="MIT64" s="607"/>
      <c r="MIU64" s="607"/>
      <c r="MIV64" s="607"/>
      <c r="MIW64" s="607"/>
      <c r="MIX64" s="607"/>
      <c r="MIY64" s="607"/>
      <c r="MIZ64" s="607"/>
      <c r="MJA64" s="607"/>
      <c r="MJB64" s="607"/>
      <c r="MJC64" s="607"/>
      <c r="MJD64" s="607"/>
      <c r="MJE64" s="607"/>
      <c r="MJF64" s="607"/>
      <c r="MJG64" s="607"/>
      <c r="MJH64" s="607"/>
      <c r="MJI64" s="607"/>
      <c r="MJJ64" s="607"/>
      <c r="MJK64" s="607"/>
      <c r="MJL64" s="607"/>
      <c r="MJM64" s="607"/>
      <c r="MJN64" s="607"/>
      <c r="MJO64" s="607"/>
      <c r="MJP64" s="607"/>
      <c r="MJQ64" s="607"/>
      <c r="MJR64" s="607"/>
      <c r="MJS64" s="607"/>
      <c r="MJT64" s="607"/>
      <c r="MJU64" s="607"/>
      <c r="MJV64" s="607"/>
      <c r="MJW64" s="607"/>
      <c r="MJX64" s="607"/>
      <c r="MJY64" s="607"/>
      <c r="MJZ64" s="607"/>
      <c r="MKA64" s="607"/>
      <c r="MKB64" s="607"/>
      <c r="MKC64" s="607"/>
      <c r="MKD64" s="607"/>
      <c r="MKE64" s="607"/>
      <c r="MKF64" s="607"/>
      <c r="MKG64" s="607"/>
      <c r="MKH64" s="607"/>
      <c r="MKI64" s="607"/>
      <c r="MKJ64" s="607"/>
      <c r="MKK64" s="607"/>
      <c r="MKL64" s="607"/>
      <c r="MKM64" s="607"/>
      <c r="MKN64" s="607"/>
      <c r="MKO64" s="607"/>
      <c r="MKP64" s="607"/>
      <c r="MKQ64" s="607"/>
      <c r="MKR64" s="607"/>
      <c r="MKS64" s="607"/>
      <c r="MKT64" s="607"/>
      <c r="MKU64" s="607"/>
      <c r="MKV64" s="607"/>
      <c r="MKW64" s="607"/>
      <c r="MKX64" s="607"/>
      <c r="MKY64" s="607"/>
      <c r="MKZ64" s="607"/>
      <c r="MLA64" s="607"/>
      <c r="MLB64" s="607"/>
      <c r="MLC64" s="607"/>
      <c r="MLD64" s="607"/>
      <c r="MLE64" s="607"/>
      <c r="MLF64" s="607"/>
      <c r="MLG64" s="607"/>
      <c r="MLH64" s="607"/>
      <c r="MLI64" s="607"/>
      <c r="MLJ64" s="607"/>
      <c r="MLK64" s="607"/>
      <c r="MLL64" s="607"/>
      <c r="MLM64" s="607"/>
      <c r="MLN64" s="607"/>
      <c r="MLO64" s="607"/>
      <c r="MLP64" s="607"/>
      <c r="MLQ64" s="607"/>
      <c r="MLR64" s="607"/>
      <c r="MLS64" s="607"/>
      <c r="MLT64" s="607"/>
      <c r="MLU64" s="607"/>
      <c r="MLV64" s="607"/>
      <c r="MLW64" s="607"/>
      <c r="MLX64" s="607"/>
      <c r="MLY64" s="607"/>
      <c r="MLZ64" s="607"/>
      <c r="MMA64" s="607"/>
      <c r="MMB64" s="607"/>
      <c r="MMC64" s="607"/>
      <c r="MMD64" s="607"/>
      <c r="MME64" s="607"/>
      <c r="MMF64" s="607"/>
      <c r="MMG64" s="607"/>
      <c r="MMH64" s="607"/>
      <c r="MMI64" s="607"/>
      <c r="MMJ64" s="607"/>
      <c r="MMK64" s="607"/>
      <c r="MML64" s="607"/>
      <c r="MMM64" s="607"/>
      <c r="MMN64" s="607"/>
      <c r="MMO64" s="607"/>
      <c r="MMP64" s="607"/>
      <c r="MMQ64" s="607"/>
      <c r="MMR64" s="607"/>
      <c r="MMS64" s="607"/>
      <c r="MMT64" s="607"/>
      <c r="MMU64" s="607"/>
      <c r="MMV64" s="607"/>
      <c r="MMW64" s="607"/>
      <c r="MMX64" s="607"/>
      <c r="MMY64" s="607"/>
      <c r="MMZ64" s="607"/>
      <c r="MNA64" s="607"/>
      <c r="MNB64" s="607"/>
      <c r="MNC64" s="607"/>
      <c r="MND64" s="607"/>
      <c r="MNE64" s="607"/>
      <c r="MNF64" s="607"/>
      <c r="MNG64" s="607"/>
      <c r="MNH64" s="607"/>
      <c r="MNI64" s="607"/>
      <c r="MNJ64" s="607"/>
      <c r="MNK64" s="607"/>
      <c r="MNL64" s="607"/>
      <c r="MNM64" s="607"/>
      <c r="MNN64" s="607"/>
      <c r="MNO64" s="607"/>
      <c r="MNP64" s="607"/>
      <c r="MNQ64" s="607"/>
      <c r="MNR64" s="607"/>
      <c r="MNS64" s="607"/>
      <c r="MNT64" s="607"/>
      <c r="MNU64" s="607"/>
      <c r="MNV64" s="607"/>
      <c r="MNW64" s="607"/>
      <c r="MNX64" s="607"/>
      <c r="MNY64" s="607"/>
      <c r="MNZ64" s="607"/>
      <c r="MOA64" s="607"/>
      <c r="MOB64" s="607"/>
      <c r="MOC64" s="607"/>
      <c r="MOD64" s="607"/>
      <c r="MOE64" s="607"/>
      <c r="MOF64" s="607"/>
      <c r="MOG64" s="607"/>
      <c r="MOH64" s="607"/>
      <c r="MOI64" s="607"/>
      <c r="MOJ64" s="607"/>
      <c r="MOK64" s="607"/>
      <c r="MOL64" s="607"/>
      <c r="MOM64" s="607"/>
      <c r="MON64" s="607"/>
      <c r="MOO64" s="607"/>
      <c r="MOP64" s="607"/>
      <c r="MOQ64" s="607"/>
      <c r="MOR64" s="607"/>
      <c r="MOS64" s="607"/>
      <c r="MOT64" s="607"/>
      <c r="MOU64" s="607"/>
      <c r="MOV64" s="607"/>
      <c r="MOW64" s="607"/>
      <c r="MOX64" s="607"/>
      <c r="MOY64" s="607"/>
      <c r="MOZ64" s="607"/>
      <c r="MPA64" s="607"/>
      <c r="MPB64" s="607"/>
      <c r="MPC64" s="607"/>
      <c r="MPD64" s="607"/>
      <c r="MPE64" s="607"/>
      <c r="MPF64" s="607"/>
      <c r="MPG64" s="607"/>
      <c r="MPH64" s="607"/>
      <c r="MPI64" s="607"/>
      <c r="MPJ64" s="607"/>
      <c r="MPK64" s="607"/>
      <c r="MPL64" s="607"/>
      <c r="MPM64" s="607"/>
      <c r="MPN64" s="607"/>
      <c r="MPO64" s="607"/>
      <c r="MPP64" s="607"/>
      <c r="MPQ64" s="607"/>
      <c r="MPR64" s="607"/>
      <c r="MPS64" s="607"/>
      <c r="MPT64" s="607"/>
      <c r="MPU64" s="607"/>
      <c r="MPV64" s="607"/>
      <c r="MPW64" s="607"/>
      <c r="MPX64" s="607"/>
      <c r="MPY64" s="607"/>
      <c r="MPZ64" s="607"/>
      <c r="MQA64" s="607"/>
      <c r="MQB64" s="607"/>
      <c r="MQC64" s="607"/>
      <c r="MQD64" s="607"/>
      <c r="MQE64" s="607"/>
      <c r="MQF64" s="607"/>
      <c r="MQG64" s="607"/>
      <c r="MQH64" s="607"/>
      <c r="MQI64" s="607"/>
      <c r="MQJ64" s="607"/>
      <c r="MQK64" s="607"/>
      <c r="MQL64" s="607"/>
      <c r="MQM64" s="607"/>
      <c r="MQN64" s="607"/>
      <c r="MQO64" s="607"/>
      <c r="MQP64" s="607"/>
      <c r="MQQ64" s="607"/>
      <c r="MQR64" s="607"/>
      <c r="MQS64" s="607"/>
      <c r="MQT64" s="607"/>
      <c r="MQU64" s="607"/>
      <c r="MQV64" s="607"/>
      <c r="MQW64" s="607"/>
      <c r="MQX64" s="607"/>
      <c r="MQY64" s="607"/>
      <c r="MQZ64" s="607"/>
      <c r="MRA64" s="607"/>
      <c r="MRB64" s="607"/>
      <c r="MRC64" s="607"/>
      <c r="MRD64" s="607"/>
      <c r="MRE64" s="607"/>
      <c r="MRF64" s="607"/>
      <c r="MRG64" s="607"/>
      <c r="MRH64" s="607"/>
      <c r="MRI64" s="607"/>
      <c r="MRJ64" s="607"/>
      <c r="MRK64" s="607"/>
      <c r="MRL64" s="607"/>
      <c r="MRM64" s="607"/>
      <c r="MRN64" s="607"/>
      <c r="MRO64" s="607"/>
      <c r="MRP64" s="607"/>
      <c r="MRQ64" s="607"/>
      <c r="MRR64" s="607"/>
      <c r="MRS64" s="607"/>
      <c r="MRT64" s="607"/>
      <c r="MRU64" s="607"/>
      <c r="MRV64" s="607"/>
      <c r="MRW64" s="607"/>
      <c r="MRX64" s="607"/>
      <c r="MRY64" s="607"/>
      <c r="MRZ64" s="607"/>
      <c r="MSA64" s="607"/>
      <c r="MSB64" s="607"/>
      <c r="MSC64" s="607"/>
      <c r="MSD64" s="607"/>
      <c r="MSE64" s="607"/>
      <c r="MSF64" s="607"/>
      <c r="MSG64" s="607"/>
      <c r="MSH64" s="607"/>
      <c r="MSI64" s="607"/>
      <c r="MSJ64" s="607"/>
      <c r="MSK64" s="607"/>
      <c r="MSL64" s="607"/>
      <c r="MSM64" s="607"/>
      <c r="MSN64" s="607"/>
      <c r="MSO64" s="607"/>
      <c r="MSP64" s="607"/>
      <c r="MSQ64" s="607"/>
      <c r="MSR64" s="607"/>
      <c r="MSS64" s="607"/>
      <c r="MST64" s="607"/>
      <c r="MSU64" s="607"/>
      <c r="MSV64" s="607"/>
      <c r="MSW64" s="607"/>
      <c r="MSX64" s="607"/>
      <c r="MSY64" s="607"/>
      <c r="MSZ64" s="607"/>
      <c r="MTA64" s="607"/>
      <c r="MTB64" s="607"/>
      <c r="MTC64" s="607"/>
      <c r="MTD64" s="607"/>
      <c r="MTE64" s="607"/>
      <c r="MTF64" s="607"/>
      <c r="MTG64" s="607"/>
      <c r="MTH64" s="607"/>
      <c r="MTI64" s="607"/>
      <c r="MTJ64" s="607"/>
      <c r="MTK64" s="607"/>
      <c r="MTL64" s="607"/>
      <c r="MTM64" s="607"/>
      <c r="MTN64" s="607"/>
      <c r="MTO64" s="607"/>
      <c r="MTP64" s="607"/>
      <c r="MTQ64" s="607"/>
      <c r="MTR64" s="607"/>
      <c r="MTS64" s="607"/>
      <c r="MTT64" s="607"/>
      <c r="MTU64" s="607"/>
      <c r="MTV64" s="607"/>
      <c r="MTW64" s="607"/>
      <c r="MTX64" s="607"/>
      <c r="MTY64" s="607"/>
      <c r="MTZ64" s="607"/>
      <c r="MUA64" s="607"/>
      <c r="MUB64" s="607"/>
      <c r="MUC64" s="607"/>
      <c r="MUD64" s="607"/>
      <c r="MUE64" s="607"/>
      <c r="MUF64" s="607"/>
      <c r="MUG64" s="607"/>
      <c r="MUH64" s="607"/>
      <c r="MUI64" s="607"/>
      <c r="MUJ64" s="607"/>
      <c r="MUK64" s="607"/>
      <c r="MUL64" s="607"/>
      <c r="MUM64" s="607"/>
      <c r="MUN64" s="607"/>
      <c r="MUO64" s="607"/>
      <c r="MUP64" s="607"/>
      <c r="MUQ64" s="607"/>
      <c r="MUR64" s="607"/>
      <c r="MUS64" s="607"/>
      <c r="MUT64" s="607"/>
      <c r="MUU64" s="607"/>
      <c r="MUV64" s="607"/>
      <c r="MUW64" s="607"/>
      <c r="MUX64" s="607"/>
      <c r="MUY64" s="607"/>
      <c r="MUZ64" s="607"/>
      <c r="MVA64" s="607"/>
      <c r="MVB64" s="607"/>
      <c r="MVC64" s="607"/>
      <c r="MVD64" s="607"/>
      <c r="MVE64" s="607"/>
      <c r="MVF64" s="607"/>
      <c r="MVG64" s="607"/>
      <c r="MVH64" s="607"/>
      <c r="MVI64" s="607"/>
      <c r="MVJ64" s="607"/>
      <c r="MVK64" s="607"/>
      <c r="MVL64" s="607"/>
      <c r="MVM64" s="607"/>
      <c r="MVN64" s="607"/>
      <c r="MVO64" s="607"/>
      <c r="MVP64" s="607"/>
      <c r="MVQ64" s="607"/>
      <c r="MVR64" s="607"/>
      <c r="MVS64" s="607"/>
      <c r="MVT64" s="607"/>
      <c r="MVU64" s="607"/>
      <c r="MVV64" s="607"/>
      <c r="MVW64" s="607"/>
      <c r="MVX64" s="607"/>
      <c r="MVY64" s="607"/>
      <c r="MVZ64" s="607"/>
      <c r="MWA64" s="607"/>
      <c r="MWB64" s="607"/>
      <c r="MWC64" s="607"/>
      <c r="MWD64" s="607"/>
      <c r="MWE64" s="607"/>
      <c r="MWF64" s="607"/>
      <c r="MWG64" s="607"/>
      <c r="MWH64" s="607"/>
      <c r="MWI64" s="607"/>
      <c r="MWJ64" s="607"/>
      <c r="MWK64" s="607"/>
      <c r="MWL64" s="607"/>
      <c r="MWM64" s="607"/>
      <c r="MWN64" s="607"/>
      <c r="MWO64" s="607"/>
      <c r="MWP64" s="607"/>
      <c r="MWQ64" s="607"/>
      <c r="MWR64" s="607"/>
      <c r="MWS64" s="607"/>
      <c r="MWT64" s="607"/>
      <c r="MWU64" s="607"/>
      <c r="MWV64" s="607"/>
      <c r="MWW64" s="607"/>
      <c r="MWX64" s="607"/>
      <c r="MWY64" s="607"/>
      <c r="MWZ64" s="607"/>
      <c r="MXA64" s="607"/>
      <c r="MXB64" s="607"/>
      <c r="MXC64" s="607"/>
      <c r="MXD64" s="607"/>
      <c r="MXE64" s="607"/>
      <c r="MXF64" s="607"/>
      <c r="MXG64" s="607"/>
      <c r="MXH64" s="607"/>
      <c r="MXI64" s="607"/>
      <c r="MXJ64" s="607"/>
      <c r="MXK64" s="607"/>
      <c r="MXL64" s="607"/>
      <c r="MXM64" s="607"/>
      <c r="MXN64" s="607"/>
      <c r="MXO64" s="607"/>
      <c r="MXP64" s="607"/>
      <c r="MXQ64" s="607"/>
      <c r="MXR64" s="607"/>
      <c r="MXS64" s="607"/>
      <c r="MXT64" s="607"/>
      <c r="MXU64" s="607"/>
      <c r="MXV64" s="607"/>
      <c r="MXW64" s="607"/>
      <c r="MXX64" s="607"/>
      <c r="MXY64" s="607"/>
      <c r="MXZ64" s="607"/>
      <c r="MYA64" s="607"/>
      <c r="MYB64" s="607"/>
      <c r="MYC64" s="607"/>
      <c r="MYD64" s="607"/>
      <c r="MYE64" s="607"/>
      <c r="MYF64" s="607"/>
      <c r="MYG64" s="607"/>
      <c r="MYH64" s="607"/>
      <c r="MYI64" s="607"/>
      <c r="MYJ64" s="607"/>
      <c r="MYK64" s="607"/>
      <c r="MYL64" s="607"/>
      <c r="MYM64" s="607"/>
      <c r="MYN64" s="607"/>
      <c r="MYO64" s="607"/>
      <c r="MYP64" s="607"/>
      <c r="MYQ64" s="607"/>
      <c r="MYR64" s="607"/>
      <c r="MYS64" s="607"/>
      <c r="MYT64" s="607"/>
      <c r="MYU64" s="607"/>
      <c r="MYV64" s="607"/>
      <c r="MYW64" s="607"/>
      <c r="MYX64" s="607"/>
      <c r="MYY64" s="607"/>
      <c r="MYZ64" s="607"/>
      <c r="MZA64" s="607"/>
      <c r="MZB64" s="607"/>
      <c r="MZC64" s="607"/>
      <c r="MZD64" s="607"/>
      <c r="MZE64" s="607"/>
      <c r="MZF64" s="607"/>
      <c r="MZG64" s="607"/>
      <c r="MZH64" s="607"/>
      <c r="MZI64" s="607"/>
      <c r="MZJ64" s="607"/>
      <c r="MZK64" s="607"/>
      <c r="MZL64" s="607"/>
      <c r="MZM64" s="607"/>
      <c r="MZN64" s="607"/>
      <c r="MZO64" s="607"/>
      <c r="MZP64" s="607"/>
      <c r="MZQ64" s="607"/>
      <c r="MZR64" s="607"/>
      <c r="MZS64" s="607"/>
      <c r="MZT64" s="607"/>
      <c r="MZU64" s="607"/>
      <c r="MZV64" s="607"/>
      <c r="MZW64" s="607"/>
      <c r="MZX64" s="607"/>
      <c r="MZY64" s="607"/>
      <c r="MZZ64" s="607"/>
      <c r="NAA64" s="607"/>
      <c r="NAB64" s="607"/>
      <c r="NAC64" s="607"/>
      <c r="NAD64" s="607"/>
      <c r="NAE64" s="607"/>
      <c r="NAF64" s="607"/>
      <c r="NAG64" s="607"/>
      <c r="NAH64" s="607"/>
      <c r="NAI64" s="607"/>
      <c r="NAJ64" s="607"/>
      <c r="NAK64" s="607"/>
      <c r="NAL64" s="607"/>
      <c r="NAM64" s="607"/>
      <c r="NAN64" s="607"/>
      <c r="NAO64" s="607"/>
      <c r="NAP64" s="607"/>
      <c r="NAQ64" s="607"/>
      <c r="NAR64" s="607"/>
      <c r="NAS64" s="607"/>
      <c r="NAT64" s="607"/>
      <c r="NAU64" s="607"/>
      <c r="NAV64" s="607"/>
      <c r="NAW64" s="607"/>
      <c r="NAX64" s="607"/>
      <c r="NAY64" s="607"/>
      <c r="NAZ64" s="607"/>
      <c r="NBA64" s="607"/>
      <c r="NBB64" s="607"/>
      <c r="NBC64" s="607"/>
      <c r="NBD64" s="607"/>
      <c r="NBE64" s="607"/>
      <c r="NBF64" s="607"/>
      <c r="NBG64" s="607"/>
      <c r="NBH64" s="607"/>
      <c r="NBI64" s="607"/>
      <c r="NBJ64" s="607"/>
      <c r="NBK64" s="607"/>
      <c r="NBL64" s="607"/>
      <c r="NBM64" s="607"/>
      <c r="NBN64" s="607"/>
      <c r="NBO64" s="607"/>
      <c r="NBP64" s="607"/>
      <c r="NBQ64" s="607"/>
      <c r="NBR64" s="607"/>
      <c r="NBS64" s="607"/>
      <c r="NBT64" s="607"/>
      <c r="NBU64" s="607"/>
      <c r="NBV64" s="607"/>
      <c r="NBW64" s="607"/>
      <c r="NBX64" s="607"/>
      <c r="NBY64" s="607"/>
      <c r="NBZ64" s="607"/>
      <c r="NCA64" s="607"/>
      <c r="NCB64" s="607"/>
      <c r="NCC64" s="607"/>
      <c r="NCD64" s="607"/>
      <c r="NCE64" s="607"/>
      <c r="NCF64" s="607"/>
      <c r="NCG64" s="607"/>
      <c r="NCH64" s="607"/>
      <c r="NCI64" s="607"/>
      <c r="NCJ64" s="607"/>
      <c r="NCK64" s="607"/>
      <c r="NCL64" s="607"/>
      <c r="NCM64" s="607"/>
      <c r="NCN64" s="607"/>
      <c r="NCO64" s="607"/>
      <c r="NCP64" s="607"/>
      <c r="NCQ64" s="607"/>
      <c r="NCR64" s="607"/>
      <c r="NCS64" s="607"/>
      <c r="NCT64" s="607"/>
      <c r="NCU64" s="607"/>
      <c r="NCV64" s="607"/>
      <c r="NCW64" s="607"/>
      <c r="NCX64" s="607"/>
      <c r="NCY64" s="607"/>
      <c r="NCZ64" s="607"/>
      <c r="NDA64" s="607"/>
      <c r="NDB64" s="607"/>
      <c r="NDC64" s="607"/>
      <c r="NDD64" s="607"/>
      <c r="NDE64" s="607"/>
      <c r="NDF64" s="607"/>
      <c r="NDG64" s="607"/>
      <c r="NDH64" s="607"/>
      <c r="NDI64" s="607"/>
      <c r="NDJ64" s="607"/>
      <c r="NDK64" s="607"/>
      <c r="NDL64" s="607"/>
      <c r="NDM64" s="607"/>
      <c r="NDN64" s="607"/>
      <c r="NDO64" s="607"/>
      <c r="NDP64" s="607"/>
      <c r="NDQ64" s="607"/>
      <c r="NDR64" s="607"/>
      <c r="NDS64" s="607"/>
      <c r="NDT64" s="607"/>
      <c r="NDU64" s="607"/>
      <c r="NDV64" s="607"/>
      <c r="NDW64" s="607"/>
      <c r="NDX64" s="607"/>
      <c r="NDY64" s="607"/>
      <c r="NDZ64" s="607"/>
      <c r="NEA64" s="607"/>
      <c r="NEB64" s="607"/>
      <c r="NEC64" s="607"/>
      <c r="NED64" s="607"/>
      <c r="NEE64" s="607"/>
      <c r="NEF64" s="607"/>
      <c r="NEG64" s="607"/>
      <c r="NEH64" s="607"/>
      <c r="NEI64" s="607"/>
      <c r="NEJ64" s="607"/>
      <c r="NEK64" s="607"/>
      <c r="NEL64" s="607"/>
      <c r="NEM64" s="607"/>
      <c r="NEN64" s="607"/>
      <c r="NEO64" s="607"/>
      <c r="NEP64" s="607"/>
      <c r="NEQ64" s="607"/>
      <c r="NER64" s="607"/>
      <c r="NES64" s="607"/>
      <c r="NET64" s="607"/>
      <c r="NEU64" s="607"/>
      <c r="NEV64" s="607"/>
      <c r="NEW64" s="607"/>
      <c r="NEX64" s="607"/>
      <c r="NEY64" s="607"/>
      <c r="NEZ64" s="607"/>
      <c r="NFA64" s="607"/>
      <c r="NFB64" s="607"/>
      <c r="NFC64" s="607"/>
      <c r="NFD64" s="607"/>
      <c r="NFE64" s="607"/>
      <c r="NFF64" s="607"/>
      <c r="NFG64" s="607"/>
      <c r="NFH64" s="607"/>
      <c r="NFI64" s="607"/>
      <c r="NFJ64" s="607"/>
      <c r="NFK64" s="607"/>
      <c r="NFL64" s="607"/>
      <c r="NFM64" s="607"/>
      <c r="NFN64" s="607"/>
      <c r="NFO64" s="607"/>
      <c r="NFP64" s="607"/>
      <c r="NFQ64" s="607"/>
      <c r="NFR64" s="607"/>
      <c r="NFS64" s="607"/>
      <c r="NFT64" s="607"/>
      <c r="NFU64" s="607"/>
      <c r="NFV64" s="607"/>
      <c r="NFW64" s="607"/>
      <c r="NFX64" s="607"/>
      <c r="NFY64" s="607"/>
      <c r="NFZ64" s="607"/>
      <c r="NGA64" s="607"/>
      <c r="NGB64" s="607"/>
      <c r="NGC64" s="607"/>
      <c r="NGD64" s="607"/>
      <c r="NGE64" s="607"/>
      <c r="NGF64" s="607"/>
      <c r="NGG64" s="607"/>
      <c r="NGH64" s="607"/>
      <c r="NGI64" s="607"/>
      <c r="NGJ64" s="607"/>
      <c r="NGK64" s="607"/>
      <c r="NGL64" s="607"/>
      <c r="NGM64" s="607"/>
      <c r="NGN64" s="607"/>
      <c r="NGO64" s="607"/>
      <c r="NGP64" s="607"/>
      <c r="NGQ64" s="607"/>
      <c r="NGR64" s="607"/>
      <c r="NGS64" s="607"/>
      <c r="NGT64" s="607"/>
      <c r="NGU64" s="607"/>
      <c r="NGV64" s="607"/>
      <c r="NGW64" s="607"/>
      <c r="NGX64" s="607"/>
      <c r="NGY64" s="607"/>
      <c r="NGZ64" s="607"/>
      <c r="NHA64" s="607"/>
      <c r="NHB64" s="607"/>
      <c r="NHC64" s="607"/>
      <c r="NHD64" s="607"/>
      <c r="NHE64" s="607"/>
      <c r="NHF64" s="607"/>
      <c r="NHG64" s="607"/>
      <c r="NHH64" s="607"/>
      <c r="NHI64" s="607"/>
      <c r="NHJ64" s="607"/>
      <c r="NHK64" s="607"/>
      <c r="NHL64" s="607"/>
      <c r="NHM64" s="607"/>
      <c r="NHN64" s="607"/>
      <c r="NHO64" s="607"/>
      <c r="NHP64" s="607"/>
      <c r="NHQ64" s="607"/>
      <c r="NHR64" s="607"/>
      <c r="NHS64" s="607"/>
      <c r="NHT64" s="607"/>
      <c r="NHU64" s="607"/>
      <c r="NHV64" s="607"/>
      <c r="NHW64" s="607"/>
      <c r="NHX64" s="607"/>
      <c r="NHY64" s="607"/>
      <c r="NHZ64" s="607"/>
      <c r="NIA64" s="607"/>
      <c r="NIB64" s="607"/>
      <c r="NIC64" s="607"/>
      <c r="NID64" s="607"/>
      <c r="NIE64" s="607"/>
      <c r="NIF64" s="607"/>
      <c r="NIG64" s="607"/>
      <c r="NIH64" s="607"/>
      <c r="NII64" s="607"/>
      <c r="NIJ64" s="607"/>
      <c r="NIK64" s="607"/>
      <c r="NIL64" s="607"/>
      <c r="NIM64" s="607"/>
      <c r="NIN64" s="607"/>
      <c r="NIO64" s="607"/>
      <c r="NIP64" s="607"/>
      <c r="NIQ64" s="607"/>
      <c r="NIR64" s="607"/>
      <c r="NIS64" s="607"/>
      <c r="NIT64" s="607"/>
      <c r="NIU64" s="607"/>
      <c r="NIV64" s="607"/>
      <c r="NIW64" s="607"/>
      <c r="NIX64" s="607"/>
      <c r="NIY64" s="607"/>
      <c r="NIZ64" s="607"/>
      <c r="NJA64" s="607"/>
      <c r="NJB64" s="607"/>
      <c r="NJC64" s="607"/>
      <c r="NJD64" s="607"/>
      <c r="NJE64" s="607"/>
      <c r="NJF64" s="607"/>
      <c r="NJG64" s="607"/>
      <c r="NJH64" s="607"/>
      <c r="NJI64" s="607"/>
      <c r="NJJ64" s="607"/>
      <c r="NJK64" s="607"/>
      <c r="NJL64" s="607"/>
      <c r="NJM64" s="607"/>
      <c r="NJN64" s="607"/>
      <c r="NJO64" s="607"/>
      <c r="NJP64" s="607"/>
      <c r="NJQ64" s="607"/>
      <c r="NJR64" s="607"/>
      <c r="NJS64" s="607"/>
      <c r="NJT64" s="607"/>
      <c r="NJU64" s="607"/>
      <c r="NJV64" s="607"/>
      <c r="NJW64" s="607"/>
      <c r="NJX64" s="607"/>
      <c r="NJY64" s="607"/>
      <c r="NJZ64" s="607"/>
      <c r="NKA64" s="607"/>
      <c r="NKB64" s="607"/>
      <c r="NKC64" s="607"/>
      <c r="NKD64" s="607"/>
      <c r="NKE64" s="607"/>
      <c r="NKF64" s="607"/>
      <c r="NKG64" s="607"/>
      <c r="NKH64" s="607"/>
      <c r="NKI64" s="607"/>
      <c r="NKJ64" s="607"/>
      <c r="NKK64" s="607"/>
      <c r="NKL64" s="607"/>
      <c r="NKM64" s="607"/>
      <c r="NKN64" s="607"/>
      <c r="NKO64" s="607"/>
      <c r="NKP64" s="607"/>
      <c r="NKQ64" s="607"/>
      <c r="NKR64" s="607"/>
      <c r="NKS64" s="607"/>
      <c r="NKT64" s="607"/>
      <c r="NKU64" s="607"/>
      <c r="NKV64" s="607"/>
      <c r="NKW64" s="607"/>
      <c r="NKX64" s="607"/>
      <c r="NKY64" s="607"/>
      <c r="NKZ64" s="607"/>
      <c r="NLA64" s="607"/>
      <c r="NLB64" s="607"/>
      <c r="NLC64" s="607"/>
      <c r="NLD64" s="607"/>
      <c r="NLE64" s="607"/>
      <c r="NLF64" s="607"/>
      <c r="NLG64" s="607"/>
      <c r="NLH64" s="607"/>
      <c r="NLI64" s="607"/>
      <c r="NLJ64" s="607"/>
      <c r="NLK64" s="607"/>
      <c r="NLL64" s="607"/>
      <c r="NLM64" s="607"/>
      <c r="NLN64" s="607"/>
      <c r="NLO64" s="607"/>
      <c r="NLP64" s="607"/>
      <c r="NLQ64" s="607"/>
      <c r="NLR64" s="607"/>
      <c r="NLS64" s="607"/>
      <c r="NLT64" s="607"/>
      <c r="NLU64" s="607"/>
      <c r="NLV64" s="607"/>
      <c r="NLW64" s="607"/>
      <c r="NLX64" s="607"/>
      <c r="NLY64" s="607"/>
      <c r="NLZ64" s="607"/>
      <c r="NMA64" s="607"/>
      <c r="NMB64" s="607"/>
      <c r="NMC64" s="607"/>
      <c r="NMD64" s="607"/>
      <c r="NME64" s="607"/>
      <c r="NMF64" s="607"/>
      <c r="NMG64" s="607"/>
      <c r="NMH64" s="607"/>
      <c r="NMI64" s="607"/>
      <c r="NMJ64" s="607"/>
      <c r="NMK64" s="607"/>
      <c r="NML64" s="607"/>
      <c r="NMM64" s="607"/>
      <c r="NMN64" s="607"/>
      <c r="NMO64" s="607"/>
      <c r="NMP64" s="607"/>
      <c r="NMQ64" s="607"/>
      <c r="NMR64" s="607"/>
      <c r="NMS64" s="607"/>
      <c r="NMT64" s="607"/>
      <c r="NMU64" s="607"/>
      <c r="NMV64" s="607"/>
      <c r="NMW64" s="607"/>
      <c r="NMX64" s="607"/>
      <c r="NMY64" s="607"/>
      <c r="NMZ64" s="607"/>
      <c r="NNA64" s="607"/>
      <c r="NNB64" s="607"/>
      <c r="NNC64" s="607"/>
      <c r="NND64" s="607"/>
      <c r="NNE64" s="607"/>
      <c r="NNF64" s="607"/>
      <c r="NNG64" s="607"/>
      <c r="NNH64" s="607"/>
      <c r="NNI64" s="607"/>
      <c r="NNJ64" s="607"/>
      <c r="NNK64" s="607"/>
      <c r="NNL64" s="607"/>
      <c r="NNM64" s="607"/>
      <c r="NNN64" s="607"/>
      <c r="NNO64" s="607"/>
      <c r="NNP64" s="607"/>
      <c r="NNQ64" s="607"/>
      <c r="NNR64" s="607"/>
      <c r="NNS64" s="607"/>
      <c r="NNT64" s="607"/>
      <c r="NNU64" s="607"/>
      <c r="NNV64" s="607"/>
      <c r="NNW64" s="607"/>
      <c r="NNX64" s="607"/>
      <c r="NNY64" s="607"/>
      <c r="NNZ64" s="607"/>
      <c r="NOA64" s="607"/>
      <c r="NOB64" s="607"/>
      <c r="NOC64" s="607"/>
      <c r="NOD64" s="607"/>
      <c r="NOE64" s="607"/>
      <c r="NOF64" s="607"/>
      <c r="NOG64" s="607"/>
      <c r="NOH64" s="607"/>
      <c r="NOI64" s="607"/>
      <c r="NOJ64" s="607"/>
      <c r="NOK64" s="607"/>
      <c r="NOL64" s="607"/>
      <c r="NOM64" s="607"/>
      <c r="NON64" s="607"/>
      <c r="NOO64" s="607"/>
      <c r="NOP64" s="607"/>
      <c r="NOQ64" s="607"/>
      <c r="NOR64" s="607"/>
      <c r="NOS64" s="607"/>
      <c r="NOT64" s="607"/>
      <c r="NOU64" s="607"/>
      <c r="NOV64" s="607"/>
      <c r="NOW64" s="607"/>
      <c r="NOX64" s="607"/>
      <c r="NOY64" s="607"/>
      <c r="NOZ64" s="607"/>
      <c r="NPA64" s="607"/>
      <c r="NPB64" s="607"/>
      <c r="NPC64" s="607"/>
      <c r="NPD64" s="607"/>
      <c r="NPE64" s="607"/>
      <c r="NPF64" s="607"/>
      <c r="NPG64" s="607"/>
      <c r="NPH64" s="607"/>
      <c r="NPI64" s="607"/>
      <c r="NPJ64" s="607"/>
      <c r="NPK64" s="607"/>
      <c r="NPL64" s="607"/>
      <c r="NPM64" s="607"/>
      <c r="NPN64" s="607"/>
      <c r="NPO64" s="607"/>
      <c r="NPP64" s="607"/>
      <c r="NPQ64" s="607"/>
      <c r="NPR64" s="607"/>
      <c r="NPS64" s="607"/>
      <c r="NPT64" s="607"/>
      <c r="NPU64" s="607"/>
      <c r="NPV64" s="607"/>
      <c r="NPW64" s="607"/>
      <c r="NPX64" s="607"/>
      <c r="NPY64" s="607"/>
      <c r="NPZ64" s="607"/>
      <c r="NQA64" s="607"/>
      <c r="NQB64" s="607"/>
      <c r="NQC64" s="607"/>
      <c r="NQD64" s="607"/>
      <c r="NQE64" s="607"/>
      <c r="NQF64" s="607"/>
      <c r="NQG64" s="607"/>
      <c r="NQH64" s="607"/>
      <c r="NQI64" s="607"/>
      <c r="NQJ64" s="607"/>
      <c r="NQK64" s="607"/>
      <c r="NQL64" s="607"/>
      <c r="NQM64" s="607"/>
      <c r="NQN64" s="607"/>
      <c r="NQO64" s="607"/>
      <c r="NQP64" s="607"/>
      <c r="NQQ64" s="607"/>
      <c r="NQR64" s="607"/>
      <c r="NQS64" s="607"/>
      <c r="NQT64" s="607"/>
      <c r="NQU64" s="607"/>
      <c r="NQV64" s="607"/>
      <c r="NQW64" s="607"/>
      <c r="NQX64" s="607"/>
      <c r="NQY64" s="607"/>
      <c r="NQZ64" s="607"/>
      <c r="NRA64" s="607"/>
      <c r="NRB64" s="607"/>
      <c r="NRC64" s="607"/>
      <c r="NRD64" s="607"/>
      <c r="NRE64" s="607"/>
      <c r="NRF64" s="607"/>
      <c r="NRG64" s="607"/>
      <c r="NRH64" s="607"/>
      <c r="NRI64" s="607"/>
      <c r="NRJ64" s="607"/>
      <c r="NRK64" s="607"/>
      <c r="NRL64" s="607"/>
      <c r="NRM64" s="607"/>
      <c r="NRN64" s="607"/>
      <c r="NRO64" s="607"/>
      <c r="NRP64" s="607"/>
      <c r="NRQ64" s="607"/>
      <c r="NRR64" s="607"/>
      <c r="NRS64" s="607"/>
      <c r="NRT64" s="607"/>
      <c r="NRU64" s="607"/>
      <c r="NRV64" s="607"/>
      <c r="NRW64" s="607"/>
      <c r="NRX64" s="607"/>
      <c r="NRY64" s="607"/>
      <c r="NRZ64" s="607"/>
      <c r="NSA64" s="607"/>
      <c r="NSB64" s="607"/>
      <c r="NSC64" s="607"/>
      <c r="NSD64" s="607"/>
      <c r="NSE64" s="607"/>
      <c r="NSF64" s="607"/>
      <c r="NSG64" s="607"/>
      <c r="NSH64" s="607"/>
      <c r="NSI64" s="607"/>
      <c r="NSJ64" s="607"/>
      <c r="NSK64" s="607"/>
      <c r="NSL64" s="607"/>
      <c r="NSM64" s="607"/>
      <c r="NSN64" s="607"/>
      <c r="NSO64" s="607"/>
      <c r="NSP64" s="607"/>
      <c r="NSQ64" s="607"/>
      <c r="NSR64" s="607"/>
      <c r="NSS64" s="607"/>
      <c r="NST64" s="607"/>
      <c r="NSU64" s="607"/>
      <c r="NSV64" s="607"/>
      <c r="NSW64" s="607"/>
      <c r="NSX64" s="607"/>
      <c r="NSY64" s="607"/>
      <c r="NSZ64" s="607"/>
      <c r="NTA64" s="607"/>
      <c r="NTB64" s="607"/>
      <c r="NTC64" s="607"/>
      <c r="NTD64" s="607"/>
      <c r="NTE64" s="607"/>
      <c r="NTF64" s="607"/>
      <c r="NTG64" s="607"/>
      <c r="NTH64" s="607"/>
      <c r="NTI64" s="607"/>
      <c r="NTJ64" s="607"/>
      <c r="NTK64" s="607"/>
      <c r="NTL64" s="607"/>
      <c r="NTM64" s="607"/>
      <c r="NTN64" s="607"/>
      <c r="NTO64" s="607"/>
      <c r="NTP64" s="607"/>
      <c r="NTQ64" s="607"/>
      <c r="NTR64" s="607"/>
      <c r="NTS64" s="607"/>
      <c r="NTT64" s="607"/>
      <c r="NTU64" s="607"/>
      <c r="NTV64" s="607"/>
      <c r="NTW64" s="607"/>
      <c r="NTX64" s="607"/>
      <c r="NTY64" s="607"/>
      <c r="NTZ64" s="607"/>
      <c r="NUA64" s="607"/>
      <c r="NUB64" s="607"/>
      <c r="NUC64" s="607"/>
      <c r="NUD64" s="607"/>
      <c r="NUE64" s="607"/>
      <c r="NUF64" s="607"/>
      <c r="NUG64" s="607"/>
      <c r="NUH64" s="607"/>
      <c r="NUI64" s="607"/>
      <c r="NUJ64" s="607"/>
      <c r="NUK64" s="607"/>
      <c r="NUL64" s="607"/>
      <c r="NUM64" s="607"/>
      <c r="NUN64" s="607"/>
      <c r="NUO64" s="607"/>
      <c r="NUP64" s="607"/>
      <c r="NUQ64" s="607"/>
      <c r="NUR64" s="607"/>
      <c r="NUS64" s="607"/>
      <c r="NUT64" s="607"/>
      <c r="NUU64" s="607"/>
      <c r="NUV64" s="607"/>
      <c r="NUW64" s="607"/>
      <c r="NUX64" s="607"/>
      <c r="NUY64" s="607"/>
      <c r="NUZ64" s="607"/>
      <c r="NVA64" s="607"/>
      <c r="NVB64" s="607"/>
      <c r="NVC64" s="607"/>
      <c r="NVD64" s="607"/>
      <c r="NVE64" s="607"/>
      <c r="NVF64" s="607"/>
      <c r="NVG64" s="607"/>
      <c r="NVH64" s="607"/>
      <c r="NVI64" s="607"/>
      <c r="NVJ64" s="607"/>
      <c r="NVK64" s="607"/>
      <c r="NVL64" s="607"/>
      <c r="NVM64" s="607"/>
      <c r="NVN64" s="607"/>
      <c r="NVO64" s="607"/>
      <c r="NVP64" s="607"/>
      <c r="NVQ64" s="607"/>
      <c r="NVR64" s="607"/>
      <c r="NVS64" s="607"/>
      <c r="NVT64" s="607"/>
      <c r="NVU64" s="607"/>
      <c r="NVV64" s="607"/>
      <c r="NVW64" s="607"/>
      <c r="NVX64" s="607"/>
      <c r="NVY64" s="607"/>
      <c r="NVZ64" s="607"/>
      <c r="NWA64" s="607"/>
      <c r="NWB64" s="607"/>
      <c r="NWC64" s="607"/>
      <c r="NWD64" s="607"/>
      <c r="NWE64" s="607"/>
      <c r="NWF64" s="607"/>
      <c r="NWG64" s="607"/>
      <c r="NWH64" s="607"/>
      <c r="NWI64" s="607"/>
      <c r="NWJ64" s="607"/>
      <c r="NWK64" s="607"/>
      <c r="NWL64" s="607"/>
      <c r="NWM64" s="607"/>
      <c r="NWN64" s="607"/>
      <c r="NWO64" s="607"/>
      <c r="NWP64" s="607"/>
      <c r="NWQ64" s="607"/>
      <c r="NWR64" s="607"/>
      <c r="NWS64" s="607"/>
      <c r="NWT64" s="607"/>
      <c r="NWU64" s="607"/>
      <c r="NWV64" s="607"/>
      <c r="NWW64" s="607"/>
      <c r="NWX64" s="607"/>
      <c r="NWY64" s="607"/>
      <c r="NWZ64" s="607"/>
      <c r="NXA64" s="607"/>
      <c r="NXB64" s="607"/>
      <c r="NXC64" s="607"/>
      <c r="NXD64" s="607"/>
      <c r="NXE64" s="607"/>
      <c r="NXF64" s="607"/>
      <c r="NXG64" s="607"/>
      <c r="NXH64" s="607"/>
      <c r="NXI64" s="607"/>
      <c r="NXJ64" s="607"/>
      <c r="NXK64" s="607"/>
      <c r="NXL64" s="607"/>
      <c r="NXM64" s="607"/>
      <c r="NXN64" s="607"/>
      <c r="NXO64" s="607"/>
      <c r="NXP64" s="607"/>
      <c r="NXQ64" s="607"/>
      <c r="NXR64" s="607"/>
      <c r="NXS64" s="607"/>
      <c r="NXT64" s="607"/>
      <c r="NXU64" s="607"/>
      <c r="NXV64" s="607"/>
      <c r="NXW64" s="607"/>
      <c r="NXX64" s="607"/>
      <c r="NXY64" s="607"/>
      <c r="NXZ64" s="607"/>
      <c r="NYA64" s="607"/>
      <c r="NYB64" s="607"/>
      <c r="NYC64" s="607"/>
      <c r="NYD64" s="607"/>
      <c r="NYE64" s="607"/>
      <c r="NYF64" s="607"/>
      <c r="NYG64" s="607"/>
      <c r="NYH64" s="607"/>
      <c r="NYI64" s="607"/>
      <c r="NYJ64" s="607"/>
      <c r="NYK64" s="607"/>
      <c r="NYL64" s="607"/>
      <c r="NYM64" s="607"/>
      <c r="NYN64" s="607"/>
      <c r="NYO64" s="607"/>
      <c r="NYP64" s="607"/>
      <c r="NYQ64" s="607"/>
      <c r="NYR64" s="607"/>
      <c r="NYS64" s="607"/>
      <c r="NYT64" s="607"/>
      <c r="NYU64" s="607"/>
      <c r="NYV64" s="607"/>
      <c r="NYW64" s="607"/>
      <c r="NYX64" s="607"/>
      <c r="NYY64" s="607"/>
      <c r="NYZ64" s="607"/>
      <c r="NZA64" s="607"/>
      <c r="NZB64" s="607"/>
      <c r="NZC64" s="607"/>
      <c r="NZD64" s="607"/>
      <c r="NZE64" s="607"/>
      <c r="NZF64" s="607"/>
      <c r="NZG64" s="607"/>
      <c r="NZH64" s="607"/>
      <c r="NZI64" s="607"/>
      <c r="NZJ64" s="607"/>
      <c r="NZK64" s="607"/>
      <c r="NZL64" s="607"/>
      <c r="NZM64" s="607"/>
      <c r="NZN64" s="607"/>
      <c r="NZO64" s="607"/>
      <c r="NZP64" s="607"/>
      <c r="NZQ64" s="607"/>
      <c r="NZR64" s="607"/>
      <c r="NZS64" s="607"/>
      <c r="NZT64" s="607"/>
      <c r="NZU64" s="607"/>
      <c r="NZV64" s="607"/>
      <c r="NZW64" s="607"/>
      <c r="NZX64" s="607"/>
      <c r="NZY64" s="607"/>
      <c r="NZZ64" s="607"/>
      <c r="OAA64" s="607"/>
      <c r="OAB64" s="607"/>
      <c r="OAC64" s="607"/>
      <c r="OAD64" s="607"/>
      <c r="OAE64" s="607"/>
      <c r="OAF64" s="607"/>
      <c r="OAG64" s="607"/>
      <c r="OAH64" s="607"/>
      <c r="OAI64" s="607"/>
      <c r="OAJ64" s="607"/>
      <c r="OAK64" s="607"/>
      <c r="OAL64" s="607"/>
      <c r="OAM64" s="607"/>
      <c r="OAN64" s="607"/>
      <c r="OAO64" s="607"/>
      <c r="OAP64" s="607"/>
      <c r="OAQ64" s="607"/>
      <c r="OAR64" s="607"/>
      <c r="OAS64" s="607"/>
      <c r="OAT64" s="607"/>
      <c r="OAU64" s="607"/>
      <c r="OAV64" s="607"/>
      <c r="OAW64" s="607"/>
      <c r="OAX64" s="607"/>
      <c r="OAY64" s="607"/>
      <c r="OAZ64" s="607"/>
      <c r="OBA64" s="607"/>
      <c r="OBB64" s="607"/>
      <c r="OBC64" s="607"/>
      <c r="OBD64" s="607"/>
      <c r="OBE64" s="607"/>
      <c r="OBF64" s="607"/>
      <c r="OBG64" s="607"/>
      <c r="OBH64" s="607"/>
      <c r="OBI64" s="607"/>
      <c r="OBJ64" s="607"/>
      <c r="OBK64" s="607"/>
      <c r="OBL64" s="607"/>
      <c r="OBM64" s="607"/>
      <c r="OBN64" s="607"/>
      <c r="OBO64" s="607"/>
      <c r="OBP64" s="607"/>
      <c r="OBQ64" s="607"/>
      <c r="OBR64" s="607"/>
      <c r="OBS64" s="607"/>
      <c r="OBT64" s="607"/>
      <c r="OBU64" s="607"/>
      <c r="OBV64" s="607"/>
      <c r="OBW64" s="607"/>
      <c r="OBX64" s="607"/>
      <c r="OBY64" s="607"/>
      <c r="OBZ64" s="607"/>
      <c r="OCA64" s="607"/>
      <c r="OCB64" s="607"/>
      <c r="OCC64" s="607"/>
      <c r="OCD64" s="607"/>
      <c r="OCE64" s="607"/>
      <c r="OCF64" s="607"/>
      <c r="OCG64" s="607"/>
      <c r="OCH64" s="607"/>
      <c r="OCI64" s="607"/>
      <c r="OCJ64" s="607"/>
      <c r="OCK64" s="607"/>
      <c r="OCL64" s="607"/>
      <c r="OCM64" s="607"/>
      <c r="OCN64" s="607"/>
      <c r="OCO64" s="607"/>
      <c r="OCP64" s="607"/>
      <c r="OCQ64" s="607"/>
      <c r="OCR64" s="607"/>
      <c r="OCS64" s="607"/>
      <c r="OCT64" s="607"/>
      <c r="OCU64" s="607"/>
      <c r="OCV64" s="607"/>
      <c r="OCW64" s="607"/>
      <c r="OCX64" s="607"/>
      <c r="OCY64" s="607"/>
      <c r="OCZ64" s="607"/>
      <c r="ODA64" s="607"/>
      <c r="ODB64" s="607"/>
      <c r="ODC64" s="607"/>
      <c r="ODD64" s="607"/>
      <c r="ODE64" s="607"/>
      <c r="ODF64" s="607"/>
      <c r="ODG64" s="607"/>
      <c r="ODH64" s="607"/>
      <c r="ODI64" s="607"/>
      <c r="ODJ64" s="607"/>
      <c r="ODK64" s="607"/>
      <c r="ODL64" s="607"/>
      <c r="ODM64" s="607"/>
      <c r="ODN64" s="607"/>
      <c r="ODO64" s="607"/>
      <c r="ODP64" s="607"/>
      <c r="ODQ64" s="607"/>
      <c r="ODR64" s="607"/>
      <c r="ODS64" s="607"/>
      <c r="ODT64" s="607"/>
      <c r="ODU64" s="607"/>
      <c r="ODV64" s="607"/>
      <c r="ODW64" s="607"/>
      <c r="ODX64" s="607"/>
      <c r="ODY64" s="607"/>
      <c r="ODZ64" s="607"/>
      <c r="OEA64" s="607"/>
      <c r="OEB64" s="607"/>
      <c r="OEC64" s="607"/>
      <c r="OED64" s="607"/>
      <c r="OEE64" s="607"/>
      <c r="OEF64" s="607"/>
      <c r="OEG64" s="607"/>
      <c r="OEH64" s="607"/>
      <c r="OEI64" s="607"/>
      <c r="OEJ64" s="607"/>
      <c r="OEK64" s="607"/>
      <c r="OEL64" s="607"/>
      <c r="OEM64" s="607"/>
      <c r="OEN64" s="607"/>
      <c r="OEO64" s="607"/>
      <c r="OEP64" s="607"/>
      <c r="OEQ64" s="607"/>
      <c r="OER64" s="607"/>
      <c r="OES64" s="607"/>
      <c r="OET64" s="607"/>
      <c r="OEU64" s="607"/>
      <c r="OEV64" s="607"/>
      <c r="OEW64" s="607"/>
      <c r="OEX64" s="607"/>
      <c r="OEY64" s="607"/>
      <c r="OEZ64" s="607"/>
      <c r="OFA64" s="607"/>
      <c r="OFB64" s="607"/>
      <c r="OFC64" s="607"/>
      <c r="OFD64" s="607"/>
      <c r="OFE64" s="607"/>
      <c r="OFF64" s="607"/>
      <c r="OFG64" s="607"/>
      <c r="OFH64" s="607"/>
      <c r="OFI64" s="607"/>
      <c r="OFJ64" s="607"/>
      <c r="OFK64" s="607"/>
      <c r="OFL64" s="607"/>
      <c r="OFM64" s="607"/>
      <c r="OFN64" s="607"/>
      <c r="OFO64" s="607"/>
      <c r="OFP64" s="607"/>
      <c r="OFQ64" s="607"/>
      <c r="OFR64" s="607"/>
      <c r="OFS64" s="607"/>
      <c r="OFT64" s="607"/>
      <c r="OFU64" s="607"/>
      <c r="OFV64" s="607"/>
      <c r="OFW64" s="607"/>
      <c r="OFX64" s="607"/>
      <c r="OFY64" s="607"/>
      <c r="OFZ64" s="607"/>
      <c r="OGA64" s="607"/>
      <c r="OGB64" s="607"/>
      <c r="OGC64" s="607"/>
      <c r="OGD64" s="607"/>
      <c r="OGE64" s="607"/>
      <c r="OGF64" s="607"/>
      <c r="OGG64" s="607"/>
      <c r="OGH64" s="607"/>
      <c r="OGI64" s="607"/>
      <c r="OGJ64" s="607"/>
      <c r="OGK64" s="607"/>
      <c r="OGL64" s="607"/>
      <c r="OGM64" s="607"/>
      <c r="OGN64" s="607"/>
      <c r="OGO64" s="607"/>
      <c r="OGP64" s="607"/>
      <c r="OGQ64" s="607"/>
      <c r="OGR64" s="607"/>
      <c r="OGS64" s="607"/>
      <c r="OGT64" s="607"/>
      <c r="OGU64" s="607"/>
      <c r="OGV64" s="607"/>
      <c r="OGW64" s="607"/>
      <c r="OGX64" s="607"/>
      <c r="OGY64" s="607"/>
      <c r="OGZ64" s="607"/>
      <c r="OHA64" s="607"/>
      <c r="OHB64" s="607"/>
      <c r="OHC64" s="607"/>
      <c r="OHD64" s="607"/>
      <c r="OHE64" s="607"/>
      <c r="OHF64" s="607"/>
      <c r="OHG64" s="607"/>
      <c r="OHH64" s="607"/>
      <c r="OHI64" s="607"/>
      <c r="OHJ64" s="607"/>
      <c r="OHK64" s="607"/>
      <c r="OHL64" s="607"/>
      <c r="OHM64" s="607"/>
      <c r="OHN64" s="607"/>
      <c r="OHO64" s="607"/>
      <c r="OHP64" s="607"/>
      <c r="OHQ64" s="607"/>
      <c r="OHR64" s="607"/>
      <c r="OHS64" s="607"/>
      <c r="OHT64" s="607"/>
      <c r="OHU64" s="607"/>
      <c r="OHV64" s="607"/>
      <c r="OHW64" s="607"/>
      <c r="OHX64" s="607"/>
      <c r="OHY64" s="607"/>
      <c r="OHZ64" s="607"/>
      <c r="OIA64" s="607"/>
      <c r="OIB64" s="607"/>
      <c r="OIC64" s="607"/>
      <c r="OID64" s="607"/>
      <c r="OIE64" s="607"/>
      <c r="OIF64" s="607"/>
      <c r="OIG64" s="607"/>
      <c r="OIH64" s="607"/>
      <c r="OII64" s="607"/>
      <c r="OIJ64" s="607"/>
      <c r="OIK64" s="607"/>
      <c r="OIL64" s="607"/>
      <c r="OIM64" s="607"/>
      <c r="OIN64" s="607"/>
      <c r="OIO64" s="607"/>
      <c r="OIP64" s="607"/>
      <c r="OIQ64" s="607"/>
      <c r="OIR64" s="607"/>
      <c r="OIS64" s="607"/>
      <c r="OIT64" s="607"/>
      <c r="OIU64" s="607"/>
      <c r="OIV64" s="607"/>
      <c r="OIW64" s="607"/>
      <c r="OIX64" s="607"/>
      <c r="OIY64" s="607"/>
      <c r="OIZ64" s="607"/>
      <c r="OJA64" s="607"/>
      <c r="OJB64" s="607"/>
      <c r="OJC64" s="607"/>
      <c r="OJD64" s="607"/>
      <c r="OJE64" s="607"/>
      <c r="OJF64" s="607"/>
      <c r="OJG64" s="607"/>
      <c r="OJH64" s="607"/>
      <c r="OJI64" s="607"/>
      <c r="OJJ64" s="607"/>
      <c r="OJK64" s="607"/>
      <c r="OJL64" s="607"/>
      <c r="OJM64" s="607"/>
      <c r="OJN64" s="607"/>
      <c r="OJO64" s="607"/>
      <c r="OJP64" s="607"/>
      <c r="OJQ64" s="607"/>
      <c r="OJR64" s="607"/>
      <c r="OJS64" s="607"/>
      <c r="OJT64" s="607"/>
      <c r="OJU64" s="607"/>
      <c r="OJV64" s="607"/>
      <c r="OJW64" s="607"/>
      <c r="OJX64" s="607"/>
      <c r="OJY64" s="607"/>
      <c r="OJZ64" s="607"/>
      <c r="OKA64" s="607"/>
      <c r="OKB64" s="607"/>
      <c r="OKC64" s="607"/>
      <c r="OKD64" s="607"/>
      <c r="OKE64" s="607"/>
      <c r="OKF64" s="607"/>
      <c r="OKG64" s="607"/>
      <c r="OKH64" s="607"/>
      <c r="OKI64" s="607"/>
      <c r="OKJ64" s="607"/>
      <c r="OKK64" s="607"/>
      <c r="OKL64" s="607"/>
      <c r="OKM64" s="607"/>
      <c r="OKN64" s="607"/>
      <c r="OKO64" s="607"/>
      <c r="OKP64" s="607"/>
      <c r="OKQ64" s="607"/>
      <c r="OKR64" s="607"/>
      <c r="OKS64" s="607"/>
      <c r="OKT64" s="607"/>
      <c r="OKU64" s="607"/>
      <c r="OKV64" s="607"/>
      <c r="OKW64" s="607"/>
      <c r="OKX64" s="607"/>
      <c r="OKY64" s="607"/>
      <c r="OKZ64" s="607"/>
      <c r="OLA64" s="607"/>
      <c r="OLB64" s="607"/>
      <c r="OLC64" s="607"/>
      <c r="OLD64" s="607"/>
      <c r="OLE64" s="607"/>
      <c r="OLF64" s="607"/>
      <c r="OLG64" s="607"/>
      <c r="OLH64" s="607"/>
      <c r="OLI64" s="607"/>
      <c r="OLJ64" s="607"/>
      <c r="OLK64" s="607"/>
      <c r="OLL64" s="607"/>
      <c r="OLM64" s="607"/>
      <c r="OLN64" s="607"/>
      <c r="OLO64" s="607"/>
      <c r="OLP64" s="607"/>
      <c r="OLQ64" s="607"/>
      <c r="OLR64" s="607"/>
      <c r="OLS64" s="607"/>
      <c r="OLT64" s="607"/>
      <c r="OLU64" s="607"/>
      <c r="OLV64" s="607"/>
      <c r="OLW64" s="607"/>
      <c r="OLX64" s="607"/>
      <c r="OLY64" s="607"/>
      <c r="OLZ64" s="607"/>
      <c r="OMA64" s="607"/>
      <c r="OMB64" s="607"/>
      <c r="OMC64" s="607"/>
      <c r="OMD64" s="607"/>
      <c r="OME64" s="607"/>
      <c r="OMF64" s="607"/>
      <c r="OMG64" s="607"/>
      <c r="OMH64" s="607"/>
      <c r="OMI64" s="607"/>
      <c r="OMJ64" s="607"/>
      <c r="OMK64" s="607"/>
      <c r="OML64" s="607"/>
      <c r="OMM64" s="607"/>
      <c r="OMN64" s="607"/>
      <c r="OMO64" s="607"/>
      <c r="OMP64" s="607"/>
      <c r="OMQ64" s="607"/>
      <c r="OMR64" s="607"/>
      <c r="OMS64" s="607"/>
      <c r="OMT64" s="607"/>
      <c r="OMU64" s="607"/>
      <c r="OMV64" s="607"/>
      <c r="OMW64" s="607"/>
      <c r="OMX64" s="607"/>
      <c r="OMY64" s="607"/>
      <c r="OMZ64" s="607"/>
      <c r="ONA64" s="607"/>
      <c r="ONB64" s="607"/>
      <c r="ONC64" s="607"/>
      <c r="OND64" s="607"/>
      <c r="ONE64" s="607"/>
      <c r="ONF64" s="607"/>
      <c r="ONG64" s="607"/>
      <c r="ONH64" s="607"/>
      <c r="ONI64" s="607"/>
      <c r="ONJ64" s="607"/>
      <c r="ONK64" s="607"/>
      <c r="ONL64" s="607"/>
      <c r="ONM64" s="607"/>
      <c r="ONN64" s="607"/>
      <c r="ONO64" s="607"/>
      <c r="ONP64" s="607"/>
      <c r="ONQ64" s="607"/>
      <c r="ONR64" s="607"/>
      <c r="ONS64" s="607"/>
      <c r="ONT64" s="607"/>
      <c r="ONU64" s="607"/>
      <c r="ONV64" s="607"/>
      <c r="ONW64" s="607"/>
      <c r="ONX64" s="607"/>
      <c r="ONY64" s="607"/>
      <c r="ONZ64" s="607"/>
      <c r="OOA64" s="607"/>
      <c r="OOB64" s="607"/>
      <c r="OOC64" s="607"/>
      <c r="OOD64" s="607"/>
      <c r="OOE64" s="607"/>
      <c r="OOF64" s="607"/>
      <c r="OOG64" s="607"/>
      <c r="OOH64" s="607"/>
      <c r="OOI64" s="607"/>
      <c r="OOJ64" s="607"/>
      <c r="OOK64" s="607"/>
      <c r="OOL64" s="607"/>
      <c r="OOM64" s="607"/>
      <c r="OON64" s="607"/>
      <c r="OOO64" s="607"/>
      <c r="OOP64" s="607"/>
      <c r="OOQ64" s="607"/>
      <c r="OOR64" s="607"/>
      <c r="OOS64" s="607"/>
      <c r="OOT64" s="607"/>
      <c r="OOU64" s="607"/>
      <c r="OOV64" s="607"/>
      <c r="OOW64" s="607"/>
      <c r="OOX64" s="607"/>
      <c r="OOY64" s="607"/>
      <c r="OOZ64" s="607"/>
      <c r="OPA64" s="607"/>
      <c r="OPB64" s="607"/>
      <c r="OPC64" s="607"/>
      <c r="OPD64" s="607"/>
      <c r="OPE64" s="607"/>
      <c r="OPF64" s="607"/>
      <c r="OPG64" s="607"/>
      <c r="OPH64" s="607"/>
      <c r="OPI64" s="607"/>
      <c r="OPJ64" s="607"/>
      <c r="OPK64" s="607"/>
      <c r="OPL64" s="607"/>
      <c r="OPM64" s="607"/>
      <c r="OPN64" s="607"/>
      <c r="OPO64" s="607"/>
      <c r="OPP64" s="607"/>
      <c r="OPQ64" s="607"/>
      <c r="OPR64" s="607"/>
      <c r="OPS64" s="607"/>
      <c r="OPT64" s="607"/>
      <c r="OPU64" s="607"/>
      <c r="OPV64" s="607"/>
      <c r="OPW64" s="607"/>
      <c r="OPX64" s="607"/>
      <c r="OPY64" s="607"/>
      <c r="OPZ64" s="607"/>
      <c r="OQA64" s="607"/>
      <c r="OQB64" s="607"/>
      <c r="OQC64" s="607"/>
      <c r="OQD64" s="607"/>
      <c r="OQE64" s="607"/>
      <c r="OQF64" s="607"/>
      <c r="OQG64" s="607"/>
      <c r="OQH64" s="607"/>
      <c r="OQI64" s="607"/>
      <c r="OQJ64" s="607"/>
      <c r="OQK64" s="607"/>
      <c r="OQL64" s="607"/>
      <c r="OQM64" s="607"/>
      <c r="OQN64" s="607"/>
      <c r="OQO64" s="607"/>
      <c r="OQP64" s="607"/>
      <c r="OQQ64" s="607"/>
      <c r="OQR64" s="607"/>
      <c r="OQS64" s="607"/>
      <c r="OQT64" s="607"/>
      <c r="OQU64" s="607"/>
      <c r="OQV64" s="607"/>
      <c r="OQW64" s="607"/>
      <c r="OQX64" s="607"/>
      <c r="OQY64" s="607"/>
      <c r="OQZ64" s="607"/>
      <c r="ORA64" s="607"/>
      <c r="ORB64" s="607"/>
      <c r="ORC64" s="607"/>
      <c r="ORD64" s="607"/>
      <c r="ORE64" s="607"/>
      <c r="ORF64" s="607"/>
      <c r="ORG64" s="607"/>
      <c r="ORH64" s="607"/>
      <c r="ORI64" s="607"/>
      <c r="ORJ64" s="607"/>
      <c r="ORK64" s="607"/>
      <c r="ORL64" s="607"/>
      <c r="ORM64" s="607"/>
      <c r="ORN64" s="607"/>
      <c r="ORO64" s="607"/>
      <c r="ORP64" s="607"/>
      <c r="ORQ64" s="607"/>
      <c r="ORR64" s="607"/>
      <c r="ORS64" s="607"/>
      <c r="ORT64" s="607"/>
      <c r="ORU64" s="607"/>
      <c r="ORV64" s="607"/>
      <c r="ORW64" s="607"/>
      <c r="ORX64" s="607"/>
      <c r="ORY64" s="607"/>
      <c r="ORZ64" s="607"/>
      <c r="OSA64" s="607"/>
      <c r="OSB64" s="607"/>
      <c r="OSC64" s="607"/>
      <c r="OSD64" s="607"/>
      <c r="OSE64" s="607"/>
      <c r="OSF64" s="607"/>
      <c r="OSG64" s="607"/>
      <c r="OSH64" s="607"/>
      <c r="OSI64" s="607"/>
      <c r="OSJ64" s="607"/>
      <c r="OSK64" s="607"/>
      <c r="OSL64" s="607"/>
      <c r="OSM64" s="607"/>
      <c r="OSN64" s="607"/>
      <c r="OSO64" s="607"/>
      <c r="OSP64" s="607"/>
      <c r="OSQ64" s="607"/>
      <c r="OSR64" s="607"/>
      <c r="OSS64" s="607"/>
      <c r="OST64" s="607"/>
      <c r="OSU64" s="607"/>
      <c r="OSV64" s="607"/>
      <c r="OSW64" s="607"/>
      <c r="OSX64" s="607"/>
      <c r="OSY64" s="607"/>
      <c r="OSZ64" s="607"/>
      <c r="OTA64" s="607"/>
      <c r="OTB64" s="607"/>
      <c r="OTC64" s="607"/>
      <c r="OTD64" s="607"/>
      <c r="OTE64" s="607"/>
      <c r="OTF64" s="607"/>
      <c r="OTG64" s="607"/>
      <c r="OTH64" s="607"/>
      <c r="OTI64" s="607"/>
      <c r="OTJ64" s="607"/>
      <c r="OTK64" s="607"/>
      <c r="OTL64" s="607"/>
      <c r="OTM64" s="607"/>
      <c r="OTN64" s="607"/>
      <c r="OTO64" s="607"/>
      <c r="OTP64" s="607"/>
      <c r="OTQ64" s="607"/>
      <c r="OTR64" s="607"/>
      <c r="OTS64" s="607"/>
      <c r="OTT64" s="607"/>
      <c r="OTU64" s="607"/>
      <c r="OTV64" s="607"/>
      <c r="OTW64" s="607"/>
      <c r="OTX64" s="607"/>
      <c r="OTY64" s="607"/>
      <c r="OTZ64" s="607"/>
      <c r="OUA64" s="607"/>
      <c r="OUB64" s="607"/>
      <c r="OUC64" s="607"/>
      <c r="OUD64" s="607"/>
      <c r="OUE64" s="607"/>
      <c r="OUF64" s="607"/>
      <c r="OUG64" s="607"/>
      <c r="OUH64" s="607"/>
      <c r="OUI64" s="607"/>
      <c r="OUJ64" s="607"/>
      <c r="OUK64" s="607"/>
      <c r="OUL64" s="607"/>
      <c r="OUM64" s="607"/>
      <c r="OUN64" s="607"/>
      <c r="OUO64" s="607"/>
      <c r="OUP64" s="607"/>
      <c r="OUQ64" s="607"/>
      <c r="OUR64" s="607"/>
      <c r="OUS64" s="607"/>
      <c r="OUT64" s="607"/>
      <c r="OUU64" s="607"/>
      <c r="OUV64" s="607"/>
      <c r="OUW64" s="607"/>
      <c r="OUX64" s="607"/>
      <c r="OUY64" s="607"/>
      <c r="OUZ64" s="607"/>
      <c r="OVA64" s="607"/>
      <c r="OVB64" s="607"/>
      <c r="OVC64" s="607"/>
      <c r="OVD64" s="607"/>
      <c r="OVE64" s="607"/>
      <c r="OVF64" s="607"/>
      <c r="OVG64" s="607"/>
      <c r="OVH64" s="607"/>
      <c r="OVI64" s="607"/>
      <c r="OVJ64" s="607"/>
      <c r="OVK64" s="607"/>
      <c r="OVL64" s="607"/>
      <c r="OVM64" s="607"/>
      <c r="OVN64" s="607"/>
      <c r="OVO64" s="607"/>
      <c r="OVP64" s="607"/>
      <c r="OVQ64" s="607"/>
      <c r="OVR64" s="607"/>
      <c r="OVS64" s="607"/>
      <c r="OVT64" s="607"/>
      <c r="OVU64" s="607"/>
      <c r="OVV64" s="607"/>
      <c r="OVW64" s="607"/>
      <c r="OVX64" s="607"/>
      <c r="OVY64" s="607"/>
      <c r="OVZ64" s="607"/>
      <c r="OWA64" s="607"/>
      <c r="OWB64" s="607"/>
      <c r="OWC64" s="607"/>
      <c r="OWD64" s="607"/>
      <c r="OWE64" s="607"/>
      <c r="OWF64" s="607"/>
      <c r="OWG64" s="607"/>
      <c r="OWH64" s="607"/>
      <c r="OWI64" s="607"/>
      <c r="OWJ64" s="607"/>
      <c r="OWK64" s="607"/>
      <c r="OWL64" s="607"/>
      <c r="OWM64" s="607"/>
      <c r="OWN64" s="607"/>
      <c r="OWO64" s="607"/>
      <c r="OWP64" s="607"/>
      <c r="OWQ64" s="607"/>
      <c r="OWR64" s="607"/>
      <c r="OWS64" s="607"/>
      <c r="OWT64" s="607"/>
      <c r="OWU64" s="607"/>
      <c r="OWV64" s="607"/>
      <c r="OWW64" s="607"/>
      <c r="OWX64" s="607"/>
      <c r="OWY64" s="607"/>
      <c r="OWZ64" s="607"/>
      <c r="OXA64" s="607"/>
      <c r="OXB64" s="607"/>
      <c r="OXC64" s="607"/>
      <c r="OXD64" s="607"/>
      <c r="OXE64" s="607"/>
      <c r="OXF64" s="607"/>
      <c r="OXG64" s="607"/>
      <c r="OXH64" s="607"/>
      <c r="OXI64" s="607"/>
      <c r="OXJ64" s="607"/>
      <c r="OXK64" s="607"/>
      <c r="OXL64" s="607"/>
      <c r="OXM64" s="607"/>
      <c r="OXN64" s="607"/>
      <c r="OXO64" s="607"/>
      <c r="OXP64" s="607"/>
      <c r="OXQ64" s="607"/>
      <c r="OXR64" s="607"/>
      <c r="OXS64" s="607"/>
      <c r="OXT64" s="607"/>
      <c r="OXU64" s="607"/>
      <c r="OXV64" s="607"/>
      <c r="OXW64" s="607"/>
      <c r="OXX64" s="607"/>
      <c r="OXY64" s="607"/>
      <c r="OXZ64" s="607"/>
      <c r="OYA64" s="607"/>
      <c r="OYB64" s="607"/>
      <c r="OYC64" s="607"/>
      <c r="OYD64" s="607"/>
      <c r="OYE64" s="607"/>
      <c r="OYF64" s="607"/>
      <c r="OYG64" s="607"/>
      <c r="OYH64" s="607"/>
      <c r="OYI64" s="607"/>
      <c r="OYJ64" s="607"/>
      <c r="OYK64" s="607"/>
      <c r="OYL64" s="607"/>
      <c r="OYM64" s="607"/>
      <c r="OYN64" s="607"/>
      <c r="OYO64" s="607"/>
      <c r="OYP64" s="607"/>
      <c r="OYQ64" s="607"/>
      <c r="OYR64" s="607"/>
      <c r="OYS64" s="607"/>
      <c r="OYT64" s="607"/>
      <c r="OYU64" s="607"/>
      <c r="OYV64" s="607"/>
      <c r="OYW64" s="607"/>
      <c r="OYX64" s="607"/>
      <c r="OYY64" s="607"/>
      <c r="OYZ64" s="607"/>
      <c r="OZA64" s="607"/>
      <c r="OZB64" s="607"/>
      <c r="OZC64" s="607"/>
      <c r="OZD64" s="607"/>
      <c r="OZE64" s="607"/>
      <c r="OZF64" s="607"/>
      <c r="OZG64" s="607"/>
      <c r="OZH64" s="607"/>
      <c r="OZI64" s="607"/>
      <c r="OZJ64" s="607"/>
      <c r="OZK64" s="607"/>
      <c r="OZL64" s="607"/>
      <c r="OZM64" s="607"/>
      <c r="OZN64" s="607"/>
      <c r="OZO64" s="607"/>
      <c r="OZP64" s="607"/>
      <c r="OZQ64" s="607"/>
      <c r="OZR64" s="607"/>
      <c r="OZS64" s="607"/>
      <c r="OZT64" s="607"/>
      <c r="OZU64" s="607"/>
      <c r="OZV64" s="607"/>
      <c r="OZW64" s="607"/>
      <c r="OZX64" s="607"/>
      <c r="OZY64" s="607"/>
      <c r="OZZ64" s="607"/>
      <c r="PAA64" s="607"/>
      <c r="PAB64" s="607"/>
      <c r="PAC64" s="607"/>
      <c r="PAD64" s="607"/>
      <c r="PAE64" s="607"/>
      <c r="PAF64" s="607"/>
      <c r="PAG64" s="607"/>
      <c r="PAH64" s="607"/>
      <c r="PAI64" s="607"/>
      <c r="PAJ64" s="607"/>
      <c r="PAK64" s="607"/>
      <c r="PAL64" s="607"/>
      <c r="PAM64" s="607"/>
      <c r="PAN64" s="607"/>
      <c r="PAO64" s="607"/>
      <c r="PAP64" s="607"/>
      <c r="PAQ64" s="607"/>
      <c r="PAR64" s="607"/>
      <c r="PAS64" s="607"/>
      <c r="PAT64" s="607"/>
      <c r="PAU64" s="607"/>
      <c r="PAV64" s="607"/>
      <c r="PAW64" s="607"/>
      <c r="PAX64" s="607"/>
      <c r="PAY64" s="607"/>
      <c r="PAZ64" s="607"/>
      <c r="PBA64" s="607"/>
      <c r="PBB64" s="607"/>
      <c r="PBC64" s="607"/>
      <c r="PBD64" s="607"/>
      <c r="PBE64" s="607"/>
      <c r="PBF64" s="607"/>
      <c r="PBG64" s="607"/>
      <c r="PBH64" s="607"/>
      <c r="PBI64" s="607"/>
      <c r="PBJ64" s="607"/>
      <c r="PBK64" s="607"/>
      <c r="PBL64" s="607"/>
      <c r="PBM64" s="607"/>
      <c r="PBN64" s="607"/>
      <c r="PBO64" s="607"/>
      <c r="PBP64" s="607"/>
      <c r="PBQ64" s="607"/>
      <c r="PBR64" s="607"/>
      <c r="PBS64" s="607"/>
      <c r="PBT64" s="607"/>
      <c r="PBU64" s="607"/>
      <c r="PBV64" s="607"/>
      <c r="PBW64" s="607"/>
      <c r="PBX64" s="607"/>
      <c r="PBY64" s="607"/>
      <c r="PBZ64" s="607"/>
      <c r="PCA64" s="607"/>
      <c r="PCB64" s="607"/>
      <c r="PCC64" s="607"/>
      <c r="PCD64" s="607"/>
      <c r="PCE64" s="607"/>
      <c r="PCF64" s="607"/>
      <c r="PCG64" s="607"/>
      <c r="PCH64" s="607"/>
      <c r="PCI64" s="607"/>
      <c r="PCJ64" s="607"/>
      <c r="PCK64" s="607"/>
      <c r="PCL64" s="607"/>
      <c r="PCM64" s="607"/>
      <c r="PCN64" s="607"/>
      <c r="PCO64" s="607"/>
      <c r="PCP64" s="607"/>
      <c r="PCQ64" s="607"/>
      <c r="PCR64" s="607"/>
      <c r="PCS64" s="607"/>
      <c r="PCT64" s="607"/>
      <c r="PCU64" s="607"/>
      <c r="PCV64" s="607"/>
      <c r="PCW64" s="607"/>
      <c r="PCX64" s="607"/>
      <c r="PCY64" s="607"/>
      <c r="PCZ64" s="607"/>
      <c r="PDA64" s="607"/>
      <c r="PDB64" s="607"/>
      <c r="PDC64" s="607"/>
      <c r="PDD64" s="607"/>
      <c r="PDE64" s="607"/>
      <c r="PDF64" s="607"/>
      <c r="PDG64" s="607"/>
      <c r="PDH64" s="607"/>
      <c r="PDI64" s="607"/>
      <c r="PDJ64" s="607"/>
      <c r="PDK64" s="607"/>
      <c r="PDL64" s="607"/>
      <c r="PDM64" s="607"/>
      <c r="PDN64" s="607"/>
      <c r="PDO64" s="607"/>
      <c r="PDP64" s="607"/>
      <c r="PDQ64" s="607"/>
      <c r="PDR64" s="607"/>
      <c r="PDS64" s="607"/>
      <c r="PDT64" s="607"/>
      <c r="PDU64" s="607"/>
      <c r="PDV64" s="607"/>
      <c r="PDW64" s="607"/>
      <c r="PDX64" s="607"/>
      <c r="PDY64" s="607"/>
      <c r="PDZ64" s="607"/>
      <c r="PEA64" s="607"/>
      <c r="PEB64" s="607"/>
      <c r="PEC64" s="607"/>
      <c r="PED64" s="607"/>
      <c r="PEE64" s="607"/>
      <c r="PEF64" s="607"/>
      <c r="PEG64" s="607"/>
      <c r="PEH64" s="607"/>
      <c r="PEI64" s="607"/>
      <c r="PEJ64" s="607"/>
      <c r="PEK64" s="607"/>
      <c r="PEL64" s="607"/>
      <c r="PEM64" s="607"/>
      <c r="PEN64" s="607"/>
      <c r="PEO64" s="607"/>
      <c r="PEP64" s="607"/>
      <c r="PEQ64" s="607"/>
      <c r="PER64" s="607"/>
      <c r="PES64" s="607"/>
      <c r="PET64" s="607"/>
      <c r="PEU64" s="607"/>
      <c r="PEV64" s="607"/>
      <c r="PEW64" s="607"/>
      <c r="PEX64" s="607"/>
      <c r="PEY64" s="607"/>
      <c r="PEZ64" s="607"/>
      <c r="PFA64" s="607"/>
      <c r="PFB64" s="607"/>
      <c r="PFC64" s="607"/>
      <c r="PFD64" s="607"/>
      <c r="PFE64" s="607"/>
      <c r="PFF64" s="607"/>
      <c r="PFG64" s="607"/>
      <c r="PFH64" s="607"/>
      <c r="PFI64" s="607"/>
      <c r="PFJ64" s="607"/>
      <c r="PFK64" s="607"/>
      <c r="PFL64" s="607"/>
      <c r="PFM64" s="607"/>
      <c r="PFN64" s="607"/>
      <c r="PFO64" s="607"/>
      <c r="PFP64" s="607"/>
      <c r="PFQ64" s="607"/>
      <c r="PFR64" s="607"/>
      <c r="PFS64" s="607"/>
      <c r="PFT64" s="607"/>
      <c r="PFU64" s="607"/>
      <c r="PFV64" s="607"/>
      <c r="PFW64" s="607"/>
      <c r="PFX64" s="607"/>
      <c r="PFY64" s="607"/>
      <c r="PFZ64" s="607"/>
      <c r="PGA64" s="607"/>
      <c r="PGB64" s="607"/>
      <c r="PGC64" s="607"/>
      <c r="PGD64" s="607"/>
      <c r="PGE64" s="607"/>
      <c r="PGF64" s="607"/>
      <c r="PGG64" s="607"/>
      <c r="PGH64" s="607"/>
      <c r="PGI64" s="607"/>
      <c r="PGJ64" s="607"/>
      <c r="PGK64" s="607"/>
      <c r="PGL64" s="607"/>
      <c r="PGM64" s="607"/>
      <c r="PGN64" s="607"/>
      <c r="PGO64" s="607"/>
      <c r="PGP64" s="607"/>
      <c r="PGQ64" s="607"/>
      <c r="PGR64" s="607"/>
      <c r="PGS64" s="607"/>
      <c r="PGT64" s="607"/>
      <c r="PGU64" s="607"/>
      <c r="PGV64" s="607"/>
      <c r="PGW64" s="607"/>
      <c r="PGX64" s="607"/>
      <c r="PGY64" s="607"/>
      <c r="PGZ64" s="607"/>
      <c r="PHA64" s="607"/>
      <c r="PHB64" s="607"/>
      <c r="PHC64" s="607"/>
      <c r="PHD64" s="607"/>
      <c r="PHE64" s="607"/>
      <c r="PHF64" s="607"/>
      <c r="PHG64" s="607"/>
      <c r="PHH64" s="607"/>
      <c r="PHI64" s="607"/>
      <c r="PHJ64" s="607"/>
      <c r="PHK64" s="607"/>
      <c r="PHL64" s="607"/>
      <c r="PHM64" s="607"/>
      <c r="PHN64" s="607"/>
      <c r="PHO64" s="607"/>
      <c r="PHP64" s="607"/>
      <c r="PHQ64" s="607"/>
      <c r="PHR64" s="607"/>
      <c r="PHS64" s="607"/>
      <c r="PHT64" s="607"/>
      <c r="PHU64" s="607"/>
      <c r="PHV64" s="607"/>
      <c r="PHW64" s="607"/>
      <c r="PHX64" s="607"/>
      <c r="PHY64" s="607"/>
      <c r="PHZ64" s="607"/>
      <c r="PIA64" s="607"/>
      <c r="PIB64" s="607"/>
      <c r="PIC64" s="607"/>
      <c r="PID64" s="607"/>
      <c r="PIE64" s="607"/>
      <c r="PIF64" s="607"/>
      <c r="PIG64" s="607"/>
      <c r="PIH64" s="607"/>
      <c r="PII64" s="607"/>
      <c r="PIJ64" s="607"/>
      <c r="PIK64" s="607"/>
      <c r="PIL64" s="607"/>
      <c r="PIM64" s="607"/>
      <c r="PIN64" s="607"/>
      <c r="PIO64" s="607"/>
      <c r="PIP64" s="607"/>
      <c r="PIQ64" s="607"/>
      <c r="PIR64" s="607"/>
      <c r="PIS64" s="607"/>
      <c r="PIT64" s="607"/>
      <c r="PIU64" s="607"/>
      <c r="PIV64" s="607"/>
      <c r="PIW64" s="607"/>
      <c r="PIX64" s="607"/>
      <c r="PIY64" s="607"/>
      <c r="PIZ64" s="607"/>
      <c r="PJA64" s="607"/>
      <c r="PJB64" s="607"/>
      <c r="PJC64" s="607"/>
      <c r="PJD64" s="607"/>
      <c r="PJE64" s="607"/>
      <c r="PJF64" s="607"/>
      <c r="PJG64" s="607"/>
      <c r="PJH64" s="607"/>
      <c r="PJI64" s="607"/>
      <c r="PJJ64" s="607"/>
      <c r="PJK64" s="607"/>
      <c r="PJL64" s="607"/>
      <c r="PJM64" s="607"/>
      <c r="PJN64" s="607"/>
      <c r="PJO64" s="607"/>
      <c r="PJP64" s="607"/>
      <c r="PJQ64" s="607"/>
      <c r="PJR64" s="607"/>
      <c r="PJS64" s="607"/>
      <c r="PJT64" s="607"/>
      <c r="PJU64" s="607"/>
      <c r="PJV64" s="607"/>
      <c r="PJW64" s="607"/>
      <c r="PJX64" s="607"/>
      <c r="PJY64" s="607"/>
      <c r="PJZ64" s="607"/>
      <c r="PKA64" s="607"/>
      <c r="PKB64" s="607"/>
      <c r="PKC64" s="607"/>
      <c r="PKD64" s="607"/>
      <c r="PKE64" s="607"/>
      <c r="PKF64" s="607"/>
      <c r="PKG64" s="607"/>
      <c r="PKH64" s="607"/>
      <c r="PKI64" s="607"/>
      <c r="PKJ64" s="607"/>
      <c r="PKK64" s="607"/>
      <c r="PKL64" s="607"/>
      <c r="PKM64" s="607"/>
      <c r="PKN64" s="607"/>
      <c r="PKO64" s="607"/>
      <c r="PKP64" s="607"/>
      <c r="PKQ64" s="607"/>
      <c r="PKR64" s="607"/>
      <c r="PKS64" s="607"/>
      <c r="PKT64" s="607"/>
      <c r="PKU64" s="607"/>
      <c r="PKV64" s="607"/>
      <c r="PKW64" s="607"/>
      <c r="PKX64" s="607"/>
      <c r="PKY64" s="607"/>
      <c r="PKZ64" s="607"/>
      <c r="PLA64" s="607"/>
      <c r="PLB64" s="607"/>
      <c r="PLC64" s="607"/>
      <c r="PLD64" s="607"/>
      <c r="PLE64" s="607"/>
      <c r="PLF64" s="607"/>
      <c r="PLG64" s="607"/>
      <c r="PLH64" s="607"/>
      <c r="PLI64" s="607"/>
      <c r="PLJ64" s="607"/>
      <c r="PLK64" s="607"/>
      <c r="PLL64" s="607"/>
      <c r="PLM64" s="607"/>
      <c r="PLN64" s="607"/>
      <c r="PLO64" s="607"/>
      <c r="PLP64" s="607"/>
      <c r="PLQ64" s="607"/>
      <c r="PLR64" s="607"/>
      <c r="PLS64" s="607"/>
      <c r="PLT64" s="607"/>
      <c r="PLU64" s="607"/>
      <c r="PLV64" s="607"/>
      <c r="PLW64" s="607"/>
      <c r="PLX64" s="607"/>
      <c r="PLY64" s="607"/>
      <c r="PLZ64" s="607"/>
      <c r="PMA64" s="607"/>
      <c r="PMB64" s="607"/>
      <c r="PMC64" s="607"/>
      <c r="PMD64" s="607"/>
      <c r="PME64" s="607"/>
      <c r="PMF64" s="607"/>
      <c r="PMG64" s="607"/>
      <c r="PMH64" s="607"/>
      <c r="PMI64" s="607"/>
      <c r="PMJ64" s="607"/>
      <c r="PMK64" s="607"/>
      <c r="PML64" s="607"/>
      <c r="PMM64" s="607"/>
      <c r="PMN64" s="607"/>
      <c r="PMO64" s="607"/>
      <c r="PMP64" s="607"/>
      <c r="PMQ64" s="607"/>
      <c r="PMR64" s="607"/>
      <c r="PMS64" s="607"/>
      <c r="PMT64" s="607"/>
      <c r="PMU64" s="607"/>
      <c r="PMV64" s="607"/>
      <c r="PMW64" s="607"/>
      <c r="PMX64" s="607"/>
      <c r="PMY64" s="607"/>
      <c r="PMZ64" s="607"/>
      <c r="PNA64" s="607"/>
      <c r="PNB64" s="607"/>
      <c r="PNC64" s="607"/>
      <c r="PND64" s="607"/>
      <c r="PNE64" s="607"/>
      <c r="PNF64" s="607"/>
      <c r="PNG64" s="607"/>
      <c r="PNH64" s="607"/>
      <c r="PNI64" s="607"/>
      <c r="PNJ64" s="607"/>
      <c r="PNK64" s="607"/>
      <c r="PNL64" s="607"/>
      <c r="PNM64" s="607"/>
      <c r="PNN64" s="607"/>
      <c r="PNO64" s="607"/>
      <c r="PNP64" s="607"/>
      <c r="PNQ64" s="607"/>
      <c r="PNR64" s="607"/>
      <c r="PNS64" s="607"/>
      <c r="PNT64" s="607"/>
      <c r="PNU64" s="607"/>
      <c r="PNV64" s="607"/>
      <c r="PNW64" s="607"/>
      <c r="PNX64" s="607"/>
      <c r="PNY64" s="607"/>
      <c r="PNZ64" s="607"/>
      <c r="POA64" s="607"/>
      <c r="POB64" s="607"/>
      <c r="POC64" s="607"/>
      <c r="POD64" s="607"/>
      <c r="POE64" s="607"/>
      <c r="POF64" s="607"/>
      <c r="POG64" s="607"/>
      <c r="POH64" s="607"/>
      <c r="POI64" s="607"/>
      <c r="POJ64" s="607"/>
      <c r="POK64" s="607"/>
      <c r="POL64" s="607"/>
      <c r="POM64" s="607"/>
      <c r="PON64" s="607"/>
      <c r="POO64" s="607"/>
      <c r="POP64" s="607"/>
      <c r="POQ64" s="607"/>
      <c r="POR64" s="607"/>
      <c r="POS64" s="607"/>
      <c r="POT64" s="607"/>
      <c r="POU64" s="607"/>
      <c r="POV64" s="607"/>
      <c r="POW64" s="607"/>
      <c r="POX64" s="607"/>
      <c r="POY64" s="607"/>
      <c r="POZ64" s="607"/>
      <c r="PPA64" s="607"/>
      <c r="PPB64" s="607"/>
      <c r="PPC64" s="607"/>
      <c r="PPD64" s="607"/>
      <c r="PPE64" s="607"/>
      <c r="PPF64" s="607"/>
      <c r="PPG64" s="607"/>
      <c r="PPH64" s="607"/>
      <c r="PPI64" s="607"/>
      <c r="PPJ64" s="607"/>
      <c r="PPK64" s="607"/>
      <c r="PPL64" s="607"/>
      <c r="PPM64" s="607"/>
      <c r="PPN64" s="607"/>
      <c r="PPO64" s="607"/>
      <c r="PPP64" s="607"/>
      <c r="PPQ64" s="607"/>
      <c r="PPR64" s="607"/>
      <c r="PPS64" s="607"/>
      <c r="PPT64" s="607"/>
      <c r="PPU64" s="607"/>
      <c r="PPV64" s="607"/>
      <c r="PPW64" s="607"/>
      <c r="PPX64" s="607"/>
      <c r="PPY64" s="607"/>
      <c r="PPZ64" s="607"/>
      <c r="PQA64" s="607"/>
      <c r="PQB64" s="607"/>
      <c r="PQC64" s="607"/>
      <c r="PQD64" s="607"/>
      <c r="PQE64" s="607"/>
      <c r="PQF64" s="607"/>
      <c r="PQG64" s="607"/>
      <c r="PQH64" s="607"/>
      <c r="PQI64" s="607"/>
      <c r="PQJ64" s="607"/>
      <c r="PQK64" s="607"/>
      <c r="PQL64" s="607"/>
      <c r="PQM64" s="607"/>
      <c r="PQN64" s="607"/>
      <c r="PQO64" s="607"/>
      <c r="PQP64" s="607"/>
      <c r="PQQ64" s="607"/>
      <c r="PQR64" s="607"/>
      <c r="PQS64" s="607"/>
      <c r="PQT64" s="607"/>
      <c r="PQU64" s="607"/>
      <c r="PQV64" s="607"/>
      <c r="PQW64" s="607"/>
      <c r="PQX64" s="607"/>
      <c r="PQY64" s="607"/>
      <c r="PQZ64" s="607"/>
      <c r="PRA64" s="607"/>
      <c r="PRB64" s="607"/>
      <c r="PRC64" s="607"/>
      <c r="PRD64" s="607"/>
      <c r="PRE64" s="607"/>
      <c r="PRF64" s="607"/>
      <c r="PRG64" s="607"/>
      <c r="PRH64" s="607"/>
      <c r="PRI64" s="607"/>
      <c r="PRJ64" s="607"/>
      <c r="PRK64" s="607"/>
      <c r="PRL64" s="607"/>
      <c r="PRM64" s="607"/>
      <c r="PRN64" s="607"/>
      <c r="PRO64" s="607"/>
      <c r="PRP64" s="607"/>
      <c r="PRQ64" s="607"/>
      <c r="PRR64" s="607"/>
      <c r="PRS64" s="607"/>
      <c r="PRT64" s="607"/>
      <c r="PRU64" s="607"/>
      <c r="PRV64" s="607"/>
      <c r="PRW64" s="607"/>
      <c r="PRX64" s="607"/>
      <c r="PRY64" s="607"/>
      <c r="PRZ64" s="607"/>
      <c r="PSA64" s="607"/>
      <c r="PSB64" s="607"/>
      <c r="PSC64" s="607"/>
      <c r="PSD64" s="607"/>
      <c r="PSE64" s="607"/>
      <c r="PSF64" s="607"/>
      <c r="PSG64" s="607"/>
      <c r="PSH64" s="607"/>
      <c r="PSI64" s="607"/>
      <c r="PSJ64" s="607"/>
      <c r="PSK64" s="607"/>
      <c r="PSL64" s="607"/>
      <c r="PSM64" s="607"/>
      <c r="PSN64" s="607"/>
      <c r="PSO64" s="607"/>
      <c r="PSP64" s="607"/>
      <c r="PSQ64" s="607"/>
      <c r="PSR64" s="607"/>
      <c r="PSS64" s="607"/>
      <c r="PST64" s="607"/>
      <c r="PSU64" s="607"/>
      <c r="PSV64" s="607"/>
      <c r="PSW64" s="607"/>
      <c r="PSX64" s="607"/>
      <c r="PSY64" s="607"/>
      <c r="PSZ64" s="607"/>
      <c r="PTA64" s="607"/>
      <c r="PTB64" s="607"/>
      <c r="PTC64" s="607"/>
      <c r="PTD64" s="607"/>
      <c r="PTE64" s="607"/>
      <c r="PTF64" s="607"/>
      <c r="PTG64" s="607"/>
      <c r="PTH64" s="607"/>
      <c r="PTI64" s="607"/>
      <c r="PTJ64" s="607"/>
      <c r="PTK64" s="607"/>
      <c r="PTL64" s="607"/>
      <c r="PTM64" s="607"/>
      <c r="PTN64" s="607"/>
      <c r="PTO64" s="607"/>
      <c r="PTP64" s="607"/>
      <c r="PTQ64" s="607"/>
      <c r="PTR64" s="607"/>
      <c r="PTS64" s="607"/>
      <c r="PTT64" s="607"/>
      <c r="PTU64" s="607"/>
      <c r="PTV64" s="607"/>
      <c r="PTW64" s="607"/>
      <c r="PTX64" s="607"/>
      <c r="PTY64" s="607"/>
      <c r="PTZ64" s="607"/>
      <c r="PUA64" s="607"/>
      <c r="PUB64" s="607"/>
      <c r="PUC64" s="607"/>
      <c r="PUD64" s="607"/>
      <c r="PUE64" s="607"/>
      <c r="PUF64" s="607"/>
      <c r="PUG64" s="607"/>
      <c r="PUH64" s="607"/>
      <c r="PUI64" s="607"/>
      <c r="PUJ64" s="607"/>
      <c r="PUK64" s="607"/>
      <c r="PUL64" s="607"/>
      <c r="PUM64" s="607"/>
      <c r="PUN64" s="607"/>
      <c r="PUO64" s="607"/>
      <c r="PUP64" s="607"/>
      <c r="PUQ64" s="607"/>
      <c r="PUR64" s="607"/>
      <c r="PUS64" s="607"/>
      <c r="PUT64" s="607"/>
      <c r="PUU64" s="607"/>
      <c r="PUV64" s="607"/>
      <c r="PUW64" s="607"/>
      <c r="PUX64" s="607"/>
      <c r="PUY64" s="607"/>
      <c r="PUZ64" s="607"/>
      <c r="PVA64" s="607"/>
      <c r="PVB64" s="607"/>
      <c r="PVC64" s="607"/>
      <c r="PVD64" s="607"/>
      <c r="PVE64" s="607"/>
      <c r="PVF64" s="607"/>
      <c r="PVG64" s="607"/>
      <c r="PVH64" s="607"/>
      <c r="PVI64" s="607"/>
      <c r="PVJ64" s="607"/>
      <c r="PVK64" s="607"/>
      <c r="PVL64" s="607"/>
      <c r="PVM64" s="607"/>
      <c r="PVN64" s="607"/>
      <c r="PVO64" s="607"/>
      <c r="PVP64" s="607"/>
      <c r="PVQ64" s="607"/>
      <c r="PVR64" s="607"/>
      <c r="PVS64" s="607"/>
      <c r="PVT64" s="607"/>
      <c r="PVU64" s="607"/>
      <c r="PVV64" s="607"/>
      <c r="PVW64" s="607"/>
      <c r="PVX64" s="607"/>
      <c r="PVY64" s="607"/>
      <c r="PVZ64" s="607"/>
      <c r="PWA64" s="607"/>
      <c r="PWB64" s="607"/>
      <c r="PWC64" s="607"/>
      <c r="PWD64" s="607"/>
      <c r="PWE64" s="607"/>
      <c r="PWF64" s="607"/>
      <c r="PWG64" s="607"/>
      <c r="PWH64" s="607"/>
      <c r="PWI64" s="607"/>
      <c r="PWJ64" s="607"/>
      <c r="PWK64" s="607"/>
      <c r="PWL64" s="607"/>
      <c r="PWM64" s="607"/>
      <c r="PWN64" s="607"/>
      <c r="PWO64" s="607"/>
      <c r="PWP64" s="607"/>
      <c r="PWQ64" s="607"/>
      <c r="PWR64" s="607"/>
      <c r="PWS64" s="607"/>
      <c r="PWT64" s="607"/>
      <c r="PWU64" s="607"/>
      <c r="PWV64" s="607"/>
      <c r="PWW64" s="607"/>
      <c r="PWX64" s="607"/>
      <c r="PWY64" s="607"/>
      <c r="PWZ64" s="607"/>
      <c r="PXA64" s="607"/>
      <c r="PXB64" s="607"/>
      <c r="PXC64" s="607"/>
      <c r="PXD64" s="607"/>
      <c r="PXE64" s="607"/>
      <c r="PXF64" s="607"/>
      <c r="PXG64" s="607"/>
      <c r="PXH64" s="607"/>
      <c r="PXI64" s="607"/>
      <c r="PXJ64" s="607"/>
      <c r="PXK64" s="607"/>
      <c r="PXL64" s="607"/>
      <c r="PXM64" s="607"/>
      <c r="PXN64" s="607"/>
      <c r="PXO64" s="607"/>
      <c r="PXP64" s="607"/>
      <c r="PXQ64" s="607"/>
      <c r="PXR64" s="607"/>
      <c r="PXS64" s="607"/>
      <c r="PXT64" s="607"/>
      <c r="PXU64" s="607"/>
      <c r="PXV64" s="607"/>
      <c r="PXW64" s="607"/>
      <c r="PXX64" s="607"/>
      <c r="PXY64" s="607"/>
      <c r="PXZ64" s="607"/>
      <c r="PYA64" s="607"/>
      <c r="PYB64" s="607"/>
      <c r="PYC64" s="607"/>
      <c r="PYD64" s="607"/>
      <c r="PYE64" s="607"/>
      <c r="PYF64" s="607"/>
      <c r="PYG64" s="607"/>
      <c r="PYH64" s="607"/>
      <c r="PYI64" s="607"/>
      <c r="PYJ64" s="607"/>
      <c r="PYK64" s="607"/>
      <c r="PYL64" s="607"/>
      <c r="PYM64" s="607"/>
      <c r="PYN64" s="607"/>
      <c r="PYO64" s="607"/>
      <c r="PYP64" s="607"/>
      <c r="PYQ64" s="607"/>
      <c r="PYR64" s="607"/>
      <c r="PYS64" s="607"/>
      <c r="PYT64" s="607"/>
      <c r="PYU64" s="607"/>
      <c r="PYV64" s="607"/>
      <c r="PYW64" s="607"/>
      <c r="PYX64" s="607"/>
      <c r="PYY64" s="607"/>
      <c r="PYZ64" s="607"/>
      <c r="PZA64" s="607"/>
      <c r="PZB64" s="607"/>
      <c r="PZC64" s="607"/>
      <c r="PZD64" s="607"/>
      <c r="PZE64" s="607"/>
      <c r="PZF64" s="607"/>
      <c r="PZG64" s="607"/>
      <c r="PZH64" s="607"/>
      <c r="PZI64" s="607"/>
      <c r="PZJ64" s="607"/>
      <c r="PZK64" s="607"/>
      <c r="PZL64" s="607"/>
      <c r="PZM64" s="607"/>
      <c r="PZN64" s="607"/>
      <c r="PZO64" s="607"/>
      <c r="PZP64" s="607"/>
      <c r="PZQ64" s="607"/>
      <c r="PZR64" s="607"/>
      <c r="PZS64" s="607"/>
      <c r="PZT64" s="607"/>
      <c r="PZU64" s="607"/>
      <c r="PZV64" s="607"/>
      <c r="PZW64" s="607"/>
      <c r="PZX64" s="607"/>
      <c r="PZY64" s="607"/>
      <c r="PZZ64" s="607"/>
      <c r="QAA64" s="607"/>
      <c r="QAB64" s="607"/>
      <c r="QAC64" s="607"/>
      <c r="QAD64" s="607"/>
      <c r="QAE64" s="607"/>
      <c r="QAF64" s="607"/>
      <c r="QAG64" s="607"/>
      <c r="QAH64" s="607"/>
      <c r="QAI64" s="607"/>
      <c r="QAJ64" s="607"/>
      <c r="QAK64" s="607"/>
      <c r="QAL64" s="607"/>
      <c r="QAM64" s="607"/>
      <c r="QAN64" s="607"/>
      <c r="QAO64" s="607"/>
      <c r="QAP64" s="607"/>
      <c r="QAQ64" s="607"/>
      <c r="QAR64" s="607"/>
      <c r="QAS64" s="607"/>
      <c r="QAT64" s="607"/>
      <c r="QAU64" s="607"/>
      <c r="QAV64" s="607"/>
      <c r="QAW64" s="607"/>
      <c r="QAX64" s="607"/>
      <c r="QAY64" s="607"/>
      <c r="QAZ64" s="607"/>
      <c r="QBA64" s="607"/>
      <c r="QBB64" s="607"/>
      <c r="QBC64" s="607"/>
      <c r="QBD64" s="607"/>
      <c r="QBE64" s="607"/>
      <c r="QBF64" s="607"/>
      <c r="QBG64" s="607"/>
      <c r="QBH64" s="607"/>
      <c r="QBI64" s="607"/>
      <c r="QBJ64" s="607"/>
      <c r="QBK64" s="607"/>
      <c r="QBL64" s="607"/>
      <c r="QBM64" s="607"/>
      <c r="QBN64" s="607"/>
      <c r="QBO64" s="607"/>
      <c r="QBP64" s="607"/>
      <c r="QBQ64" s="607"/>
      <c r="QBR64" s="607"/>
      <c r="QBS64" s="607"/>
      <c r="QBT64" s="607"/>
      <c r="QBU64" s="607"/>
      <c r="QBV64" s="607"/>
      <c r="QBW64" s="607"/>
      <c r="QBX64" s="607"/>
      <c r="QBY64" s="607"/>
      <c r="QBZ64" s="607"/>
      <c r="QCA64" s="607"/>
      <c r="QCB64" s="607"/>
      <c r="QCC64" s="607"/>
      <c r="QCD64" s="607"/>
      <c r="QCE64" s="607"/>
      <c r="QCF64" s="607"/>
      <c r="QCG64" s="607"/>
      <c r="QCH64" s="607"/>
      <c r="QCI64" s="607"/>
      <c r="QCJ64" s="607"/>
      <c r="QCK64" s="607"/>
      <c r="QCL64" s="607"/>
      <c r="QCM64" s="607"/>
      <c r="QCN64" s="607"/>
      <c r="QCO64" s="607"/>
      <c r="QCP64" s="607"/>
      <c r="QCQ64" s="607"/>
      <c r="QCR64" s="607"/>
      <c r="QCS64" s="607"/>
      <c r="QCT64" s="607"/>
      <c r="QCU64" s="607"/>
      <c r="QCV64" s="607"/>
      <c r="QCW64" s="607"/>
      <c r="QCX64" s="607"/>
      <c r="QCY64" s="607"/>
      <c r="QCZ64" s="607"/>
      <c r="QDA64" s="607"/>
      <c r="QDB64" s="607"/>
      <c r="QDC64" s="607"/>
      <c r="QDD64" s="607"/>
      <c r="QDE64" s="607"/>
      <c r="QDF64" s="607"/>
      <c r="QDG64" s="607"/>
      <c r="QDH64" s="607"/>
      <c r="QDI64" s="607"/>
      <c r="QDJ64" s="607"/>
      <c r="QDK64" s="607"/>
      <c r="QDL64" s="607"/>
      <c r="QDM64" s="607"/>
      <c r="QDN64" s="607"/>
      <c r="QDO64" s="607"/>
      <c r="QDP64" s="607"/>
      <c r="QDQ64" s="607"/>
      <c r="QDR64" s="607"/>
      <c r="QDS64" s="607"/>
      <c r="QDT64" s="607"/>
      <c r="QDU64" s="607"/>
      <c r="QDV64" s="607"/>
      <c r="QDW64" s="607"/>
      <c r="QDX64" s="607"/>
      <c r="QDY64" s="607"/>
      <c r="QDZ64" s="607"/>
      <c r="QEA64" s="607"/>
      <c r="QEB64" s="607"/>
      <c r="QEC64" s="607"/>
      <c r="QED64" s="607"/>
      <c r="QEE64" s="607"/>
      <c r="QEF64" s="607"/>
      <c r="QEG64" s="607"/>
      <c r="QEH64" s="607"/>
      <c r="QEI64" s="607"/>
      <c r="QEJ64" s="607"/>
      <c r="QEK64" s="607"/>
      <c r="QEL64" s="607"/>
      <c r="QEM64" s="607"/>
      <c r="QEN64" s="607"/>
      <c r="QEO64" s="607"/>
      <c r="QEP64" s="607"/>
      <c r="QEQ64" s="607"/>
      <c r="QER64" s="607"/>
      <c r="QES64" s="607"/>
      <c r="QET64" s="607"/>
      <c r="QEU64" s="607"/>
      <c r="QEV64" s="607"/>
      <c r="QEW64" s="607"/>
      <c r="QEX64" s="607"/>
      <c r="QEY64" s="607"/>
      <c r="QEZ64" s="607"/>
      <c r="QFA64" s="607"/>
      <c r="QFB64" s="607"/>
      <c r="QFC64" s="607"/>
      <c r="QFD64" s="607"/>
      <c r="QFE64" s="607"/>
      <c r="QFF64" s="607"/>
      <c r="QFG64" s="607"/>
      <c r="QFH64" s="607"/>
      <c r="QFI64" s="607"/>
      <c r="QFJ64" s="607"/>
      <c r="QFK64" s="607"/>
      <c r="QFL64" s="607"/>
      <c r="QFM64" s="607"/>
      <c r="QFN64" s="607"/>
      <c r="QFO64" s="607"/>
      <c r="QFP64" s="607"/>
      <c r="QFQ64" s="607"/>
      <c r="QFR64" s="607"/>
      <c r="QFS64" s="607"/>
      <c r="QFT64" s="607"/>
      <c r="QFU64" s="607"/>
      <c r="QFV64" s="607"/>
      <c r="QFW64" s="607"/>
      <c r="QFX64" s="607"/>
      <c r="QFY64" s="607"/>
      <c r="QFZ64" s="607"/>
      <c r="QGA64" s="607"/>
      <c r="QGB64" s="607"/>
      <c r="QGC64" s="607"/>
      <c r="QGD64" s="607"/>
      <c r="QGE64" s="607"/>
      <c r="QGF64" s="607"/>
      <c r="QGG64" s="607"/>
      <c r="QGH64" s="607"/>
      <c r="QGI64" s="607"/>
      <c r="QGJ64" s="607"/>
      <c r="QGK64" s="607"/>
      <c r="QGL64" s="607"/>
      <c r="QGM64" s="607"/>
      <c r="QGN64" s="607"/>
      <c r="QGO64" s="607"/>
      <c r="QGP64" s="607"/>
      <c r="QGQ64" s="607"/>
      <c r="QGR64" s="607"/>
      <c r="QGS64" s="607"/>
      <c r="QGT64" s="607"/>
      <c r="QGU64" s="607"/>
      <c r="QGV64" s="607"/>
      <c r="QGW64" s="607"/>
      <c r="QGX64" s="607"/>
      <c r="QGY64" s="607"/>
      <c r="QGZ64" s="607"/>
      <c r="QHA64" s="607"/>
      <c r="QHB64" s="607"/>
      <c r="QHC64" s="607"/>
      <c r="QHD64" s="607"/>
      <c r="QHE64" s="607"/>
      <c r="QHF64" s="607"/>
      <c r="QHG64" s="607"/>
      <c r="QHH64" s="607"/>
      <c r="QHI64" s="607"/>
      <c r="QHJ64" s="607"/>
      <c r="QHK64" s="607"/>
      <c r="QHL64" s="607"/>
      <c r="QHM64" s="607"/>
      <c r="QHN64" s="607"/>
      <c r="QHO64" s="607"/>
      <c r="QHP64" s="607"/>
      <c r="QHQ64" s="607"/>
      <c r="QHR64" s="607"/>
      <c r="QHS64" s="607"/>
      <c r="QHT64" s="607"/>
      <c r="QHU64" s="607"/>
      <c r="QHV64" s="607"/>
      <c r="QHW64" s="607"/>
      <c r="QHX64" s="607"/>
      <c r="QHY64" s="607"/>
      <c r="QHZ64" s="607"/>
      <c r="QIA64" s="607"/>
      <c r="QIB64" s="607"/>
      <c r="QIC64" s="607"/>
      <c r="QID64" s="607"/>
      <c r="QIE64" s="607"/>
      <c r="QIF64" s="607"/>
      <c r="QIG64" s="607"/>
      <c r="QIH64" s="607"/>
      <c r="QII64" s="607"/>
      <c r="QIJ64" s="607"/>
      <c r="QIK64" s="607"/>
      <c r="QIL64" s="607"/>
      <c r="QIM64" s="607"/>
      <c r="QIN64" s="607"/>
      <c r="QIO64" s="607"/>
      <c r="QIP64" s="607"/>
      <c r="QIQ64" s="607"/>
      <c r="QIR64" s="607"/>
      <c r="QIS64" s="607"/>
      <c r="QIT64" s="607"/>
      <c r="QIU64" s="607"/>
      <c r="QIV64" s="607"/>
      <c r="QIW64" s="607"/>
      <c r="QIX64" s="607"/>
      <c r="QIY64" s="607"/>
      <c r="QIZ64" s="607"/>
      <c r="QJA64" s="607"/>
      <c r="QJB64" s="607"/>
      <c r="QJC64" s="607"/>
      <c r="QJD64" s="607"/>
      <c r="QJE64" s="607"/>
      <c r="QJF64" s="607"/>
      <c r="QJG64" s="607"/>
      <c r="QJH64" s="607"/>
      <c r="QJI64" s="607"/>
      <c r="QJJ64" s="607"/>
      <c r="QJK64" s="607"/>
      <c r="QJL64" s="607"/>
      <c r="QJM64" s="607"/>
      <c r="QJN64" s="607"/>
      <c r="QJO64" s="607"/>
      <c r="QJP64" s="607"/>
      <c r="QJQ64" s="607"/>
      <c r="QJR64" s="607"/>
      <c r="QJS64" s="607"/>
      <c r="QJT64" s="607"/>
      <c r="QJU64" s="607"/>
      <c r="QJV64" s="607"/>
      <c r="QJW64" s="607"/>
      <c r="QJX64" s="607"/>
      <c r="QJY64" s="607"/>
      <c r="QJZ64" s="607"/>
      <c r="QKA64" s="607"/>
      <c r="QKB64" s="607"/>
      <c r="QKC64" s="607"/>
      <c r="QKD64" s="607"/>
      <c r="QKE64" s="607"/>
      <c r="QKF64" s="607"/>
      <c r="QKG64" s="607"/>
      <c r="QKH64" s="607"/>
      <c r="QKI64" s="607"/>
      <c r="QKJ64" s="607"/>
      <c r="QKK64" s="607"/>
      <c r="QKL64" s="607"/>
      <c r="QKM64" s="607"/>
      <c r="QKN64" s="607"/>
      <c r="QKO64" s="607"/>
      <c r="QKP64" s="607"/>
      <c r="QKQ64" s="607"/>
      <c r="QKR64" s="607"/>
      <c r="QKS64" s="607"/>
      <c r="QKT64" s="607"/>
      <c r="QKU64" s="607"/>
      <c r="QKV64" s="607"/>
      <c r="QKW64" s="607"/>
      <c r="QKX64" s="607"/>
      <c r="QKY64" s="607"/>
      <c r="QKZ64" s="607"/>
      <c r="QLA64" s="607"/>
      <c r="QLB64" s="607"/>
      <c r="QLC64" s="607"/>
      <c r="QLD64" s="607"/>
      <c r="QLE64" s="607"/>
      <c r="QLF64" s="607"/>
      <c r="QLG64" s="607"/>
      <c r="QLH64" s="607"/>
      <c r="QLI64" s="607"/>
      <c r="QLJ64" s="607"/>
      <c r="QLK64" s="607"/>
      <c r="QLL64" s="607"/>
      <c r="QLM64" s="607"/>
      <c r="QLN64" s="607"/>
      <c r="QLO64" s="607"/>
      <c r="QLP64" s="607"/>
      <c r="QLQ64" s="607"/>
      <c r="QLR64" s="607"/>
      <c r="QLS64" s="607"/>
      <c r="QLT64" s="607"/>
      <c r="QLU64" s="607"/>
      <c r="QLV64" s="607"/>
      <c r="QLW64" s="607"/>
      <c r="QLX64" s="607"/>
      <c r="QLY64" s="607"/>
      <c r="QLZ64" s="607"/>
      <c r="QMA64" s="607"/>
      <c r="QMB64" s="607"/>
      <c r="QMC64" s="607"/>
      <c r="QMD64" s="607"/>
      <c r="QME64" s="607"/>
      <c r="QMF64" s="607"/>
      <c r="QMG64" s="607"/>
      <c r="QMH64" s="607"/>
      <c r="QMI64" s="607"/>
      <c r="QMJ64" s="607"/>
      <c r="QMK64" s="607"/>
      <c r="QML64" s="607"/>
      <c r="QMM64" s="607"/>
      <c r="QMN64" s="607"/>
      <c r="QMO64" s="607"/>
      <c r="QMP64" s="607"/>
      <c r="QMQ64" s="607"/>
      <c r="QMR64" s="607"/>
      <c r="QMS64" s="607"/>
      <c r="QMT64" s="607"/>
      <c r="QMU64" s="607"/>
      <c r="QMV64" s="607"/>
      <c r="QMW64" s="607"/>
      <c r="QMX64" s="607"/>
      <c r="QMY64" s="607"/>
      <c r="QMZ64" s="607"/>
      <c r="QNA64" s="607"/>
      <c r="QNB64" s="607"/>
      <c r="QNC64" s="607"/>
      <c r="QND64" s="607"/>
      <c r="QNE64" s="607"/>
      <c r="QNF64" s="607"/>
      <c r="QNG64" s="607"/>
      <c r="QNH64" s="607"/>
      <c r="QNI64" s="607"/>
      <c r="QNJ64" s="607"/>
      <c r="QNK64" s="607"/>
      <c r="QNL64" s="607"/>
      <c r="QNM64" s="607"/>
      <c r="QNN64" s="607"/>
      <c r="QNO64" s="607"/>
      <c r="QNP64" s="607"/>
      <c r="QNQ64" s="607"/>
      <c r="QNR64" s="607"/>
      <c r="QNS64" s="607"/>
      <c r="QNT64" s="607"/>
      <c r="QNU64" s="607"/>
      <c r="QNV64" s="607"/>
      <c r="QNW64" s="607"/>
      <c r="QNX64" s="607"/>
      <c r="QNY64" s="607"/>
      <c r="QNZ64" s="607"/>
      <c r="QOA64" s="607"/>
      <c r="QOB64" s="607"/>
      <c r="QOC64" s="607"/>
      <c r="QOD64" s="607"/>
      <c r="QOE64" s="607"/>
      <c r="QOF64" s="607"/>
      <c r="QOG64" s="607"/>
      <c r="QOH64" s="607"/>
      <c r="QOI64" s="607"/>
      <c r="QOJ64" s="607"/>
      <c r="QOK64" s="607"/>
      <c r="QOL64" s="607"/>
      <c r="QOM64" s="607"/>
      <c r="QON64" s="607"/>
      <c r="QOO64" s="607"/>
      <c r="QOP64" s="607"/>
      <c r="QOQ64" s="607"/>
      <c r="QOR64" s="607"/>
      <c r="QOS64" s="607"/>
      <c r="QOT64" s="607"/>
      <c r="QOU64" s="607"/>
      <c r="QOV64" s="607"/>
      <c r="QOW64" s="607"/>
      <c r="QOX64" s="607"/>
      <c r="QOY64" s="607"/>
      <c r="QOZ64" s="607"/>
      <c r="QPA64" s="607"/>
      <c r="QPB64" s="607"/>
      <c r="QPC64" s="607"/>
      <c r="QPD64" s="607"/>
      <c r="QPE64" s="607"/>
      <c r="QPF64" s="607"/>
      <c r="QPG64" s="607"/>
      <c r="QPH64" s="607"/>
      <c r="QPI64" s="607"/>
      <c r="QPJ64" s="607"/>
      <c r="QPK64" s="607"/>
      <c r="QPL64" s="607"/>
      <c r="QPM64" s="607"/>
      <c r="QPN64" s="607"/>
      <c r="QPO64" s="607"/>
      <c r="QPP64" s="607"/>
      <c r="QPQ64" s="607"/>
      <c r="QPR64" s="607"/>
      <c r="QPS64" s="607"/>
      <c r="QPT64" s="607"/>
      <c r="QPU64" s="607"/>
      <c r="QPV64" s="607"/>
      <c r="QPW64" s="607"/>
      <c r="QPX64" s="607"/>
      <c r="QPY64" s="607"/>
      <c r="QPZ64" s="607"/>
      <c r="QQA64" s="607"/>
      <c r="QQB64" s="607"/>
      <c r="QQC64" s="607"/>
      <c r="QQD64" s="607"/>
      <c r="QQE64" s="607"/>
      <c r="QQF64" s="607"/>
      <c r="QQG64" s="607"/>
      <c r="QQH64" s="607"/>
      <c r="QQI64" s="607"/>
      <c r="QQJ64" s="607"/>
      <c r="QQK64" s="607"/>
      <c r="QQL64" s="607"/>
      <c r="QQM64" s="607"/>
      <c r="QQN64" s="607"/>
      <c r="QQO64" s="607"/>
      <c r="QQP64" s="607"/>
      <c r="QQQ64" s="607"/>
      <c r="QQR64" s="607"/>
      <c r="QQS64" s="607"/>
      <c r="QQT64" s="607"/>
      <c r="QQU64" s="607"/>
      <c r="QQV64" s="607"/>
      <c r="QQW64" s="607"/>
      <c r="QQX64" s="607"/>
      <c r="QQY64" s="607"/>
      <c r="QQZ64" s="607"/>
      <c r="QRA64" s="607"/>
      <c r="QRB64" s="607"/>
      <c r="QRC64" s="607"/>
      <c r="QRD64" s="607"/>
      <c r="QRE64" s="607"/>
      <c r="QRF64" s="607"/>
      <c r="QRG64" s="607"/>
      <c r="QRH64" s="607"/>
      <c r="QRI64" s="607"/>
      <c r="QRJ64" s="607"/>
      <c r="QRK64" s="607"/>
      <c r="QRL64" s="607"/>
      <c r="QRM64" s="607"/>
      <c r="QRN64" s="607"/>
      <c r="QRO64" s="607"/>
      <c r="QRP64" s="607"/>
      <c r="QRQ64" s="607"/>
      <c r="QRR64" s="607"/>
      <c r="QRS64" s="607"/>
      <c r="QRT64" s="607"/>
      <c r="QRU64" s="607"/>
      <c r="QRV64" s="607"/>
      <c r="QRW64" s="607"/>
      <c r="QRX64" s="607"/>
      <c r="QRY64" s="607"/>
      <c r="QRZ64" s="607"/>
      <c r="QSA64" s="607"/>
      <c r="QSB64" s="607"/>
      <c r="QSC64" s="607"/>
      <c r="QSD64" s="607"/>
      <c r="QSE64" s="607"/>
      <c r="QSF64" s="607"/>
      <c r="QSG64" s="607"/>
      <c r="QSH64" s="607"/>
      <c r="QSI64" s="607"/>
      <c r="QSJ64" s="607"/>
      <c r="QSK64" s="607"/>
      <c r="QSL64" s="607"/>
      <c r="QSM64" s="607"/>
      <c r="QSN64" s="607"/>
      <c r="QSO64" s="607"/>
      <c r="QSP64" s="607"/>
      <c r="QSQ64" s="607"/>
      <c r="QSR64" s="607"/>
      <c r="QSS64" s="607"/>
      <c r="QST64" s="607"/>
      <c r="QSU64" s="607"/>
      <c r="QSV64" s="607"/>
      <c r="QSW64" s="607"/>
      <c r="QSX64" s="607"/>
      <c r="QSY64" s="607"/>
      <c r="QSZ64" s="607"/>
      <c r="QTA64" s="607"/>
      <c r="QTB64" s="607"/>
      <c r="QTC64" s="607"/>
      <c r="QTD64" s="607"/>
      <c r="QTE64" s="607"/>
      <c r="QTF64" s="607"/>
      <c r="QTG64" s="607"/>
      <c r="QTH64" s="607"/>
      <c r="QTI64" s="607"/>
      <c r="QTJ64" s="607"/>
      <c r="QTK64" s="607"/>
      <c r="QTL64" s="607"/>
      <c r="QTM64" s="607"/>
      <c r="QTN64" s="607"/>
      <c r="QTO64" s="607"/>
      <c r="QTP64" s="607"/>
      <c r="QTQ64" s="607"/>
      <c r="QTR64" s="607"/>
      <c r="QTS64" s="607"/>
      <c r="QTT64" s="607"/>
      <c r="QTU64" s="607"/>
      <c r="QTV64" s="607"/>
      <c r="QTW64" s="607"/>
      <c r="QTX64" s="607"/>
      <c r="QTY64" s="607"/>
      <c r="QTZ64" s="607"/>
      <c r="QUA64" s="607"/>
      <c r="QUB64" s="607"/>
      <c r="QUC64" s="607"/>
      <c r="QUD64" s="607"/>
      <c r="QUE64" s="607"/>
      <c r="QUF64" s="607"/>
      <c r="QUG64" s="607"/>
      <c r="QUH64" s="607"/>
      <c r="QUI64" s="607"/>
      <c r="QUJ64" s="607"/>
      <c r="QUK64" s="607"/>
      <c r="QUL64" s="607"/>
      <c r="QUM64" s="607"/>
      <c r="QUN64" s="607"/>
      <c r="QUO64" s="607"/>
      <c r="QUP64" s="607"/>
      <c r="QUQ64" s="607"/>
      <c r="QUR64" s="607"/>
      <c r="QUS64" s="607"/>
      <c r="QUT64" s="607"/>
      <c r="QUU64" s="607"/>
      <c r="QUV64" s="607"/>
      <c r="QUW64" s="607"/>
      <c r="QUX64" s="607"/>
      <c r="QUY64" s="607"/>
      <c r="QUZ64" s="607"/>
      <c r="QVA64" s="607"/>
      <c r="QVB64" s="607"/>
      <c r="QVC64" s="607"/>
      <c r="QVD64" s="607"/>
      <c r="QVE64" s="607"/>
      <c r="QVF64" s="607"/>
      <c r="QVG64" s="607"/>
      <c r="QVH64" s="607"/>
      <c r="QVI64" s="607"/>
      <c r="QVJ64" s="607"/>
      <c r="QVK64" s="607"/>
      <c r="QVL64" s="607"/>
      <c r="QVM64" s="607"/>
      <c r="QVN64" s="607"/>
      <c r="QVO64" s="607"/>
      <c r="QVP64" s="607"/>
      <c r="QVQ64" s="607"/>
      <c r="QVR64" s="607"/>
      <c r="QVS64" s="607"/>
      <c r="QVT64" s="607"/>
      <c r="QVU64" s="607"/>
      <c r="QVV64" s="607"/>
      <c r="QVW64" s="607"/>
      <c r="QVX64" s="607"/>
      <c r="QVY64" s="607"/>
      <c r="QVZ64" s="607"/>
      <c r="QWA64" s="607"/>
      <c r="QWB64" s="607"/>
      <c r="QWC64" s="607"/>
      <c r="QWD64" s="607"/>
      <c r="QWE64" s="607"/>
      <c r="QWF64" s="607"/>
      <c r="QWG64" s="607"/>
      <c r="QWH64" s="607"/>
      <c r="QWI64" s="607"/>
      <c r="QWJ64" s="607"/>
      <c r="QWK64" s="607"/>
      <c r="QWL64" s="607"/>
      <c r="QWM64" s="607"/>
      <c r="QWN64" s="607"/>
      <c r="QWO64" s="607"/>
      <c r="QWP64" s="607"/>
      <c r="QWQ64" s="607"/>
      <c r="QWR64" s="607"/>
      <c r="QWS64" s="607"/>
      <c r="QWT64" s="607"/>
      <c r="QWU64" s="607"/>
      <c r="QWV64" s="607"/>
      <c r="QWW64" s="607"/>
      <c r="QWX64" s="607"/>
      <c r="QWY64" s="607"/>
      <c r="QWZ64" s="607"/>
      <c r="QXA64" s="607"/>
      <c r="QXB64" s="607"/>
      <c r="QXC64" s="607"/>
      <c r="QXD64" s="607"/>
      <c r="QXE64" s="607"/>
      <c r="QXF64" s="607"/>
      <c r="QXG64" s="607"/>
      <c r="QXH64" s="607"/>
      <c r="QXI64" s="607"/>
      <c r="QXJ64" s="607"/>
      <c r="QXK64" s="607"/>
      <c r="QXL64" s="607"/>
      <c r="QXM64" s="607"/>
      <c r="QXN64" s="607"/>
      <c r="QXO64" s="607"/>
      <c r="QXP64" s="607"/>
      <c r="QXQ64" s="607"/>
      <c r="QXR64" s="607"/>
      <c r="QXS64" s="607"/>
      <c r="QXT64" s="607"/>
      <c r="QXU64" s="607"/>
      <c r="QXV64" s="607"/>
      <c r="QXW64" s="607"/>
      <c r="QXX64" s="607"/>
      <c r="QXY64" s="607"/>
      <c r="QXZ64" s="607"/>
      <c r="QYA64" s="607"/>
      <c r="QYB64" s="607"/>
      <c r="QYC64" s="607"/>
      <c r="QYD64" s="607"/>
      <c r="QYE64" s="607"/>
      <c r="QYF64" s="607"/>
      <c r="QYG64" s="607"/>
      <c r="QYH64" s="607"/>
      <c r="QYI64" s="607"/>
      <c r="QYJ64" s="607"/>
      <c r="QYK64" s="607"/>
      <c r="QYL64" s="607"/>
      <c r="QYM64" s="607"/>
      <c r="QYN64" s="607"/>
      <c r="QYO64" s="607"/>
      <c r="QYP64" s="607"/>
      <c r="QYQ64" s="607"/>
      <c r="QYR64" s="607"/>
      <c r="QYS64" s="607"/>
      <c r="QYT64" s="607"/>
      <c r="QYU64" s="607"/>
      <c r="QYV64" s="607"/>
      <c r="QYW64" s="607"/>
      <c r="QYX64" s="607"/>
      <c r="QYY64" s="607"/>
      <c r="QYZ64" s="607"/>
      <c r="QZA64" s="607"/>
      <c r="QZB64" s="607"/>
      <c r="QZC64" s="607"/>
      <c r="QZD64" s="607"/>
      <c r="QZE64" s="607"/>
      <c r="QZF64" s="607"/>
      <c r="QZG64" s="607"/>
      <c r="QZH64" s="607"/>
      <c r="QZI64" s="607"/>
      <c r="QZJ64" s="607"/>
      <c r="QZK64" s="607"/>
      <c r="QZL64" s="607"/>
      <c r="QZM64" s="607"/>
      <c r="QZN64" s="607"/>
      <c r="QZO64" s="607"/>
      <c r="QZP64" s="607"/>
      <c r="QZQ64" s="607"/>
      <c r="QZR64" s="607"/>
      <c r="QZS64" s="607"/>
      <c r="QZT64" s="607"/>
      <c r="QZU64" s="607"/>
      <c r="QZV64" s="607"/>
      <c r="QZW64" s="607"/>
      <c r="QZX64" s="607"/>
      <c r="QZY64" s="607"/>
      <c r="QZZ64" s="607"/>
      <c r="RAA64" s="607"/>
      <c r="RAB64" s="607"/>
      <c r="RAC64" s="607"/>
      <c r="RAD64" s="607"/>
      <c r="RAE64" s="607"/>
      <c r="RAF64" s="607"/>
      <c r="RAG64" s="607"/>
      <c r="RAH64" s="607"/>
      <c r="RAI64" s="607"/>
      <c r="RAJ64" s="607"/>
      <c r="RAK64" s="607"/>
      <c r="RAL64" s="607"/>
      <c r="RAM64" s="607"/>
      <c r="RAN64" s="607"/>
      <c r="RAO64" s="607"/>
      <c r="RAP64" s="607"/>
      <c r="RAQ64" s="607"/>
      <c r="RAR64" s="607"/>
      <c r="RAS64" s="607"/>
      <c r="RAT64" s="607"/>
      <c r="RAU64" s="607"/>
      <c r="RAV64" s="607"/>
      <c r="RAW64" s="607"/>
      <c r="RAX64" s="607"/>
      <c r="RAY64" s="607"/>
      <c r="RAZ64" s="607"/>
      <c r="RBA64" s="607"/>
      <c r="RBB64" s="607"/>
      <c r="RBC64" s="607"/>
      <c r="RBD64" s="607"/>
      <c r="RBE64" s="607"/>
      <c r="RBF64" s="607"/>
      <c r="RBG64" s="607"/>
      <c r="RBH64" s="607"/>
      <c r="RBI64" s="607"/>
      <c r="RBJ64" s="607"/>
      <c r="RBK64" s="607"/>
      <c r="RBL64" s="607"/>
      <c r="RBM64" s="607"/>
      <c r="RBN64" s="607"/>
      <c r="RBO64" s="607"/>
      <c r="RBP64" s="607"/>
      <c r="RBQ64" s="607"/>
      <c r="RBR64" s="607"/>
      <c r="RBS64" s="607"/>
      <c r="RBT64" s="607"/>
      <c r="RBU64" s="607"/>
      <c r="RBV64" s="607"/>
      <c r="RBW64" s="607"/>
      <c r="RBX64" s="607"/>
      <c r="RBY64" s="607"/>
      <c r="RBZ64" s="607"/>
      <c r="RCA64" s="607"/>
      <c r="RCB64" s="607"/>
      <c r="RCC64" s="607"/>
      <c r="RCD64" s="607"/>
      <c r="RCE64" s="607"/>
      <c r="RCF64" s="607"/>
      <c r="RCG64" s="607"/>
      <c r="RCH64" s="607"/>
      <c r="RCI64" s="607"/>
      <c r="RCJ64" s="607"/>
      <c r="RCK64" s="607"/>
      <c r="RCL64" s="607"/>
      <c r="RCM64" s="607"/>
      <c r="RCN64" s="607"/>
      <c r="RCO64" s="607"/>
      <c r="RCP64" s="607"/>
      <c r="RCQ64" s="607"/>
      <c r="RCR64" s="607"/>
      <c r="RCS64" s="607"/>
      <c r="RCT64" s="607"/>
      <c r="RCU64" s="607"/>
      <c r="RCV64" s="607"/>
      <c r="RCW64" s="607"/>
      <c r="RCX64" s="607"/>
      <c r="RCY64" s="607"/>
      <c r="RCZ64" s="607"/>
      <c r="RDA64" s="607"/>
      <c r="RDB64" s="607"/>
      <c r="RDC64" s="607"/>
      <c r="RDD64" s="607"/>
      <c r="RDE64" s="607"/>
      <c r="RDF64" s="607"/>
      <c r="RDG64" s="607"/>
      <c r="RDH64" s="607"/>
      <c r="RDI64" s="607"/>
      <c r="RDJ64" s="607"/>
      <c r="RDK64" s="607"/>
      <c r="RDL64" s="607"/>
      <c r="RDM64" s="607"/>
      <c r="RDN64" s="607"/>
      <c r="RDO64" s="607"/>
      <c r="RDP64" s="607"/>
      <c r="RDQ64" s="607"/>
      <c r="RDR64" s="607"/>
      <c r="RDS64" s="607"/>
      <c r="RDT64" s="607"/>
      <c r="RDU64" s="607"/>
      <c r="RDV64" s="607"/>
      <c r="RDW64" s="607"/>
      <c r="RDX64" s="607"/>
      <c r="RDY64" s="607"/>
      <c r="RDZ64" s="607"/>
      <c r="REA64" s="607"/>
      <c r="REB64" s="607"/>
      <c r="REC64" s="607"/>
      <c r="RED64" s="607"/>
      <c r="REE64" s="607"/>
      <c r="REF64" s="607"/>
      <c r="REG64" s="607"/>
      <c r="REH64" s="607"/>
      <c r="REI64" s="607"/>
      <c r="REJ64" s="607"/>
      <c r="REK64" s="607"/>
      <c r="REL64" s="607"/>
      <c r="REM64" s="607"/>
      <c r="REN64" s="607"/>
      <c r="REO64" s="607"/>
      <c r="REP64" s="607"/>
      <c r="REQ64" s="607"/>
      <c r="RER64" s="607"/>
      <c r="RES64" s="607"/>
      <c r="RET64" s="607"/>
      <c r="REU64" s="607"/>
      <c r="REV64" s="607"/>
      <c r="REW64" s="607"/>
      <c r="REX64" s="607"/>
      <c r="REY64" s="607"/>
      <c r="REZ64" s="607"/>
      <c r="RFA64" s="607"/>
      <c r="RFB64" s="607"/>
      <c r="RFC64" s="607"/>
      <c r="RFD64" s="607"/>
      <c r="RFE64" s="607"/>
      <c r="RFF64" s="607"/>
      <c r="RFG64" s="607"/>
      <c r="RFH64" s="607"/>
      <c r="RFI64" s="607"/>
      <c r="RFJ64" s="607"/>
      <c r="RFK64" s="607"/>
      <c r="RFL64" s="607"/>
      <c r="RFM64" s="607"/>
      <c r="RFN64" s="607"/>
      <c r="RFO64" s="607"/>
      <c r="RFP64" s="607"/>
      <c r="RFQ64" s="607"/>
      <c r="RFR64" s="607"/>
      <c r="RFS64" s="607"/>
      <c r="RFT64" s="607"/>
      <c r="RFU64" s="607"/>
      <c r="RFV64" s="607"/>
      <c r="RFW64" s="607"/>
      <c r="RFX64" s="607"/>
      <c r="RFY64" s="607"/>
      <c r="RFZ64" s="607"/>
      <c r="RGA64" s="607"/>
      <c r="RGB64" s="607"/>
      <c r="RGC64" s="607"/>
      <c r="RGD64" s="607"/>
      <c r="RGE64" s="607"/>
      <c r="RGF64" s="607"/>
      <c r="RGG64" s="607"/>
      <c r="RGH64" s="607"/>
      <c r="RGI64" s="607"/>
      <c r="RGJ64" s="607"/>
      <c r="RGK64" s="607"/>
      <c r="RGL64" s="607"/>
      <c r="RGM64" s="607"/>
      <c r="RGN64" s="607"/>
      <c r="RGO64" s="607"/>
      <c r="RGP64" s="607"/>
      <c r="RGQ64" s="607"/>
      <c r="RGR64" s="607"/>
      <c r="RGS64" s="607"/>
      <c r="RGT64" s="607"/>
      <c r="RGU64" s="607"/>
      <c r="RGV64" s="607"/>
      <c r="RGW64" s="607"/>
      <c r="RGX64" s="607"/>
      <c r="RGY64" s="607"/>
      <c r="RGZ64" s="607"/>
      <c r="RHA64" s="607"/>
      <c r="RHB64" s="607"/>
      <c r="RHC64" s="607"/>
      <c r="RHD64" s="607"/>
      <c r="RHE64" s="607"/>
      <c r="RHF64" s="607"/>
      <c r="RHG64" s="607"/>
      <c r="RHH64" s="607"/>
      <c r="RHI64" s="607"/>
      <c r="RHJ64" s="607"/>
      <c r="RHK64" s="607"/>
      <c r="RHL64" s="607"/>
      <c r="RHM64" s="607"/>
      <c r="RHN64" s="607"/>
      <c r="RHO64" s="607"/>
      <c r="RHP64" s="607"/>
      <c r="RHQ64" s="607"/>
      <c r="RHR64" s="607"/>
      <c r="RHS64" s="607"/>
      <c r="RHT64" s="607"/>
      <c r="RHU64" s="607"/>
      <c r="RHV64" s="607"/>
      <c r="RHW64" s="607"/>
      <c r="RHX64" s="607"/>
      <c r="RHY64" s="607"/>
      <c r="RHZ64" s="607"/>
      <c r="RIA64" s="607"/>
      <c r="RIB64" s="607"/>
      <c r="RIC64" s="607"/>
      <c r="RID64" s="607"/>
      <c r="RIE64" s="607"/>
      <c r="RIF64" s="607"/>
      <c r="RIG64" s="607"/>
      <c r="RIH64" s="607"/>
      <c r="RII64" s="607"/>
      <c r="RIJ64" s="607"/>
      <c r="RIK64" s="607"/>
      <c r="RIL64" s="607"/>
      <c r="RIM64" s="607"/>
      <c r="RIN64" s="607"/>
      <c r="RIO64" s="607"/>
      <c r="RIP64" s="607"/>
      <c r="RIQ64" s="607"/>
      <c r="RIR64" s="607"/>
      <c r="RIS64" s="607"/>
      <c r="RIT64" s="607"/>
      <c r="RIU64" s="607"/>
      <c r="RIV64" s="607"/>
      <c r="RIW64" s="607"/>
      <c r="RIX64" s="607"/>
      <c r="RIY64" s="607"/>
      <c r="RIZ64" s="607"/>
      <c r="RJA64" s="607"/>
      <c r="RJB64" s="607"/>
      <c r="RJC64" s="607"/>
      <c r="RJD64" s="607"/>
      <c r="RJE64" s="607"/>
      <c r="RJF64" s="607"/>
      <c r="RJG64" s="607"/>
      <c r="RJH64" s="607"/>
      <c r="RJI64" s="607"/>
      <c r="RJJ64" s="607"/>
      <c r="RJK64" s="607"/>
      <c r="RJL64" s="607"/>
      <c r="RJM64" s="607"/>
      <c r="RJN64" s="607"/>
      <c r="RJO64" s="607"/>
      <c r="RJP64" s="607"/>
      <c r="RJQ64" s="607"/>
      <c r="RJR64" s="607"/>
      <c r="RJS64" s="607"/>
      <c r="RJT64" s="607"/>
      <c r="RJU64" s="607"/>
      <c r="RJV64" s="607"/>
      <c r="RJW64" s="607"/>
      <c r="RJX64" s="607"/>
      <c r="RJY64" s="607"/>
      <c r="RJZ64" s="607"/>
      <c r="RKA64" s="607"/>
      <c r="RKB64" s="607"/>
      <c r="RKC64" s="607"/>
      <c r="RKD64" s="607"/>
      <c r="RKE64" s="607"/>
      <c r="RKF64" s="607"/>
      <c r="RKG64" s="607"/>
      <c r="RKH64" s="607"/>
      <c r="RKI64" s="607"/>
      <c r="RKJ64" s="607"/>
      <c r="RKK64" s="607"/>
      <c r="RKL64" s="607"/>
      <c r="RKM64" s="607"/>
      <c r="RKN64" s="607"/>
      <c r="RKO64" s="607"/>
      <c r="RKP64" s="607"/>
      <c r="RKQ64" s="607"/>
      <c r="RKR64" s="607"/>
      <c r="RKS64" s="607"/>
      <c r="RKT64" s="607"/>
      <c r="RKU64" s="607"/>
      <c r="RKV64" s="607"/>
      <c r="RKW64" s="607"/>
      <c r="RKX64" s="607"/>
      <c r="RKY64" s="607"/>
      <c r="RKZ64" s="607"/>
      <c r="RLA64" s="607"/>
      <c r="RLB64" s="607"/>
      <c r="RLC64" s="607"/>
      <c r="RLD64" s="607"/>
      <c r="RLE64" s="607"/>
      <c r="RLF64" s="607"/>
      <c r="RLG64" s="607"/>
      <c r="RLH64" s="607"/>
      <c r="RLI64" s="607"/>
      <c r="RLJ64" s="607"/>
      <c r="RLK64" s="607"/>
      <c r="RLL64" s="607"/>
      <c r="RLM64" s="607"/>
      <c r="RLN64" s="607"/>
      <c r="RLO64" s="607"/>
      <c r="RLP64" s="607"/>
      <c r="RLQ64" s="607"/>
      <c r="RLR64" s="607"/>
      <c r="RLS64" s="607"/>
      <c r="RLT64" s="607"/>
      <c r="RLU64" s="607"/>
      <c r="RLV64" s="607"/>
      <c r="RLW64" s="607"/>
      <c r="RLX64" s="607"/>
      <c r="RLY64" s="607"/>
      <c r="RLZ64" s="607"/>
      <c r="RMA64" s="607"/>
      <c r="RMB64" s="607"/>
      <c r="RMC64" s="607"/>
      <c r="RMD64" s="607"/>
      <c r="RME64" s="607"/>
      <c r="RMF64" s="607"/>
      <c r="RMG64" s="607"/>
      <c r="RMH64" s="607"/>
      <c r="RMI64" s="607"/>
      <c r="RMJ64" s="607"/>
      <c r="RMK64" s="607"/>
      <c r="RML64" s="607"/>
      <c r="RMM64" s="607"/>
      <c r="RMN64" s="607"/>
      <c r="RMO64" s="607"/>
      <c r="RMP64" s="607"/>
      <c r="RMQ64" s="607"/>
      <c r="RMR64" s="607"/>
      <c r="RMS64" s="607"/>
      <c r="RMT64" s="607"/>
      <c r="RMU64" s="607"/>
      <c r="RMV64" s="607"/>
      <c r="RMW64" s="607"/>
      <c r="RMX64" s="607"/>
      <c r="RMY64" s="607"/>
      <c r="RMZ64" s="607"/>
      <c r="RNA64" s="607"/>
      <c r="RNB64" s="607"/>
      <c r="RNC64" s="607"/>
      <c r="RND64" s="607"/>
      <c r="RNE64" s="607"/>
      <c r="RNF64" s="607"/>
      <c r="RNG64" s="607"/>
      <c r="RNH64" s="607"/>
      <c r="RNI64" s="607"/>
      <c r="RNJ64" s="607"/>
      <c r="RNK64" s="607"/>
      <c r="RNL64" s="607"/>
      <c r="RNM64" s="607"/>
      <c r="RNN64" s="607"/>
      <c r="RNO64" s="607"/>
      <c r="RNP64" s="607"/>
      <c r="RNQ64" s="607"/>
      <c r="RNR64" s="607"/>
      <c r="RNS64" s="607"/>
      <c r="RNT64" s="607"/>
      <c r="RNU64" s="607"/>
      <c r="RNV64" s="607"/>
      <c r="RNW64" s="607"/>
      <c r="RNX64" s="607"/>
      <c r="RNY64" s="607"/>
      <c r="RNZ64" s="607"/>
      <c r="ROA64" s="607"/>
      <c r="ROB64" s="607"/>
      <c r="ROC64" s="607"/>
      <c r="ROD64" s="607"/>
      <c r="ROE64" s="607"/>
      <c r="ROF64" s="607"/>
      <c r="ROG64" s="607"/>
      <c r="ROH64" s="607"/>
      <c r="ROI64" s="607"/>
      <c r="ROJ64" s="607"/>
      <c r="ROK64" s="607"/>
      <c r="ROL64" s="607"/>
      <c r="ROM64" s="607"/>
      <c r="RON64" s="607"/>
      <c r="ROO64" s="607"/>
      <c r="ROP64" s="607"/>
      <c r="ROQ64" s="607"/>
      <c r="ROR64" s="607"/>
      <c r="ROS64" s="607"/>
      <c r="ROT64" s="607"/>
      <c r="ROU64" s="607"/>
      <c r="ROV64" s="607"/>
      <c r="ROW64" s="607"/>
      <c r="ROX64" s="607"/>
      <c r="ROY64" s="607"/>
      <c r="ROZ64" s="607"/>
      <c r="RPA64" s="607"/>
      <c r="RPB64" s="607"/>
      <c r="RPC64" s="607"/>
      <c r="RPD64" s="607"/>
      <c r="RPE64" s="607"/>
      <c r="RPF64" s="607"/>
      <c r="RPG64" s="607"/>
      <c r="RPH64" s="607"/>
      <c r="RPI64" s="607"/>
      <c r="RPJ64" s="607"/>
      <c r="RPK64" s="607"/>
      <c r="RPL64" s="607"/>
      <c r="RPM64" s="607"/>
      <c r="RPN64" s="607"/>
      <c r="RPO64" s="607"/>
      <c r="RPP64" s="607"/>
      <c r="RPQ64" s="607"/>
      <c r="RPR64" s="607"/>
      <c r="RPS64" s="607"/>
      <c r="RPT64" s="607"/>
      <c r="RPU64" s="607"/>
      <c r="RPV64" s="607"/>
      <c r="RPW64" s="607"/>
      <c r="RPX64" s="607"/>
      <c r="RPY64" s="607"/>
      <c r="RPZ64" s="607"/>
      <c r="RQA64" s="607"/>
      <c r="RQB64" s="607"/>
      <c r="RQC64" s="607"/>
      <c r="RQD64" s="607"/>
      <c r="RQE64" s="607"/>
      <c r="RQF64" s="607"/>
      <c r="RQG64" s="607"/>
      <c r="RQH64" s="607"/>
      <c r="RQI64" s="607"/>
      <c r="RQJ64" s="607"/>
      <c r="RQK64" s="607"/>
      <c r="RQL64" s="607"/>
      <c r="RQM64" s="607"/>
      <c r="RQN64" s="607"/>
      <c r="RQO64" s="607"/>
      <c r="RQP64" s="607"/>
      <c r="RQQ64" s="607"/>
      <c r="RQR64" s="607"/>
      <c r="RQS64" s="607"/>
      <c r="RQT64" s="607"/>
      <c r="RQU64" s="607"/>
      <c r="RQV64" s="607"/>
      <c r="RQW64" s="607"/>
      <c r="RQX64" s="607"/>
      <c r="RQY64" s="607"/>
      <c r="RQZ64" s="607"/>
      <c r="RRA64" s="607"/>
      <c r="RRB64" s="607"/>
      <c r="RRC64" s="607"/>
      <c r="RRD64" s="607"/>
      <c r="RRE64" s="607"/>
      <c r="RRF64" s="607"/>
      <c r="RRG64" s="607"/>
      <c r="RRH64" s="607"/>
      <c r="RRI64" s="607"/>
      <c r="RRJ64" s="607"/>
      <c r="RRK64" s="607"/>
      <c r="RRL64" s="607"/>
      <c r="RRM64" s="607"/>
      <c r="RRN64" s="607"/>
      <c r="RRO64" s="607"/>
      <c r="RRP64" s="607"/>
      <c r="RRQ64" s="607"/>
      <c r="RRR64" s="607"/>
      <c r="RRS64" s="607"/>
      <c r="RRT64" s="607"/>
      <c r="RRU64" s="607"/>
      <c r="RRV64" s="607"/>
      <c r="RRW64" s="607"/>
      <c r="RRX64" s="607"/>
      <c r="RRY64" s="607"/>
      <c r="RRZ64" s="607"/>
      <c r="RSA64" s="607"/>
      <c r="RSB64" s="607"/>
      <c r="RSC64" s="607"/>
      <c r="RSD64" s="607"/>
      <c r="RSE64" s="607"/>
      <c r="RSF64" s="607"/>
      <c r="RSG64" s="607"/>
      <c r="RSH64" s="607"/>
      <c r="RSI64" s="607"/>
      <c r="RSJ64" s="607"/>
      <c r="RSK64" s="607"/>
      <c r="RSL64" s="607"/>
      <c r="RSM64" s="607"/>
      <c r="RSN64" s="607"/>
      <c r="RSO64" s="607"/>
      <c r="RSP64" s="607"/>
      <c r="RSQ64" s="607"/>
      <c r="RSR64" s="607"/>
      <c r="RSS64" s="607"/>
      <c r="RST64" s="607"/>
      <c r="RSU64" s="607"/>
      <c r="RSV64" s="607"/>
      <c r="RSW64" s="607"/>
      <c r="RSX64" s="607"/>
      <c r="RSY64" s="607"/>
      <c r="RSZ64" s="607"/>
      <c r="RTA64" s="607"/>
      <c r="RTB64" s="607"/>
      <c r="RTC64" s="607"/>
      <c r="RTD64" s="607"/>
      <c r="RTE64" s="607"/>
      <c r="RTF64" s="607"/>
      <c r="RTG64" s="607"/>
      <c r="RTH64" s="607"/>
      <c r="RTI64" s="607"/>
      <c r="RTJ64" s="607"/>
      <c r="RTK64" s="607"/>
      <c r="RTL64" s="607"/>
      <c r="RTM64" s="607"/>
      <c r="RTN64" s="607"/>
      <c r="RTO64" s="607"/>
      <c r="RTP64" s="607"/>
      <c r="RTQ64" s="607"/>
      <c r="RTR64" s="607"/>
      <c r="RTS64" s="607"/>
      <c r="RTT64" s="607"/>
      <c r="RTU64" s="607"/>
      <c r="RTV64" s="607"/>
      <c r="RTW64" s="607"/>
      <c r="RTX64" s="607"/>
      <c r="RTY64" s="607"/>
      <c r="RTZ64" s="607"/>
      <c r="RUA64" s="607"/>
      <c r="RUB64" s="607"/>
      <c r="RUC64" s="607"/>
      <c r="RUD64" s="607"/>
      <c r="RUE64" s="607"/>
      <c r="RUF64" s="607"/>
      <c r="RUG64" s="607"/>
      <c r="RUH64" s="607"/>
      <c r="RUI64" s="607"/>
      <c r="RUJ64" s="607"/>
      <c r="RUK64" s="607"/>
      <c r="RUL64" s="607"/>
      <c r="RUM64" s="607"/>
      <c r="RUN64" s="607"/>
      <c r="RUO64" s="607"/>
      <c r="RUP64" s="607"/>
      <c r="RUQ64" s="607"/>
      <c r="RUR64" s="607"/>
      <c r="RUS64" s="607"/>
      <c r="RUT64" s="607"/>
      <c r="RUU64" s="607"/>
      <c r="RUV64" s="607"/>
      <c r="RUW64" s="607"/>
      <c r="RUX64" s="607"/>
      <c r="RUY64" s="607"/>
      <c r="RUZ64" s="607"/>
      <c r="RVA64" s="607"/>
      <c r="RVB64" s="607"/>
      <c r="RVC64" s="607"/>
      <c r="RVD64" s="607"/>
      <c r="RVE64" s="607"/>
      <c r="RVF64" s="607"/>
      <c r="RVG64" s="607"/>
      <c r="RVH64" s="607"/>
      <c r="RVI64" s="607"/>
      <c r="RVJ64" s="607"/>
      <c r="RVK64" s="607"/>
      <c r="RVL64" s="607"/>
      <c r="RVM64" s="607"/>
      <c r="RVN64" s="607"/>
      <c r="RVO64" s="607"/>
      <c r="RVP64" s="607"/>
      <c r="RVQ64" s="607"/>
      <c r="RVR64" s="607"/>
      <c r="RVS64" s="607"/>
      <c r="RVT64" s="607"/>
      <c r="RVU64" s="607"/>
      <c r="RVV64" s="607"/>
      <c r="RVW64" s="607"/>
      <c r="RVX64" s="607"/>
      <c r="RVY64" s="607"/>
      <c r="RVZ64" s="607"/>
      <c r="RWA64" s="607"/>
      <c r="RWB64" s="607"/>
      <c r="RWC64" s="607"/>
      <c r="RWD64" s="607"/>
      <c r="RWE64" s="607"/>
      <c r="RWF64" s="607"/>
      <c r="RWG64" s="607"/>
      <c r="RWH64" s="607"/>
      <c r="RWI64" s="607"/>
      <c r="RWJ64" s="607"/>
      <c r="RWK64" s="607"/>
      <c r="RWL64" s="607"/>
      <c r="RWM64" s="607"/>
      <c r="RWN64" s="607"/>
      <c r="RWO64" s="607"/>
      <c r="RWP64" s="607"/>
      <c r="RWQ64" s="607"/>
      <c r="RWR64" s="607"/>
      <c r="RWS64" s="607"/>
      <c r="RWT64" s="607"/>
      <c r="RWU64" s="607"/>
      <c r="RWV64" s="607"/>
      <c r="RWW64" s="607"/>
      <c r="RWX64" s="607"/>
      <c r="RWY64" s="607"/>
      <c r="RWZ64" s="607"/>
      <c r="RXA64" s="607"/>
      <c r="RXB64" s="607"/>
      <c r="RXC64" s="607"/>
      <c r="RXD64" s="607"/>
      <c r="RXE64" s="607"/>
      <c r="RXF64" s="607"/>
      <c r="RXG64" s="607"/>
      <c r="RXH64" s="607"/>
      <c r="RXI64" s="607"/>
      <c r="RXJ64" s="607"/>
      <c r="RXK64" s="607"/>
      <c r="RXL64" s="607"/>
      <c r="RXM64" s="607"/>
      <c r="RXN64" s="607"/>
      <c r="RXO64" s="607"/>
      <c r="RXP64" s="607"/>
      <c r="RXQ64" s="607"/>
      <c r="RXR64" s="607"/>
      <c r="RXS64" s="607"/>
      <c r="RXT64" s="607"/>
      <c r="RXU64" s="607"/>
      <c r="RXV64" s="607"/>
      <c r="RXW64" s="607"/>
      <c r="RXX64" s="607"/>
      <c r="RXY64" s="607"/>
      <c r="RXZ64" s="607"/>
      <c r="RYA64" s="607"/>
      <c r="RYB64" s="607"/>
      <c r="RYC64" s="607"/>
      <c r="RYD64" s="607"/>
      <c r="RYE64" s="607"/>
      <c r="RYF64" s="607"/>
      <c r="RYG64" s="607"/>
      <c r="RYH64" s="607"/>
      <c r="RYI64" s="607"/>
      <c r="RYJ64" s="607"/>
      <c r="RYK64" s="607"/>
      <c r="RYL64" s="607"/>
      <c r="RYM64" s="607"/>
      <c r="RYN64" s="607"/>
      <c r="RYO64" s="607"/>
      <c r="RYP64" s="607"/>
      <c r="RYQ64" s="607"/>
      <c r="RYR64" s="607"/>
      <c r="RYS64" s="607"/>
      <c r="RYT64" s="607"/>
      <c r="RYU64" s="607"/>
      <c r="RYV64" s="607"/>
      <c r="RYW64" s="607"/>
      <c r="RYX64" s="607"/>
      <c r="RYY64" s="607"/>
      <c r="RYZ64" s="607"/>
      <c r="RZA64" s="607"/>
      <c r="RZB64" s="607"/>
      <c r="RZC64" s="607"/>
      <c r="RZD64" s="607"/>
      <c r="RZE64" s="607"/>
      <c r="RZF64" s="607"/>
      <c r="RZG64" s="607"/>
      <c r="RZH64" s="607"/>
      <c r="RZI64" s="607"/>
      <c r="RZJ64" s="607"/>
      <c r="RZK64" s="607"/>
      <c r="RZL64" s="607"/>
      <c r="RZM64" s="607"/>
      <c r="RZN64" s="607"/>
      <c r="RZO64" s="607"/>
      <c r="RZP64" s="607"/>
      <c r="RZQ64" s="607"/>
      <c r="RZR64" s="607"/>
      <c r="RZS64" s="607"/>
      <c r="RZT64" s="607"/>
      <c r="RZU64" s="607"/>
      <c r="RZV64" s="607"/>
      <c r="RZW64" s="607"/>
      <c r="RZX64" s="607"/>
      <c r="RZY64" s="607"/>
      <c r="RZZ64" s="607"/>
      <c r="SAA64" s="607"/>
      <c r="SAB64" s="607"/>
      <c r="SAC64" s="607"/>
      <c r="SAD64" s="607"/>
      <c r="SAE64" s="607"/>
      <c r="SAF64" s="607"/>
      <c r="SAG64" s="607"/>
      <c r="SAH64" s="607"/>
      <c r="SAI64" s="607"/>
      <c r="SAJ64" s="607"/>
      <c r="SAK64" s="607"/>
      <c r="SAL64" s="607"/>
      <c r="SAM64" s="607"/>
      <c r="SAN64" s="607"/>
      <c r="SAO64" s="607"/>
      <c r="SAP64" s="607"/>
      <c r="SAQ64" s="607"/>
      <c r="SAR64" s="607"/>
      <c r="SAS64" s="607"/>
      <c r="SAT64" s="607"/>
      <c r="SAU64" s="607"/>
      <c r="SAV64" s="607"/>
      <c r="SAW64" s="607"/>
      <c r="SAX64" s="607"/>
      <c r="SAY64" s="607"/>
      <c r="SAZ64" s="607"/>
      <c r="SBA64" s="607"/>
      <c r="SBB64" s="607"/>
      <c r="SBC64" s="607"/>
      <c r="SBD64" s="607"/>
      <c r="SBE64" s="607"/>
      <c r="SBF64" s="607"/>
      <c r="SBG64" s="607"/>
      <c r="SBH64" s="607"/>
      <c r="SBI64" s="607"/>
      <c r="SBJ64" s="607"/>
      <c r="SBK64" s="607"/>
      <c r="SBL64" s="607"/>
      <c r="SBM64" s="607"/>
      <c r="SBN64" s="607"/>
      <c r="SBO64" s="607"/>
      <c r="SBP64" s="607"/>
      <c r="SBQ64" s="607"/>
      <c r="SBR64" s="607"/>
      <c r="SBS64" s="607"/>
      <c r="SBT64" s="607"/>
      <c r="SBU64" s="607"/>
      <c r="SBV64" s="607"/>
      <c r="SBW64" s="607"/>
      <c r="SBX64" s="607"/>
      <c r="SBY64" s="607"/>
      <c r="SBZ64" s="607"/>
      <c r="SCA64" s="607"/>
      <c r="SCB64" s="607"/>
      <c r="SCC64" s="607"/>
      <c r="SCD64" s="607"/>
      <c r="SCE64" s="607"/>
      <c r="SCF64" s="607"/>
      <c r="SCG64" s="607"/>
      <c r="SCH64" s="607"/>
      <c r="SCI64" s="607"/>
      <c r="SCJ64" s="607"/>
      <c r="SCK64" s="607"/>
      <c r="SCL64" s="607"/>
      <c r="SCM64" s="607"/>
      <c r="SCN64" s="607"/>
      <c r="SCO64" s="607"/>
      <c r="SCP64" s="607"/>
      <c r="SCQ64" s="607"/>
      <c r="SCR64" s="607"/>
      <c r="SCS64" s="607"/>
      <c r="SCT64" s="607"/>
      <c r="SCU64" s="607"/>
      <c r="SCV64" s="607"/>
      <c r="SCW64" s="607"/>
      <c r="SCX64" s="607"/>
      <c r="SCY64" s="607"/>
      <c r="SCZ64" s="607"/>
      <c r="SDA64" s="607"/>
      <c r="SDB64" s="607"/>
      <c r="SDC64" s="607"/>
      <c r="SDD64" s="607"/>
      <c r="SDE64" s="607"/>
      <c r="SDF64" s="607"/>
      <c r="SDG64" s="607"/>
      <c r="SDH64" s="607"/>
      <c r="SDI64" s="607"/>
      <c r="SDJ64" s="607"/>
      <c r="SDK64" s="607"/>
      <c r="SDL64" s="607"/>
      <c r="SDM64" s="607"/>
      <c r="SDN64" s="607"/>
      <c r="SDO64" s="607"/>
      <c r="SDP64" s="607"/>
      <c r="SDQ64" s="607"/>
      <c r="SDR64" s="607"/>
      <c r="SDS64" s="607"/>
      <c r="SDT64" s="607"/>
      <c r="SDU64" s="607"/>
      <c r="SDV64" s="607"/>
      <c r="SDW64" s="607"/>
      <c r="SDX64" s="607"/>
      <c r="SDY64" s="607"/>
      <c r="SDZ64" s="607"/>
      <c r="SEA64" s="607"/>
      <c r="SEB64" s="607"/>
      <c r="SEC64" s="607"/>
      <c r="SED64" s="607"/>
      <c r="SEE64" s="607"/>
      <c r="SEF64" s="607"/>
      <c r="SEG64" s="607"/>
      <c r="SEH64" s="607"/>
      <c r="SEI64" s="607"/>
      <c r="SEJ64" s="607"/>
      <c r="SEK64" s="607"/>
      <c r="SEL64" s="607"/>
      <c r="SEM64" s="607"/>
      <c r="SEN64" s="607"/>
      <c r="SEO64" s="607"/>
      <c r="SEP64" s="607"/>
      <c r="SEQ64" s="607"/>
      <c r="SER64" s="607"/>
      <c r="SES64" s="607"/>
      <c r="SET64" s="607"/>
      <c r="SEU64" s="607"/>
      <c r="SEV64" s="607"/>
      <c r="SEW64" s="607"/>
      <c r="SEX64" s="607"/>
      <c r="SEY64" s="607"/>
      <c r="SEZ64" s="607"/>
      <c r="SFA64" s="607"/>
      <c r="SFB64" s="607"/>
      <c r="SFC64" s="607"/>
      <c r="SFD64" s="607"/>
      <c r="SFE64" s="607"/>
      <c r="SFF64" s="607"/>
      <c r="SFG64" s="607"/>
      <c r="SFH64" s="607"/>
      <c r="SFI64" s="607"/>
      <c r="SFJ64" s="607"/>
      <c r="SFK64" s="607"/>
      <c r="SFL64" s="607"/>
      <c r="SFM64" s="607"/>
      <c r="SFN64" s="607"/>
      <c r="SFO64" s="607"/>
      <c r="SFP64" s="607"/>
      <c r="SFQ64" s="607"/>
      <c r="SFR64" s="607"/>
      <c r="SFS64" s="607"/>
      <c r="SFT64" s="607"/>
      <c r="SFU64" s="607"/>
      <c r="SFV64" s="607"/>
      <c r="SFW64" s="607"/>
      <c r="SFX64" s="607"/>
      <c r="SFY64" s="607"/>
      <c r="SFZ64" s="607"/>
      <c r="SGA64" s="607"/>
      <c r="SGB64" s="607"/>
      <c r="SGC64" s="607"/>
      <c r="SGD64" s="607"/>
      <c r="SGE64" s="607"/>
      <c r="SGF64" s="607"/>
      <c r="SGG64" s="607"/>
      <c r="SGH64" s="607"/>
      <c r="SGI64" s="607"/>
      <c r="SGJ64" s="607"/>
      <c r="SGK64" s="607"/>
      <c r="SGL64" s="607"/>
      <c r="SGM64" s="607"/>
      <c r="SGN64" s="607"/>
      <c r="SGO64" s="607"/>
      <c r="SGP64" s="607"/>
      <c r="SGQ64" s="607"/>
      <c r="SGR64" s="607"/>
      <c r="SGS64" s="607"/>
      <c r="SGT64" s="607"/>
      <c r="SGU64" s="607"/>
      <c r="SGV64" s="607"/>
      <c r="SGW64" s="607"/>
      <c r="SGX64" s="607"/>
      <c r="SGY64" s="607"/>
      <c r="SGZ64" s="607"/>
      <c r="SHA64" s="607"/>
      <c r="SHB64" s="607"/>
      <c r="SHC64" s="607"/>
      <c r="SHD64" s="607"/>
      <c r="SHE64" s="607"/>
      <c r="SHF64" s="607"/>
      <c r="SHG64" s="607"/>
      <c r="SHH64" s="607"/>
      <c r="SHI64" s="607"/>
      <c r="SHJ64" s="607"/>
      <c r="SHK64" s="607"/>
      <c r="SHL64" s="607"/>
      <c r="SHM64" s="607"/>
      <c r="SHN64" s="607"/>
      <c r="SHO64" s="607"/>
      <c r="SHP64" s="607"/>
      <c r="SHQ64" s="607"/>
      <c r="SHR64" s="607"/>
      <c r="SHS64" s="607"/>
      <c r="SHT64" s="607"/>
      <c r="SHU64" s="607"/>
      <c r="SHV64" s="607"/>
      <c r="SHW64" s="607"/>
      <c r="SHX64" s="607"/>
      <c r="SHY64" s="607"/>
      <c r="SHZ64" s="607"/>
      <c r="SIA64" s="607"/>
      <c r="SIB64" s="607"/>
      <c r="SIC64" s="607"/>
      <c r="SID64" s="607"/>
      <c r="SIE64" s="607"/>
      <c r="SIF64" s="607"/>
      <c r="SIG64" s="607"/>
      <c r="SIH64" s="607"/>
      <c r="SII64" s="607"/>
      <c r="SIJ64" s="607"/>
      <c r="SIK64" s="607"/>
      <c r="SIL64" s="607"/>
      <c r="SIM64" s="607"/>
      <c r="SIN64" s="607"/>
      <c r="SIO64" s="607"/>
      <c r="SIP64" s="607"/>
      <c r="SIQ64" s="607"/>
      <c r="SIR64" s="607"/>
      <c r="SIS64" s="607"/>
      <c r="SIT64" s="607"/>
      <c r="SIU64" s="607"/>
      <c r="SIV64" s="607"/>
      <c r="SIW64" s="607"/>
      <c r="SIX64" s="607"/>
      <c r="SIY64" s="607"/>
      <c r="SIZ64" s="607"/>
      <c r="SJA64" s="607"/>
      <c r="SJB64" s="607"/>
      <c r="SJC64" s="607"/>
      <c r="SJD64" s="607"/>
      <c r="SJE64" s="607"/>
      <c r="SJF64" s="607"/>
      <c r="SJG64" s="607"/>
      <c r="SJH64" s="607"/>
      <c r="SJI64" s="607"/>
      <c r="SJJ64" s="607"/>
      <c r="SJK64" s="607"/>
      <c r="SJL64" s="607"/>
      <c r="SJM64" s="607"/>
      <c r="SJN64" s="607"/>
      <c r="SJO64" s="607"/>
      <c r="SJP64" s="607"/>
      <c r="SJQ64" s="607"/>
      <c r="SJR64" s="607"/>
      <c r="SJS64" s="607"/>
      <c r="SJT64" s="607"/>
      <c r="SJU64" s="607"/>
      <c r="SJV64" s="607"/>
      <c r="SJW64" s="607"/>
      <c r="SJX64" s="607"/>
      <c r="SJY64" s="607"/>
      <c r="SJZ64" s="607"/>
      <c r="SKA64" s="607"/>
      <c r="SKB64" s="607"/>
      <c r="SKC64" s="607"/>
      <c r="SKD64" s="607"/>
      <c r="SKE64" s="607"/>
      <c r="SKF64" s="607"/>
      <c r="SKG64" s="607"/>
      <c r="SKH64" s="607"/>
      <c r="SKI64" s="607"/>
      <c r="SKJ64" s="607"/>
      <c r="SKK64" s="607"/>
      <c r="SKL64" s="607"/>
      <c r="SKM64" s="607"/>
      <c r="SKN64" s="607"/>
      <c r="SKO64" s="607"/>
      <c r="SKP64" s="607"/>
      <c r="SKQ64" s="607"/>
      <c r="SKR64" s="607"/>
      <c r="SKS64" s="607"/>
      <c r="SKT64" s="607"/>
      <c r="SKU64" s="607"/>
      <c r="SKV64" s="607"/>
      <c r="SKW64" s="607"/>
      <c r="SKX64" s="607"/>
      <c r="SKY64" s="607"/>
      <c r="SKZ64" s="607"/>
      <c r="SLA64" s="607"/>
      <c r="SLB64" s="607"/>
      <c r="SLC64" s="607"/>
      <c r="SLD64" s="607"/>
      <c r="SLE64" s="607"/>
      <c r="SLF64" s="607"/>
      <c r="SLG64" s="607"/>
      <c r="SLH64" s="607"/>
      <c r="SLI64" s="607"/>
      <c r="SLJ64" s="607"/>
      <c r="SLK64" s="607"/>
      <c r="SLL64" s="607"/>
      <c r="SLM64" s="607"/>
      <c r="SLN64" s="607"/>
      <c r="SLO64" s="607"/>
      <c r="SLP64" s="607"/>
      <c r="SLQ64" s="607"/>
      <c r="SLR64" s="607"/>
      <c r="SLS64" s="607"/>
      <c r="SLT64" s="607"/>
      <c r="SLU64" s="607"/>
      <c r="SLV64" s="607"/>
      <c r="SLW64" s="607"/>
      <c r="SLX64" s="607"/>
      <c r="SLY64" s="607"/>
      <c r="SLZ64" s="607"/>
      <c r="SMA64" s="607"/>
      <c r="SMB64" s="607"/>
      <c r="SMC64" s="607"/>
      <c r="SMD64" s="607"/>
      <c r="SME64" s="607"/>
      <c r="SMF64" s="607"/>
      <c r="SMG64" s="607"/>
      <c r="SMH64" s="607"/>
      <c r="SMI64" s="607"/>
      <c r="SMJ64" s="607"/>
      <c r="SMK64" s="607"/>
      <c r="SML64" s="607"/>
      <c r="SMM64" s="607"/>
      <c r="SMN64" s="607"/>
      <c r="SMO64" s="607"/>
      <c r="SMP64" s="607"/>
      <c r="SMQ64" s="607"/>
      <c r="SMR64" s="607"/>
      <c r="SMS64" s="607"/>
      <c r="SMT64" s="607"/>
      <c r="SMU64" s="607"/>
      <c r="SMV64" s="607"/>
      <c r="SMW64" s="607"/>
      <c r="SMX64" s="607"/>
      <c r="SMY64" s="607"/>
      <c r="SMZ64" s="607"/>
      <c r="SNA64" s="607"/>
      <c r="SNB64" s="607"/>
      <c r="SNC64" s="607"/>
      <c r="SND64" s="607"/>
      <c r="SNE64" s="607"/>
      <c r="SNF64" s="607"/>
      <c r="SNG64" s="607"/>
      <c r="SNH64" s="607"/>
      <c r="SNI64" s="607"/>
      <c r="SNJ64" s="607"/>
      <c r="SNK64" s="607"/>
      <c r="SNL64" s="607"/>
      <c r="SNM64" s="607"/>
      <c r="SNN64" s="607"/>
      <c r="SNO64" s="607"/>
      <c r="SNP64" s="607"/>
      <c r="SNQ64" s="607"/>
      <c r="SNR64" s="607"/>
      <c r="SNS64" s="607"/>
      <c r="SNT64" s="607"/>
      <c r="SNU64" s="607"/>
      <c r="SNV64" s="607"/>
      <c r="SNW64" s="607"/>
      <c r="SNX64" s="607"/>
      <c r="SNY64" s="607"/>
      <c r="SNZ64" s="607"/>
      <c r="SOA64" s="607"/>
      <c r="SOB64" s="607"/>
      <c r="SOC64" s="607"/>
      <c r="SOD64" s="607"/>
      <c r="SOE64" s="607"/>
      <c r="SOF64" s="607"/>
      <c r="SOG64" s="607"/>
      <c r="SOH64" s="607"/>
      <c r="SOI64" s="607"/>
      <c r="SOJ64" s="607"/>
      <c r="SOK64" s="607"/>
      <c r="SOL64" s="607"/>
      <c r="SOM64" s="607"/>
      <c r="SON64" s="607"/>
      <c r="SOO64" s="607"/>
      <c r="SOP64" s="607"/>
      <c r="SOQ64" s="607"/>
      <c r="SOR64" s="607"/>
      <c r="SOS64" s="607"/>
      <c r="SOT64" s="607"/>
      <c r="SOU64" s="607"/>
      <c r="SOV64" s="607"/>
      <c r="SOW64" s="607"/>
      <c r="SOX64" s="607"/>
      <c r="SOY64" s="607"/>
      <c r="SOZ64" s="607"/>
      <c r="SPA64" s="607"/>
      <c r="SPB64" s="607"/>
      <c r="SPC64" s="607"/>
      <c r="SPD64" s="607"/>
      <c r="SPE64" s="607"/>
      <c r="SPF64" s="607"/>
      <c r="SPG64" s="607"/>
      <c r="SPH64" s="607"/>
      <c r="SPI64" s="607"/>
      <c r="SPJ64" s="607"/>
      <c r="SPK64" s="607"/>
      <c r="SPL64" s="607"/>
      <c r="SPM64" s="607"/>
      <c r="SPN64" s="607"/>
      <c r="SPO64" s="607"/>
      <c r="SPP64" s="607"/>
      <c r="SPQ64" s="607"/>
      <c r="SPR64" s="607"/>
      <c r="SPS64" s="607"/>
      <c r="SPT64" s="607"/>
      <c r="SPU64" s="607"/>
      <c r="SPV64" s="607"/>
      <c r="SPW64" s="607"/>
      <c r="SPX64" s="607"/>
      <c r="SPY64" s="607"/>
      <c r="SPZ64" s="607"/>
      <c r="SQA64" s="607"/>
      <c r="SQB64" s="607"/>
      <c r="SQC64" s="607"/>
      <c r="SQD64" s="607"/>
      <c r="SQE64" s="607"/>
      <c r="SQF64" s="607"/>
      <c r="SQG64" s="607"/>
      <c r="SQH64" s="607"/>
      <c r="SQI64" s="607"/>
      <c r="SQJ64" s="607"/>
      <c r="SQK64" s="607"/>
      <c r="SQL64" s="607"/>
      <c r="SQM64" s="607"/>
      <c r="SQN64" s="607"/>
      <c r="SQO64" s="607"/>
      <c r="SQP64" s="607"/>
      <c r="SQQ64" s="607"/>
      <c r="SQR64" s="607"/>
      <c r="SQS64" s="607"/>
      <c r="SQT64" s="607"/>
      <c r="SQU64" s="607"/>
      <c r="SQV64" s="607"/>
      <c r="SQW64" s="607"/>
      <c r="SQX64" s="607"/>
      <c r="SQY64" s="607"/>
      <c r="SQZ64" s="607"/>
      <c r="SRA64" s="607"/>
      <c r="SRB64" s="607"/>
      <c r="SRC64" s="607"/>
      <c r="SRD64" s="607"/>
      <c r="SRE64" s="607"/>
      <c r="SRF64" s="607"/>
      <c r="SRG64" s="607"/>
      <c r="SRH64" s="607"/>
      <c r="SRI64" s="607"/>
      <c r="SRJ64" s="607"/>
      <c r="SRK64" s="607"/>
      <c r="SRL64" s="607"/>
      <c r="SRM64" s="607"/>
      <c r="SRN64" s="607"/>
      <c r="SRO64" s="607"/>
      <c r="SRP64" s="607"/>
      <c r="SRQ64" s="607"/>
      <c r="SRR64" s="607"/>
      <c r="SRS64" s="607"/>
      <c r="SRT64" s="607"/>
      <c r="SRU64" s="607"/>
      <c r="SRV64" s="607"/>
      <c r="SRW64" s="607"/>
      <c r="SRX64" s="607"/>
      <c r="SRY64" s="607"/>
      <c r="SRZ64" s="607"/>
      <c r="SSA64" s="607"/>
      <c r="SSB64" s="607"/>
      <c r="SSC64" s="607"/>
      <c r="SSD64" s="607"/>
      <c r="SSE64" s="607"/>
      <c r="SSF64" s="607"/>
      <c r="SSG64" s="607"/>
      <c r="SSH64" s="607"/>
      <c r="SSI64" s="607"/>
      <c r="SSJ64" s="607"/>
      <c r="SSK64" s="607"/>
      <c r="SSL64" s="607"/>
      <c r="SSM64" s="607"/>
      <c r="SSN64" s="607"/>
      <c r="SSO64" s="607"/>
      <c r="SSP64" s="607"/>
      <c r="SSQ64" s="607"/>
      <c r="SSR64" s="607"/>
      <c r="SSS64" s="607"/>
      <c r="SST64" s="607"/>
      <c r="SSU64" s="607"/>
      <c r="SSV64" s="607"/>
      <c r="SSW64" s="607"/>
      <c r="SSX64" s="607"/>
      <c r="SSY64" s="607"/>
      <c r="SSZ64" s="607"/>
      <c r="STA64" s="607"/>
      <c r="STB64" s="607"/>
      <c r="STC64" s="607"/>
      <c r="STD64" s="607"/>
      <c r="STE64" s="607"/>
      <c r="STF64" s="607"/>
      <c r="STG64" s="607"/>
      <c r="STH64" s="607"/>
      <c r="STI64" s="607"/>
      <c r="STJ64" s="607"/>
      <c r="STK64" s="607"/>
      <c r="STL64" s="607"/>
      <c r="STM64" s="607"/>
      <c r="STN64" s="607"/>
      <c r="STO64" s="607"/>
      <c r="STP64" s="607"/>
      <c r="STQ64" s="607"/>
      <c r="STR64" s="607"/>
      <c r="STS64" s="607"/>
      <c r="STT64" s="607"/>
      <c r="STU64" s="607"/>
      <c r="STV64" s="607"/>
      <c r="STW64" s="607"/>
      <c r="STX64" s="607"/>
      <c r="STY64" s="607"/>
      <c r="STZ64" s="607"/>
      <c r="SUA64" s="607"/>
      <c r="SUB64" s="607"/>
      <c r="SUC64" s="607"/>
      <c r="SUD64" s="607"/>
      <c r="SUE64" s="607"/>
      <c r="SUF64" s="607"/>
      <c r="SUG64" s="607"/>
      <c r="SUH64" s="607"/>
      <c r="SUI64" s="607"/>
      <c r="SUJ64" s="607"/>
      <c r="SUK64" s="607"/>
      <c r="SUL64" s="607"/>
      <c r="SUM64" s="607"/>
      <c r="SUN64" s="607"/>
      <c r="SUO64" s="607"/>
      <c r="SUP64" s="607"/>
      <c r="SUQ64" s="607"/>
      <c r="SUR64" s="607"/>
      <c r="SUS64" s="607"/>
      <c r="SUT64" s="607"/>
      <c r="SUU64" s="607"/>
      <c r="SUV64" s="607"/>
      <c r="SUW64" s="607"/>
      <c r="SUX64" s="607"/>
      <c r="SUY64" s="607"/>
      <c r="SUZ64" s="607"/>
      <c r="SVA64" s="607"/>
      <c r="SVB64" s="607"/>
      <c r="SVC64" s="607"/>
      <c r="SVD64" s="607"/>
      <c r="SVE64" s="607"/>
      <c r="SVF64" s="607"/>
      <c r="SVG64" s="607"/>
      <c r="SVH64" s="607"/>
      <c r="SVI64" s="607"/>
      <c r="SVJ64" s="607"/>
      <c r="SVK64" s="607"/>
      <c r="SVL64" s="607"/>
      <c r="SVM64" s="607"/>
      <c r="SVN64" s="607"/>
      <c r="SVO64" s="607"/>
      <c r="SVP64" s="607"/>
      <c r="SVQ64" s="607"/>
      <c r="SVR64" s="607"/>
      <c r="SVS64" s="607"/>
      <c r="SVT64" s="607"/>
      <c r="SVU64" s="607"/>
      <c r="SVV64" s="607"/>
      <c r="SVW64" s="607"/>
      <c r="SVX64" s="607"/>
      <c r="SVY64" s="607"/>
      <c r="SVZ64" s="607"/>
      <c r="SWA64" s="607"/>
      <c r="SWB64" s="607"/>
      <c r="SWC64" s="607"/>
      <c r="SWD64" s="607"/>
      <c r="SWE64" s="607"/>
      <c r="SWF64" s="607"/>
      <c r="SWG64" s="607"/>
      <c r="SWH64" s="607"/>
      <c r="SWI64" s="607"/>
      <c r="SWJ64" s="607"/>
      <c r="SWK64" s="607"/>
      <c r="SWL64" s="607"/>
      <c r="SWM64" s="607"/>
      <c r="SWN64" s="607"/>
      <c r="SWO64" s="607"/>
      <c r="SWP64" s="607"/>
      <c r="SWQ64" s="607"/>
      <c r="SWR64" s="607"/>
      <c r="SWS64" s="607"/>
      <c r="SWT64" s="607"/>
      <c r="SWU64" s="607"/>
      <c r="SWV64" s="607"/>
      <c r="SWW64" s="607"/>
      <c r="SWX64" s="607"/>
      <c r="SWY64" s="607"/>
      <c r="SWZ64" s="607"/>
      <c r="SXA64" s="607"/>
      <c r="SXB64" s="607"/>
      <c r="SXC64" s="607"/>
      <c r="SXD64" s="607"/>
      <c r="SXE64" s="607"/>
      <c r="SXF64" s="607"/>
      <c r="SXG64" s="607"/>
      <c r="SXH64" s="607"/>
      <c r="SXI64" s="607"/>
      <c r="SXJ64" s="607"/>
      <c r="SXK64" s="607"/>
      <c r="SXL64" s="607"/>
      <c r="SXM64" s="607"/>
      <c r="SXN64" s="607"/>
      <c r="SXO64" s="607"/>
      <c r="SXP64" s="607"/>
      <c r="SXQ64" s="607"/>
      <c r="SXR64" s="607"/>
      <c r="SXS64" s="607"/>
      <c r="SXT64" s="607"/>
      <c r="SXU64" s="607"/>
      <c r="SXV64" s="607"/>
      <c r="SXW64" s="607"/>
      <c r="SXX64" s="607"/>
      <c r="SXY64" s="607"/>
      <c r="SXZ64" s="607"/>
      <c r="SYA64" s="607"/>
      <c r="SYB64" s="607"/>
      <c r="SYC64" s="607"/>
      <c r="SYD64" s="607"/>
      <c r="SYE64" s="607"/>
      <c r="SYF64" s="607"/>
      <c r="SYG64" s="607"/>
      <c r="SYH64" s="607"/>
      <c r="SYI64" s="607"/>
      <c r="SYJ64" s="607"/>
      <c r="SYK64" s="607"/>
      <c r="SYL64" s="607"/>
      <c r="SYM64" s="607"/>
      <c r="SYN64" s="607"/>
      <c r="SYO64" s="607"/>
      <c r="SYP64" s="607"/>
      <c r="SYQ64" s="607"/>
      <c r="SYR64" s="607"/>
      <c r="SYS64" s="607"/>
      <c r="SYT64" s="607"/>
      <c r="SYU64" s="607"/>
      <c r="SYV64" s="607"/>
      <c r="SYW64" s="607"/>
      <c r="SYX64" s="607"/>
      <c r="SYY64" s="607"/>
      <c r="SYZ64" s="607"/>
      <c r="SZA64" s="607"/>
      <c r="SZB64" s="607"/>
      <c r="SZC64" s="607"/>
      <c r="SZD64" s="607"/>
      <c r="SZE64" s="607"/>
      <c r="SZF64" s="607"/>
      <c r="SZG64" s="607"/>
      <c r="SZH64" s="607"/>
      <c r="SZI64" s="607"/>
      <c r="SZJ64" s="607"/>
      <c r="SZK64" s="607"/>
      <c r="SZL64" s="607"/>
      <c r="SZM64" s="607"/>
      <c r="SZN64" s="607"/>
      <c r="SZO64" s="607"/>
      <c r="SZP64" s="607"/>
      <c r="SZQ64" s="607"/>
      <c r="SZR64" s="607"/>
      <c r="SZS64" s="607"/>
      <c r="SZT64" s="607"/>
      <c r="SZU64" s="607"/>
      <c r="SZV64" s="607"/>
      <c r="SZW64" s="607"/>
      <c r="SZX64" s="607"/>
      <c r="SZY64" s="607"/>
      <c r="SZZ64" s="607"/>
      <c r="TAA64" s="607"/>
      <c r="TAB64" s="607"/>
      <c r="TAC64" s="607"/>
      <c r="TAD64" s="607"/>
      <c r="TAE64" s="607"/>
      <c r="TAF64" s="607"/>
      <c r="TAG64" s="607"/>
      <c r="TAH64" s="607"/>
      <c r="TAI64" s="607"/>
      <c r="TAJ64" s="607"/>
      <c r="TAK64" s="607"/>
      <c r="TAL64" s="607"/>
      <c r="TAM64" s="607"/>
      <c r="TAN64" s="607"/>
      <c r="TAO64" s="607"/>
      <c r="TAP64" s="607"/>
      <c r="TAQ64" s="607"/>
      <c r="TAR64" s="607"/>
      <c r="TAS64" s="607"/>
      <c r="TAT64" s="607"/>
      <c r="TAU64" s="607"/>
      <c r="TAV64" s="607"/>
      <c r="TAW64" s="607"/>
      <c r="TAX64" s="607"/>
      <c r="TAY64" s="607"/>
      <c r="TAZ64" s="607"/>
      <c r="TBA64" s="607"/>
      <c r="TBB64" s="607"/>
      <c r="TBC64" s="607"/>
      <c r="TBD64" s="607"/>
      <c r="TBE64" s="607"/>
      <c r="TBF64" s="607"/>
      <c r="TBG64" s="607"/>
      <c r="TBH64" s="607"/>
      <c r="TBI64" s="607"/>
      <c r="TBJ64" s="607"/>
      <c r="TBK64" s="607"/>
      <c r="TBL64" s="607"/>
      <c r="TBM64" s="607"/>
      <c r="TBN64" s="607"/>
      <c r="TBO64" s="607"/>
      <c r="TBP64" s="607"/>
      <c r="TBQ64" s="607"/>
      <c r="TBR64" s="607"/>
      <c r="TBS64" s="607"/>
      <c r="TBT64" s="607"/>
      <c r="TBU64" s="607"/>
      <c r="TBV64" s="607"/>
      <c r="TBW64" s="607"/>
      <c r="TBX64" s="607"/>
      <c r="TBY64" s="607"/>
      <c r="TBZ64" s="607"/>
      <c r="TCA64" s="607"/>
      <c r="TCB64" s="607"/>
      <c r="TCC64" s="607"/>
      <c r="TCD64" s="607"/>
      <c r="TCE64" s="607"/>
      <c r="TCF64" s="607"/>
      <c r="TCG64" s="607"/>
      <c r="TCH64" s="607"/>
      <c r="TCI64" s="607"/>
      <c r="TCJ64" s="607"/>
      <c r="TCK64" s="607"/>
      <c r="TCL64" s="607"/>
      <c r="TCM64" s="607"/>
      <c r="TCN64" s="607"/>
      <c r="TCO64" s="607"/>
      <c r="TCP64" s="607"/>
      <c r="TCQ64" s="607"/>
      <c r="TCR64" s="607"/>
      <c r="TCS64" s="607"/>
      <c r="TCT64" s="607"/>
      <c r="TCU64" s="607"/>
      <c r="TCV64" s="607"/>
      <c r="TCW64" s="607"/>
      <c r="TCX64" s="607"/>
      <c r="TCY64" s="607"/>
      <c r="TCZ64" s="607"/>
      <c r="TDA64" s="607"/>
      <c r="TDB64" s="607"/>
      <c r="TDC64" s="607"/>
      <c r="TDD64" s="607"/>
      <c r="TDE64" s="607"/>
      <c r="TDF64" s="607"/>
      <c r="TDG64" s="607"/>
      <c r="TDH64" s="607"/>
      <c r="TDI64" s="607"/>
      <c r="TDJ64" s="607"/>
      <c r="TDK64" s="607"/>
      <c r="TDL64" s="607"/>
      <c r="TDM64" s="607"/>
      <c r="TDN64" s="607"/>
      <c r="TDO64" s="607"/>
      <c r="TDP64" s="607"/>
      <c r="TDQ64" s="607"/>
      <c r="TDR64" s="607"/>
      <c r="TDS64" s="607"/>
      <c r="TDT64" s="607"/>
      <c r="TDU64" s="607"/>
      <c r="TDV64" s="607"/>
      <c r="TDW64" s="607"/>
      <c r="TDX64" s="607"/>
      <c r="TDY64" s="607"/>
      <c r="TDZ64" s="607"/>
      <c r="TEA64" s="607"/>
      <c r="TEB64" s="607"/>
      <c r="TEC64" s="607"/>
      <c r="TED64" s="607"/>
      <c r="TEE64" s="607"/>
      <c r="TEF64" s="607"/>
      <c r="TEG64" s="607"/>
      <c r="TEH64" s="607"/>
      <c r="TEI64" s="607"/>
      <c r="TEJ64" s="607"/>
      <c r="TEK64" s="607"/>
      <c r="TEL64" s="607"/>
      <c r="TEM64" s="607"/>
      <c r="TEN64" s="607"/>
      <c r="TEO64" s="607"/>
      <c r="TEP64" s="607"/>
      <c r="TEQ64" s="607"/>
      <c r="TER64" s="607"/>
      <c r="TES64" s="607"/>
      <c r="TET64" s="607"/>
      <c r="TEU64" s="607"/>
      <c r="TEV64" s="607"/>
      <c r="TEW64" s="607"/>
      <c r="TEX64" s="607"/>
      <c r="TEY64" s="607"/>
      <c r="TEZ64" s="607"/>
      <c r="TFA64" s="607"/>
      <c r="TFB64" s="607"/>
      <c r="TFC64" s="607"/>
      <c r="TFD64" s="607"/>
      <c r="TFE64" s="607"/>
      <c r="TFF64" s="607"/>
      <c r="TFG64" s="607"/>
      <c r="TFH64" s="607"/>
      <c r="TFI64" s="607"/>
      <c r="TFJ64" s="607"/>
      <c r="TFK64" s="607"/>
      <c r="TFL64" s="607"/>
      <c r="TFM64" s="607"/>
      <c r="TFN64" s="607"/>
      <c r="TFO64" s="607"/>
      <c r="TFP64" s="607"/>
      <c r="TFQ64" s="607"/>
      <c r="TFR64" s="607"/>
      <c r="TFS64" s="607"/>
      <c r="TFT64" s="607"/>
      <c r="TFU64" s="607"/>
      <c r="TFV64" s="607"/>
      <c r="TFW64" s="607"/>
      <c r="TFX64" s="607"/>
      <c r="TFY64" s="607"/>
      <c r="TFZ64" s="607"/>
      <c r="TGA64" s="607"/>
      <c r="TGB64" s="607"/>
      <c r="TGC64" s="607"/>
      <c r="TGD64" s="607"/>
      <c r="TGE64" s="607"/>
      <c r="TGF64" s="607"/>
      <c r="TGG64" s="607"/>
      <c r="TGH64" s="607"/>
      <c r="TGI64" s="607"/>
      <c r="TGJ64" s="607"/>
      <c r="TGK64" s="607"/>
      <c r="TGL64" s="607"/>
      <c r="TGM64" s="607"/>
      <c r="TGN64" s="607"/>
      <c r="TGO64" s="607"/>
      <c r="TGP64" s="607"/>
      <c r="TGQ64" s="607"/>
      <c r="TGR64" s="607"/>
      <c r="TGS64" s="607"/>
      <c r="TGT64" s="607"/>
      <c r="TGU64" s="607"/>
      <c r="TGV64" s="607"/>
      <c r="TGW64" s="607"/>
      <c r="TGX64" s="607"/>
      <c r="TGY64" s="607"/>
      <c r="TGZ64" s="607"/>
      <c r="THA64" s="607"/>
      <c r="THB64" s="607"/>
      <c r="THC64" s="607"/>
      <c r="THD64" s="607"/>
      <c r="THE64" s="607"/>
      <c r="THF64" s="607"/>
      <c r="THG64" s="607"/>
      <c r="THH64" s="607"/>
      <c r="THI64" s="607"/>
      <c r="THJ64" s="607"/>
      <c r="THK64" s="607"/>
      <c r="THL64" s="607"/>
      <c r="THM64" s="607"/>
      <c r="THN64" s="607"/>
      <c r="THO64" s="607"/>
      <c r="THP64" s="607"/>
      <c r="THQ64" s="607"/>
      <c r="THR64" s="607"/>
      <c r="THS64" s="607"/>
      <c r="THT64" s="607"/>
      <c r="THU64" s="607"/>
      <c r="THV64" s="607"/>
      <c r="THW64" s="607"/>
      <c r="THX64" s="607"/>
      <c r="THY64" s="607"/>
      <c r="THZ64" s="607"/>
      <c r="TIA64" s="607"/>
      <c r="TIB64" s="607"/>
      <c r="TIC64" s="607"/>
      <c r="TID64" s="607"/>
      <c r="TIE64" s="607"/>
      <c r="TIF64" s="607"/>
      <c r="TIG64" s="607"/>
      <c r="TIH64" s="607"/>
      <c r="TII64" s="607"/>
      <c r="TIJ64" s="607"/>
      <c r="TIK64" s="607"/>
      <c r="TIL64" s="607"/>
      <c r="TIM64" s="607"/>
      <c r="TIN64" s="607"/>
      <c r="TIO64" s="607"/>
      <c r="TIP64" s="607"/>
      <c r="TIQ64" s="607"/>
      <c r="TIR64" s="607"/>
      <c r="TIS64" s="607"/>
      <c r="TIT64" s="607"/>
      <c r="TIU64" s="607"/>
      <c r="TIV64" s="607"/>
      <c r="TIW64" s="607"/>
      <c r="TIX64" s="607"/>
      <c r="TIY64" s="607"/>
      <c r="TIZ64" s="607"/>
      <c r="TJA64" s="607"/>
      <c r="TJB64" s="607"/>
      <c r="TJC64" s="607"/>
      <c r="TJD64" s="607"/>
      <c r="TJE64" s="607"/>
      <c r="TJF64" s="607"/>
      <c r="TJG64" s="607"/>
      <c r="TJH64" s="607"/>
      <c r="TJI64" s="607"/>
      <c r="TJJ64" s="607"/>
      <c r="TJK64" s="607"/>
      <c r="TJL64" s="607"/>
      <c r="TJM64" s="607"/>
      <c r="TJN64" s="607"/>
      <c r="TJO64" s="607"/>
      <c r="TJP64" s="607"/>
      <c r="TJQ64" s="607"/>
      <c r="TJR64" s="607"/>
      <c r="TJS64" s="607"/>
      <c r="TJT64" s="607"/>
      <c r="TJU64" s="607"/>
      <c r="TJV64" s="607"/>
      <c r="TJW64" s="607"/>
      <c r="TJX64" s="607"/>
      <c r="TJY64" s="607"/>
      <c r="TJZ64" s="607"/>
      <c r="TKA64" s="607"/>
      <c r="TKB64" s="607"/>
      <c r="TKC64" s="607"/>
      <c r="TKD64" s="607"/>
      <c r="TKE64" s="607"/>
      <c r="TKF64" s="607"/>
      <c r="TKG64" s="607"/>
      <c r="TKH64" s="607"/>
      <c r="TKI64" s="607"/>
      <c r="TKJ64" s="607"/>
      <c r="TKK64" s="607"/>
      <c r="TKL64" s="607"/>
      <c r="TKM64" s="607"/>
      <c r="TKN64" s="607"/>
      <c r="TKO64" s="607"/>
      <c r="TKP64" s="607"/>
      <c r="TKQ64" s="607"/>
      <c r="TKR64" s="607"/>
      <c r="TKS64" s="607"/>
      <c r="TKT64" s="607"/>
      <c r="TKU64" s="607"/>
      <c r="TKV64" s="607"/>
      <c r="TKW64" s="607"/>
      <c r="TKX64" s="607"/>
      <c r="TKY64" s="607"/>
      <c r="TKZ64" s="607"/>
      <c r="TLA64" s="607"/>
      <c r="TLB64" s="607"/>
      <c r="TLC64" s="607"/>
      <c r="TLD64" s="607"/>
      <c r="TLE64" s="607"/>
      <c r="TLF64" s="607"/>
      <c r="TLG64" s="607"/>
      <c r="TLH64" s="607"/>
      <c r="TLI64" s="607"/>
      <c r="TLJ64" s="607"/>
      <c r="TLK64" s="607"/>
      <c r="TLL64" s="607"/>
      <c r="TLM64" s="607"/>
      <c r="TLN64" s="607"/>
      <c r="TLO64" s="607"/>
      <c r="TLP64" s="607"/>
      <c r="TLQ64" s="607"/>
      <c r="TLR64" s="607"/>
      <c r="TLS64" s="607"/>
      <c r="TLT64" s="607"/>
      <c r="TLU64" s="607"/>
      <c r="TLV64" s="607"/>
      <c r="TLW64" s="607"/>
      <c r="TLX64" s="607"/>
      <c r="TLY64" s="607"/>
      <c r="TLZ64" s="607"/>
      <c r="TMA64" s="607"/>
      <c r="TMB64" s="607"/>
      <c r="TMC64" s="607"/>
      <c r="TMD64" s="607"/>
      <c r="TME64" s="607"/>
      <c r="TMF64" s="607"/>
      <c r="TMG64" s="607"/>
      <c r="TMH64" s="607"/>
      <c r="TMI64" s="607"/>
      <c r="TMJ64" s="607"/>
      <c r="TMK64" s="607"/>
      <c r="TML64" s="607"/>
      <c r="TMM64" s="607"/>
      <c r="TMN64" s="607"/>
      <c r="TMO64" s="607"/>
      <c r="TMP64" s="607"/>
      <c r="TMQ64" s="607"/>
      <c r="TMR64" s="607"/>
      <c r="TMS64" s="607"/>
      <c r="TMT64" s="607"/>
      <c r="TMU64" s="607"/>
      <c r="TMV64" s="607"/>
      <c r="TMW64" s="607"/>
      <c r="TMX64" s="607"/>
      <c r="TMY64" s="607"/>
      <c r="TMZ64" s="607"/>
      <c r="TNA64" s="607"/>
      <c r="TNB64" s="607"/>
      <c r="TNC64" s="607"/>
      <c r="TND64" s="607"/>
      <c r="TNE64" s="607"/>
      <c r="TNF64" s="607"/>
      <c r="TNG64" s="607"/>
      <c r="TNH64" s="607"/>
      <c r="TNI64" s="607"/>
      <c r="TNJ64" s="607"/>
      <c r="TNK64" s="607"/>
      <c r="TNL64" s="607"/>
      <c r="TNM64" s="607"/>
      <c r="TNN64" s="607"/>
      <c r="TNO64" s="607"/>
      <c r="TNP64" s="607"/>
      <c r="TNQ64" s="607"/>
      <c r="TNR64" s="607"/>
      <c r="TNS64" s="607"/>
      <c r="TNT64" s="607"/>
      <c r="TNU64" s="607"/>
      <c r="TNV64" s="607"/>
      <c r="TNW64" s="607"/>
      <c r="TNX64" s="607"/>
      <c r="TNY64" s="607"/>
      <c r="TNZ64" s="607"/>
      <c r="TOA64" s="607"/>
      <c r="TOB64" s="607"/>
      <c r="TOC64" s="607"/>
      <c r="TOD64" s="607"/>
      <c r="TOE64" s="607"/>
      <c r="TOF64" s="607"/>
      <c r="TOG64" s="607"/>
      <c r="TOH64" s="607"/>
      <c r="TOI64" s="607"/>
      <c r="TOJ64" s="607"/>
      <c r="TOK64" s="607"/>
      <c r="TOL64" s="607"/>
      <c r="TOM64" s="607"/>
      <c r="TON64" s="607"/>
      <c r="TOO64" s="607"/>
      <c r="TOP64" s="607"/>
      <c r="TOQ64" s="607"/>
      <c r="TOR64" s="607"/>
      <c r="TOS64" s="607"/>
      <c r="TOT64" s="607"/>
      <c r="TOU64" s="607"/>
      <c r="TOV64" s="607"/>
      <c r="TOW64" s="607"/>
      <c r="TOX64" s="607"/>
      <c r="TOY64" s="607"/>
      <c r="TOZ64" s="607"/>
      <c r="TPA64" s="607"/>
      <c r="TPB64" s="607"/>
      <c r="TPC64" s="607"/>
      <c r="TPD64" s="607"/>
      <c r="TPE64" s="607"/>
      <c r="TPF64" s="607"/>
      <c r="TPG64" s="607"/>
      <c r="TPH64" s="607"/>
      <c r="TPI64" s="607"/>
      <c r="TPJ64" s="607"/>
      <c r="TPK64" s="607"/>
      <c r="TPL64" s="607"/>
      <c r="TPM64" s="607"/>
      <c r="TPN64" s="607"/>
      <c r="TPO64" s="607"/>
      <c r="TPP64" s="607"/>
      <c r="TPQ64" s="607"/>
      <c r="TPR64" s="607"/>
      <c r="TPS64" s="607"/>
      <c r="TPT64" s="607"/>
      <c r="TPU64" s="607"/>
      <c r="TPV64" s="607"/>
      <c r="TPW64" s="607"/>
      <c r="TPX64" s="607"/>
      <c r="TPY64" s="607"/>
      <c r="TPZ64" s="607"/>
      <c r="TQA64" s="607"/>
      <c r="TQB64" s="607"/>
      <c r="TQC64" s="607"/>
      <c r="TQD64" s="607"/>
      <c r="TQE64" s="607"/>
      <c r="TQF64" s="607"/>
      <c r="TQG64" s="607"/>
      <c r="TQH64" s="607"/>
      <c r="TQI64" s="607"/>
      <c r="TQJ64" s="607"/>
      <c r="TQK64" s="607"/>
      <c r="TQL64" s="607"/>
      <c r="TQM64" s="607"/>
      <c r="TQN64" s="607"/>
      <c r="TQO64" s="607"/>
      <c r="TQP64" s="607"/>
      <c r="TQQ64" s="607"/>
      <c r="TQR64" s="607"/>
      <c r="TQS64" s="607"/>
      <c r="TQT64" s="607"/>
      <c r="TQU64" s="607"/>
      <c r="TQV64" s="607"/>
      <c r="TQW64" s="607"/>
      <c r="TQX64" s="607"/>
      <c r="TQY64" s="607"/>
      <c r="TQZ64" s="607"/>
      <c r="TRA64" s="607"/>
      <c r="TRB64" s="607"/>
      <c r="TRC64" s="607"/>
      <c r="TRD64" s="607"/>
      <c r="TRE64" s="607"/>
      <c r="TRF64" s="607"/>
      <c r="TRG64" s="607"/>
      <c r="TRH64" s="607"/>
      <c r="TRI64" s="607"/>
      <c r="TRJ64" s="607"/>
      <c r="TRK64" s="607"/>
      <c r="TRL64" s="607"/>
      <c r="TRM64" s="607"/>
      <c r="TRN64" s="607"/>
      <c r="TRO64" s="607"/>
      <c r="TRP64" s="607"/>
      <c r="TRQ64" s="607"/>
      <c r="TRR64" s="607"/>
      <c r="TRS64" s="607"/>
      <c r="TRT64" s="607"/>
      <c r="TRU64" s="607"/>
      <c r="TRV64" s="607"/>
      <c r="TRW64" s="607"/>
      <c r="TRX64" s="607"/>
      <c r="TRY64" s="607"/>
      <c r="TRZ64" s="607"/>
      <c r="TSA64" s="607"/>
      <c r="TSB64" s="607"/>
      <c r="TSC64" s="607"/>
      <c r="TSD64" s="607"/>
      <c r="TSE64" s="607"/>
      <c r="TSF64" s="607"/>
      <c r="TSG64" s="607"/>
      <c r="TSH64" s="607"/>
      <c r="TSI64" s="607"/>
      <c r="TSJ64" s="607"/>
      <c r="TSK64" s="607"/>
      <c r="TSL64" s="607"/>
      <c r="TSM64" s="607"/>
      <c r="TSN64" s="607"/>
      <c r="TSO64" s="607"/>
      <c r="TSP64" s="607"/>
      <c r="TSQ64" s="607"/>
      <c r="TSR64" s="607"/>
      <c r="TSS64" s="607"/>
      <c r="TST64" s="607"/>
      <c r="TSU64" s="607"/>
      <c r="TSV64" s="607"/>
      <c r="TSW64" s="607"/>
      <c r="TSX64" s="607"/>
      <c r="TSY64" s="607"/>
      <c r="TSZ64" s="607"/>
      <c r="TTA64" s="607"/>
      <c r="TTB64" s="607"/>
      <c r="TTC64" s="607"/>
      <c r="TTD64" s="607"/>
      <c r="TTE64" s="607"/>
      <c r="TTF64" s="607"/>
      <c r="TTG64" s="607"/>
      <c r="TTH64" s="607"/>
      <c r="TTI64" s="607"/>
      <c r="TTJ64" s="607"/>
      <c r="TTK64" s="607"/>
      <c r="TTL64" s="607"/>
      <c r="TTM64" s="607"/>
      <c r="TTN64" s="607"/>
      <c r="TTO64" s="607"/>
      <c r="TTP64" s="607"/>
      <c r="TTQ64" s="607"/>
      <c r="TTR64" s="607"/>
      <c r="TTS64" s="607"/>
      <c r="TTT64" s="607"/>
      <c r="TTU64" s="607"/>
      <c r="TTV64" s="607"/>
      <c r="TTW64" s="607"/>
      <c r="TTX64" s="607"/>
      <c r="TTY64" s="607"/>
      <c r="TTZ64" s="607"/>
      <c r="TUA64" s="607"/>
      <c r="TUB64" s="607"/>
      <c r="TUC64" s="607"/>
      <c r="TUD64" s="607"/>
      <c r="TUE64" s="607"/>
      <c r="TUF64" s="607"/>
      <c r="TUG64" s="607"/>
      <c r="TUH64" s="607"/>
      <c r="TUI64" s="607"/>
      <c r="TUJ64" s="607"/>
      <c r="TUK64" s="607"/>
      <c r="TUL64" s="607"/>
      <c r="TUM64" s="607"/>
      <c r="TUN64" s="607"/>
      <c r="TUO64" s="607"/>
      <c r="TUP64" s="607"/>
      <c r="TUQ64" s="607"/>
      <c r="TUR64" s="607"/>
      <c r="TUS64" s="607"/>
      <c r="TUT64" s="607"/>
      <c r="TUU64" s="607"/>
      <c r="TUV64" s="607"/>
      <c r="TUW64" s="607"/>
      <c r="TUX64" s="607"/>
      <c r="TUY64" s="607"/>
      <c r="TUZ64" s="607"/>
      <c r="TVA64" s="607"/>
      <c r="TVB64" s="607"/>
      <c r="TVC64" s="607"/>
      <c r="TVD64" s="607"/>
      <c r="TVE64" s="607"/>
      <c r="TVF64" s="607"/>
      <c r="TVG64" s="607"/>
      <c r="TVH64" s="607"/>
      <c r="TVI64" s="607"/>
      <c r="TVJ64" s="607"/>
      <c r="TVK64" s="607"/>
      <c r="TVL64" s="607"/>
      <c r="TVM64" s="607"/>
      <c r="TVN64" s="607"/>
      <c r="TVO64" s="607"/>
      <c r="TVP64" s="607"/>
      <c r="TVQ64" s="607"/>
      <c r="TVR64" s="607"/>
      <c r="TVS64" s="607"/>
      <c r="TVT64" s="607"/>
      <c r="TVU64" s="607"/>
      <c r="TVV64" s="607"/>
      <c r="TVW64" s="607"/>
      <c r="TVX64" s="607"/>
      <c r="TVY64" s="607"/>
      <c r="TVZ64" s="607"/>
      <c r="TWA64" s="607"/>
      <c r="TWB64" s="607"/>
      <c r="TWC64" s="607"/>
      <c r="TWD64" s="607"/>
      <c r="TWE64" s="607"/>
      <c r="TWF64" s="607"/>
      <c r="TWG64" s="607"/>
      <c r="TWH64" s="607"/>
      <c r="TWI64" s="607"/>
      <c r="TWJ64" s="607"/>
      <c r="TWK64" s="607"/>
      <c r="TWL64" s="607"/>
      <c r="TWM64" s="607"/>
      <c r="TWN64" s="607"/>
      <c r="TWO64" s="607"/>
      <c r="TWP64" s="607"/>
      <c r="TWQ64" s="607"/>
      <c r="TWR64" s="607"/>
      <c r="TWS64" s="607"/>
      <c r="TWT64" s="607"/>
      <c r="TWU64" s="607"/>
      <c r="TWV64" s="607"/>
      <c r="TWW64" s="607"/>
      <c r="TWX64" s="607"/>
      <c r="TWY64" s="607"/>
      <c r="TWZ64" s="607"/>
      <c r="TXA64" s="607"/>
      <c r="TXB64" s="607"/>
      <c r="TXC64" s="607"/>
      <c r="TXD64" s="607"/>
      <c r="TXE64" s="607"/>
      <c r="TXF64" s="607"/>
      <c r="TXG64" s="607"/>
      <c r="TXH64" s="607"/>
      <c r="TXI64" s="607"/>
      <c r="TXJ64" s="607"/>
      <c r="TXK64" s="607"/>
      <c r="TXL64" s="607"/>
      <c r="TXM64" s="607"/>
      <c r="TXN64" s="607"/>
      <c r="TXO64" s="607"/>
      <c r="TXP64" s="607"/>
      <c r="TXQ64" s="607"/>
      <c r="TXR64" s="607"/>
      <c r="TXS64" s="607"/>
      <c r="TXT64" s="607"/>
      <c r="TXU64" s="607"/>
      <c r="TXV64" s="607"/>
      <c r="TXW64" s="607"/>
      <c r="TXX64" s="607"/>
      <c r="TXY64" s="607"/>
      <c r="TXZ64" s="607"/>
      <c r="TYA64" s="607"/>
      <c r="TYB64" s="607"/>
      <c r="TYC64" s="607"/>
      <c r="TYD64" s="607"/>
      <c r="TYE64" s="607"/>
      <c r="TYF64" s="607"/>
      <c r="TYG64" s="607"/>
      <c r="TYH64" s="607"/>
      <c r="TYI64" s="607"/>
      <c r="TYJ64" s="607"/>
      <c r="TYK64" s="607"/>
      <c r="TYL64" s="607"/>
      <c r="TYM64" s="607"/>
      <c r="TYN64" s="607"/>
      <c r="TYO64" s="607"/>
      <c r="TYP64" s="607"/>
      <c r="TYQ64" s="607"/>
      <c r="TYR64" s="607"/>
      <c r="TYS64" s="607"/>
      <c r="TYT64" s="607"/>
      <c r="TYU64" s="607"/>
      <c r="TYV64" s="607"/>
      <c r="TYW64" s="607"/>
      <c r="TYX64" s="607"/>
      <c r="TYY64" s="607"/>
      <c r="TYZ64" s="607"/>
      <c r="TZA64" s="607"/>
      <c r="TZB64" s="607"/>
      <c r="TZC64" s="607"/>
      <c r="TZD64" s="607"/>
      <c r="TZE64" s="607"/>
      <c r="TZF64" s="607"/>
      <c r="TZG64" s="607"/>
      <c r="TZH64" s="607"/>
      <c r="TZI64" s="607"/>
      <c r="TZJ64" s="607"/>
      <c r="TZK64" s="607"/>
      <c r="TZL64" s="607"/>
      <c r="TZM64" s="607"/>
      <c r="TZN64" s="607"/>
      <c r="TZO64" s="607"/>
      <c r="TZP64" s="607"/>
      <c r="TZQ64" s="607"/>
      <c r="TZR64" s="607"/>
      <c r="TZS64" s="607"/>
      <c r="TZT64" s="607"/>
      <c r="TZU64" s="607"/>
      <c r="TZV64" s="607"/>
      <c r="TZW64" s="607"/>
      <c r="TZX64" s="607"/>
      <c r="TZY64" s="607"/>
      <c r="TZZ64" s="607"/>
      <c r="UAA64" s="607"/>
      <c r="UAB64" s="607"/>
      <c r="UAC64" s="607"/>
      <c r="UAD64" s="607"/>
      <c r="UAE64" s="607"/>
      <c r="UAF64" s="607"/>
      <c r="UAG64" s="607"/>
      <c r="UAH64" s="607"/>
      <c r="UAI64" s="607"/>
      <c r="UAJ64" s="607"/>
      <c r="UAK64" s="607"/>
      <c r="UAL64" s="607"/>
      <c r="UAM64" s="607"/>
      <c r="UAN64" s="607"/>
      <c r="UAO64" s="607"/>
      <c r="UAP64" s="607"/>
      <c r="UAQ64" s="607"/>
      <c r="UAR64" s="607"/>
      <c r="UAS64" s="607"/>
      <c r="UAT64" s="607"/>
      <c r="UAU64" s="607"/>
      <c r="UAV64" s="607"/>
      <c r="UAW64" s="607"/>
      <c r="UAX64" s="607"/>
      <c r="UAY64" s="607"/>
      <c r="UAZ64" s="607"/>
      <c r="UBA64" s="607"/>
      <c r="UBB64" s="607"/>
      <c r="UBC64" s="607"/>
      <c r="UBD64" s="607"/>
      <c r="UBE64" s="607"/>
      <c r="UBF64" s="607"/>
      <c r="UBG64" s="607"/>
      <c r="UBH64" s="607"/>
      <c r="UBI64" s="607"/>
      <c r="UBJ64" s="607"/>
      <c r="UBK64" s="607"/>
      <c r="UBL64" s="607"/>
      <c r="UBM64" s="607"/>
      <c r="UBN64" s="607"/>
      <c r="UBO64" s="607"/>
      <c r="UBP64" s="607"/>
      <c r="UBQ64" s="607"/>
      <c r="UBR64" s="607"/>
      <c r="UBS64" s="607"/>
      <c r="UBT64" s="607"/>
      <c r="UBU64" s="607"/>
      <c r="UBV64" s="607"/>
      <c r="UBW64" s="607"/>
      <c r="UBX64" s="607"/>
      <c r="UBY64" s="607"/>
      <c r="UBZ64" s="607"/>
      <c r="UCA64" s="607"/>
      <c r="UCB64" s="607"/>
      <c r="UCC64" s="607"/>
      <c r="UCD64" s="607"/>
      <c r="UCE64" s="607"/>
      <c r="UCF64" s="607"/>
      <c r="UCG64" s="607"/>
      <c r="UCH64" s="607"/>
      <c r="UCI64" s="607"/>
      <c r="UCJ64" s="607"/>
      <c r="UCK64" s="607"/>
      <c r="UCL64" s="607"/>
      <c r="UCM64" s="607"/>
      <c r="UCN64" s="607"/>
      <c r="UCO64" s="607"/>
      <c r="UCP64" s="607"/>
      <c r="UCQ64" s="607"/>
      <c r="UCR64" s="607"/>
      <c r="UCS64" s="607"/>
      <c r="UCT64" s="607"/>
      <c r="UCU64" s="607"/>
      <c r="UCV64" s="607"/>
      <c r="UCW64" s="607"/>
      <c r="UCX64" s="607"/>
      <c r="UCY64" s="607"/>
      <c r="UCZ64" s="607"/>
      <c r="UDA64" s="607"/>
      <c r="UDB64" s="607"/>
      <c r="UDC64" s="607"/>
      <c r="UDD64" s="607"/>
      <c r="UDE64" s="607"/>
      <c r="UDF64" s="607"/>
      <c r="UDG64" s="607"/>
      <c r="UDH64" s="607"/>
      <c r="UDI64" s="607"/>
      <c r="UDJ64" s="607"/>
      <c r="UDK64" s="607"/>
      <c r="UDL64" s="607"/>
      <c r="UDM64" s="607"/>
      <c r="UDN64" s="607"/>
      <c r="UDO64" s="607"/>
      <c r="UDP64" s="607"/>
      <c r="UDQ64" s="607"/>
      <c r="UDR64" s="607"/>
      <c r="UDS64" s="607"/>
      <c r="UDT64" s="607"/>
      <c r="UDU64" s="607"/>
      <c r="UDV64" s="607"/>
      <c r="UDW64" s="607"/>
      <c r="UDX64" s="607"/>
      <c r="UDY64" s="607"/>
      <c r="UDZ64" s="607"/>
      <c r="UEA64" s="607"/>
      <c r="UEB64" s="607"/>
      <c r="UEC64" s="607"/>
      <c r="UED64" s="607"/>
      <c r="UEE64" s="607"/>
      <c r="UEF64" s="607"/>
      <c r="UEG64" s="607"/>
      <c r="UEH64" s="607"/>
      <c r="UEI64" s="607"/>
      <c r="UEJ64" s="607"/>
      <c r="UEK64" s="607"/>
      <c r="UEL64" s="607"/>
      <c r="UEM64" s="607"/>
      <c r="UEN64" s="607"/>
      <c r="UEO64" s="607"/>
      <c r="UEP64" s="607"/>
      <c r="UEQ64" s="607"/>
      <c r="UER64" s="607"/>
      <c r="UES64" s="607"/>
      <c r="UET64" s="607"/>
      <c r="UEU64" s="607"/>
      <c r="UEV64" s="607"/>
      <c r="UEW64" s="607"/>
      <c r="UEX64" s="607"/>
      <c r="UEY64" s="607"/>
      <c r="UEZ64" s="607"/>
      <c r="UFA64" s="607"/>
      <c r="UFB64" s="607"/>
      <c r="UFC64" s="607"/>
      <c r="UFD64" s="607"/>
      <c r="UFE64" s="607"/>
      <c r="UFF64" s="607"/>
      <c r="UFG64" s="607"/>
      <c r="UFH64" s="607"/>
      <c r="UFI64" s="607"/>
      <c r="UFJ64" s="607"/>
      <c r="UFK64" s="607"/>
      <c r="UFL64" s="607"/>
      <c r="UFM64" s="607"/>
      <c r="UFN64" s="607"/>
      <c r="UFO64" s="607"/>
      <c r="UFP64" s="607"/>
      <c r="UFQ64" s="607"/>
      <c r="UFR64" s="607"/>
      <c r="UFS64" s="607"/>
      <c r="UFT64" s="607"/>
      <c r="UFU64" s="607"/>
      <c r="UFV64" s="607"/>
      <c r="UFW64" s="607"/>
      <c r="UFX64" s="607"/>
      <c r="UFY64" s="607"/>
      <c r="UFZ64" s="607"/>
      <c r="UGA64" s="607"/>
      <c r="UGB64" s="607"/>
      <c r="UGC64" s="607"/>
      <c r="UGD64" s="607"/>
      <c r="UGE64" s="607"/>
      <c r="UGF64" s="607"/>
      <c r="UGG64" s="607"/>
      <c r="UGH64" s="607"/>
      <c r="UGI64" s="607"/>
      <c r="UGJ64" s="607"/>
      <c r="UGK64" s="607"/>
      <c r="UGL64" s="607"/>
      <c r="UGM64" s="607"/>
      <c r="UGN64" s="607"/>
      <c r="UGO64" s="607"/>
      <c r="UGP64" s="607"/>
      <c r="UGQ64" s="607"/>
      <c r="UGR64" s="607"/>
      <c r="UGS64" s="607"/>
      <c r="UGT64" s="607"/>
      <c r="UGU64" s="607"/>
      <c r="UGV64" s="607"/>
      <c r="UGW64" s="607"/>
      <c r="UGX64" s="607"/>
      <c r="UGY64" s="607"/>
      <c r="UGZ64" s="607"/>
      <c r="UHA64" s="607"/>
      <c r="UHB64" s="607"/>
      <c r="UHC64" s="607"/>
      <c r="UHD64" s="607"/>
      <c r="UHE64" s="607"/>
      <c r="UHF64" s="607"/>
      <c r="UHG64" s="607"/>
      <c r="UHH64" s="607"/>
      <c r="UHI64" s="607"/>
      <c r="UHJ64" s="607"/>
      <c r="UHK64" s="607"/>
      <c r="UHL64" s="607"/>
      <c r="UHM64" s="607"/>
      <c r="UHN64" s="607"/>
      <c r="UHO64" s="607"/>
      <c r="UHP64" s="607"/>
      <c r="UHQ64" s="607"/>
      <c r="UHR64" s="607"/>
      <c r="UHS64" s="607"/>
      <c r="UHT64" s="607"/>
      <c r="UHU64" s="607"/>
      <c r="UHV64" s="607"/>
      <c r="UHW64" s="607"/>
      <c r="UHX64" s="607"/>
      <c r="UHY64" s="607"/>
      <c r="UHZ64" s="607"/>
      <c r="UIA64" s="607"/>
      <c r="UIB64" s="607"/>
      <c r="UIC64" s="607"/>
      <c r="UID64" s="607"/>
      <c r="UIE64" s="607"/>
      <c r="UIF64" s="607"/>
      <c r="UIG64" s="607"/>
      <c r="UIH64" s="607"/>
      <c r="UII64" s="607"/>
      <c r="UIJ64" s="607"/>
      <c r="UIK64" s="607"/>
      <c r="UIL64" s="607"/>
      <c r="UIM64" s="607"/>
      <c r="UIN64" s="607"/>
      <c r="UIO64" s="607"/>
      <c r="UIP64" s="607"/>
      <c r="UIQ64" s="607"/>
      <c r="UIR64" s="607"/>
      <c r="UIS64" s="607"/>
      <c r="UIT64" s="607"/>
      <c r="UIU64" s="607"/>
      <c r="UIV64" s="607"/>
      <c r="UIW64" s="607"/>
      <c r="UIX64" s="607"/>
      <c r="UIY64" s="607"/>
      <c r="UIZ64" s="607"/>
      <c r="UJA64" s="607"/>
      <c r="UJB64" s="607"/>
      <c r="UJC64" s="607"/>
      <c r="UJD64" s="607"/>
      <c r="UJE64" s="607"/>
      <c r="UJF64" s="607"/>
      <c r="UJG64" s="607"/>
      <c r="UJH64" s="607"/>
      <c r="UJI64" s="607"/>
      <c r="UJJ64" s="607"/>
      <c r="UJK64" s="607"/>
      <c r="UJL64" s="607"/>
      <c r="UJM64" s="607"/>
      <c r="UJN64" s="607"/>
      <c r="UJO64" s="607"/>
      <c r="UJP64" s="607"/>
      <c r="UJQ64" s="607"/>
      <c r="UJR64" s="607"/>
      <c r="UJS64" s="607"/>
      <c r="UJT64" s="607"/>
      <c r="UJU64" s="607"/>
      <c r="UJV64" s="607"/>
      <c r="UJW64" s="607"/>
      <c r="UJX64" s="607"/>
      <c r="UJY64" s="607"/>
      <c r="UJZ64" s="607"/>
      <c r="UKA64" s="607"/>
      <c r="UKB64" s="607"/>
      <c r="UKC64" s="607"/>
      <c r="UKD64" s="607"/>
      <c r="UKE64" s="607"/>
      <c r="UKF64" s="607"/>
      <c r="UKG64" s="607"/>
      <c r="UKH64" s="607"/>
      <c r="UKI64" s="607"/>
      <c r="UKJ64" s="607"/>
      <c r="UKK64" s="607"/>
      <c r="UKL64" s="607"/>
      <c r="UKM64" s="607"/>
      <c r="UKN64" s="607"/>
      <c r="UKO64" s="607"/>
      <c r="UKP64" s="607"/>
      <c r="UKQ64" s="607"/>
      <c r="UKR64" s="607"/>
      <c r="UKS64" s="607"/>
      <c r="UKT64" s="607"/>
      <c r="UKU64" s="607"/>
      <c r="UKV64" s="607"/>
      <c r="UKW64" s="607"/>
      <c r="UKX64" s="607"/>
      <c r="UKY64" s="607"/>
      <c r="UKZ64" s="607"/>
      <c r="ULA64" s="607"/>
      <c r="ULB64" s="607"/>
      <c r="ULC64" s="607"/>
      <c r="ULD64" s="607"/>
      <c r="ULE64" s="607"/>
      <c r="ULF64" s="607"/>
      <c r="ULG64" s="607"/>
      <c r="ULH64" s="607"/>
      <c r="ULI64" s="607"/>
      <c r="ULJ64" s="607"/>
      <c r="ULK64" s="607"/>
      <c r="ULL64" s="607"/>
      <c r="ULM64" s="607"/>
      <c r="ULN64" s="607"/>
      <c r="ULO64" s="607"/>
      <c r="ULP64" s="607"/>
      <c r="ULQ64" s="607"/>
      <c r="ULR64" s="607"/>
      <c r="ULS64" s="607"/>
      <c r="ULT64" s="607"/>
      <c r="ULU64" s="607"/>
      <c r="ULV64" s="607"/>
      <c r="ULW64" s="607"/>
      <c r="ULX64" s="607"/>
      <c r="ULY64" s="607"/>
      <c r="ULZ64" s="607"/>
      <c r="UMA64" s="607"/>
      <c r="UMB64" s="607"/>
      <c r="UMC64" s="607"/>
      <c r="UMD64" s="607"/>
      <c r="UME64" s="607"/>
      <c r="UMF64" s="607"/>
      <c r="UMG64" s="607"/>
      <c r="UMH64" s="607"/>
      <c r="UMI64" s="607"/>
      <c r="UMJ64" s="607"/>
      <c r="UMK64" s="607"/>
      <c r="UML64" s="607"/>
      <c r="UMM64" s="607"/>
      <c r="UMN64" s="607"/>
      <c r="UMO64" s="607"/>
      <c r="UMP64" s="607"/>
      <c r="UMQ64" s="607"/>
      <c r="UMR64" s="607"/>
      <c r="UMS64" s="607"/>
      <c r="UMT64" s="607"/>
      <c r="UMU64" s="607"/>
      <c r="UMV64" s="607"/>
      <c r="UMW64" s="607"/>
      <c r="UMX64" s="607"/>
      <c r="UMY64" s="607"/>
      <c r="UMZ64" s="607"/>
      <c r="UNA64" s="607"/>
      <c r="UNB64" s="607"/>
      <c r="UNC64" s="607"/>
      <c r="UND64" s="607"/>
      <c r="UNE64" s="607"/>
      <c r="UNF64" s="607"/>
      <c r="UNG64" s="607"/>
      <c r="UNH64" s="607"/>
      <c r="UNI64" s="607"/>
      <c r="UNJ64" s="607"/>
      <c r="UNK64" s="607"/>
      <c r="UNL64" s="607"/>
      <c r="UNM64" s="607"/>
      <c r="UNN64" s="607"/>
      <c r="UNO64" s="607"/>
      <c r="UNP64" s="607"/>
      <c r="UNQ64" s="607"/>
      <c r="UNR64" s="607"/>
      <c r="UNS64" s="607"/>
      <c r="UNT64" s="607"/>
      <c r="UNU64" s="607"/>
      <c r="UNV64" s="607"/>
      <c r="UNW64" s="607"/>
      <c r="UNX64" s="607"/>
      <c r="UNY64" s="607"/>
      <c r="UNZ64" s="607"/>
      <c r="UOA64" s="607"/>
      <c r="UOB64" s="607"/>
      <c r="UOC64" s="607"/>
      <c r="UOD64" s="607"/>
      <c r="UOE64" s="607"/>
      <c r="UOF64" s="607"/>
      <c r="UOG64" s="607"/>
      <c r="UOH64" s="607"/>
      <c r="UOI64" s="607"/>
      <c r="UOJ64" s="607"/>
      <c r="UOK64" s="607"/>
      <c r="UOL64" s="607"/>
      <c r="UOM64" s="607"/>
      <c r="UON64" s="607"/>
      <c r="UOO64" s="607"/>
      <c r="UOP64" s="607"/>
      <c r="UOQ64" s="607"/>
      <c r="UOR64" s="607"/>
      <c r="UOS64" s="607"/>
      <c r="UOT64" s="607"/>
      <c r="UOU64" s="607"/>
      <c r="UOV64" s="607"/>
      <c r="UOW64" s="607"/>
      <c r="UOX64" s="607"/>
      <c r="UOY64" s="607"/>
      <c r="UOZ64" s="607"/>
      <c r="UPA64" s="607"/>
      <c r="UPB64" s="607"/>
      <c r="UPC64" s="607"/>
      <c r="UPD64" s="607"/>
      <c r="UPE64" s="607"/>
      <c r="UPF64" s="607"/>
      <c r="UPG64" s="607"/>
      <c r="UPH64" s="607"/>
      <c r="UPI64" s="607"/>
      <c r="UPJ64" s="607"/>
      <c r="UPK64" s="607"/>
      <c r="UPL64" s="607"/>
      <c r="UPM64" s="607"/>
      <c r="UPN64" s="607"/>
      <c r="UPO64" s="607"/>
      <c r="UPP64" s="607"/>
      <c r="UPQ64" s="607"/>
      <c r="UPR64" s="607"/>
      <c r="UPS64" s="607"/>
      <c r="UPT64" s="607"/>
      <c r="UPU64" s="607"/>
      <c r="UPV64" s="607"/>
      <c r="UPW64" s="607"/>
      <c r="UPX64" s="607"/>
      <c r="UPY64" s="607"/>
      <c r="UPZ64" s="607"/>
      <c r="UQA64" s="607"/>
      <c r="UQB64" s="607"/>
      <c r="UQC64" s="607"/>
      <c r="UQD64" s="607"/>
      <c r="UQE64" s="607"/>
      <c r="UQF64" s="607"/>
      <c r="UQG64" s="607"/>
      <c r="UQH64" s="607"/>
      <c r="UQI64" s="607"/>
      <c r="UQJ64" s="607"/>
      <c r="UQK64" s="607"/>
      <c r="UQL64" s="607"/>
      <c r="UQM64" s="607"/>
      <c r="UQN64" s="607"/>
      <c r="UQO64" s="607"/>
      <c r="UQP64" s="607"/>
      <c r="UQQ64" s="607"/>
      <c r="UQR64" s="607"/>
      <c r="UQS64" s="607"/>
      <c r="UQT64" s="607"/>
      <c r="UQU64" s="607"/>
      <c r="UQV64" s="607"/>
      <c r="UQW64" s="607"/>
      <c r="UQX64" s="607"/>
      <c r="UQY64" s="607"/>
      <c r="UQZ64" s="607"/>
      <c r="URA64" s="607"/>
      <c r="URB64" s="607"/>
      <c r="URC64" s="607"/>
      <c r="URD64" s="607"/>
      <c r="URE64" s="607"/>
      <c r="URF64" s="607"/>
      <c r="URG64" s="607"/>
      <c r="URH64" s="607"/>
      <c r="URI64" s="607"/>
      <c r="URJ64" s="607"/>
      <c r="URK64" s="607"/>
      <c r="URL64" s="607"/>
      <c r="URM64" s="607"/>
      <c r="URN64" s="607"/>
      <c r="URO64" s="607"/>
      <c r="URP64" s="607"/>
      <c r="URQ64" s="607"/>
      <c r="URR64" s="607"/>
      <c r="URS64" s="607"/>
      <c r="URT64" s="607"/>
      <c r="URU64" s="607"/>
      <c r="URV64" s="607"/>
      <c r="URW64" s="607"/>
      <c r="URX64" s="607"/>
      <c r="URY64" s="607"/>
      <c r="URZ64" s="607"/>
      <c r="USA64" s="607"/>
      <c r="USB64" s="607"/>
      <c r="USC64" s="607"/>
      <c r="USD64" s="607"/>
      <c r="USE64" s="607"/>
      <c r="USF64" s="607"/>
      <c r="USG64" s="607"/>
      <c r="USH64" s="607"/>
      <c r="USI64" s="607"/>
      <c r="USJ64" s="607"/>
      <c r="USK64" s="607"/>
      <c r="USL64" s="607"/>
      <c r="USM64" s="607"/>
      <c r="USN64" s="607"/>
      <c r="USO64" s="607"/>
      <c r="USP64" s="607"/>
      <c r="USQ64" s="607"/>
      <c r="USR64" s="607"/>
      <c r="USS64" s="607"/>
      <c r="UST64" s="607"/>
      <c r="USU64" s="607"/>
      <c r="USV64" s="607"/>
      <c r="USW64" s="607"/>
      <c r="USX64" s="607"/>
      <c r="USY64" s="607"/>
      <c r="USZ64" s="607"/>
      <c r="UTA64" s="607"/>
      <c r="UTB64" s="607"/>
      <c r="UTC64" s="607"/>
      <c r="UTD64" s="607"/>
      <c r="UTE64" s="607"/>
      <c r="UTF64" s="607"/>
      <c r="UTG64" s="607"/>
      <c r="UTH64" s="607"/>
      <c r="UTI64" s="607"/>
      <c r="UTJ64" s="607"/>
      <c r="UTK64" s="607"/>
      <c r="UTL64" s="607"/>
      <c r="UTM64" s="607"/>
      <c r="UTN64" s="607"/>
      <c r="UTO64" s="607"/>
      <c r="UTP64" s="607"/>
      <c r="UTQ64" s="607"/>
      <c r="UTR64" s="607"/>
      <c r="UTS64" s="607"/>
      <c r="UTT64" s="607"/>
      <c r="UTU64" s="607"/>
      <c r="UTV64" s="607"/>
      <c r="UTW64" s="607"/>
      <c r="UTX64" s="607"/>
      <c r="UTY64" s="607"/>
      <c r="UTZ64" s="607"/>
      <c r="UUA64" s="607"/>
      <c r="UUB64" s="607"/>
      <c r="UUC64" s="607"/>
      <c r="UUD64" s="607"/>
      <c r="UUE64" s="607"/>
      <c r="UUF64" s="607"/>
      <c r="UUG64" s="607"/>
      <c r="UUH64" s="607"/>
      <c r="UUI64" s="607"/>
      <c r="UUJ64" s="607"/>
      <c r="UUK64" s="607"/>
      <c r="UUL64" s="607"/>
      <c r="UUM64" s="607"/>
      <c r="UUN64" s="607"/>
      <c r="UUO64" s="607"/>
      <c r="UUP64" s="607"/>
      <c r="UUQ64" s="607"/>
      <c r="UUR64" s="607"/>
      <c r="UUS64" s="607"/>
      <c r="UUT64" s="607"/>
      <c r="UUU64" s="607"/>
      <c r="UUV64" s="607"/>
      <c r="UUW64" s="607"/>
      <c r="UUX64" s="607"/>
      <c r="UUY64" s="607"/>
      <c r="UUZ64" s="607"/>
      <c r="UVA64" s="607"/>
      <c r="UVB64" s="607"/>
      <c r="UVC64" s="607"/>
      <c r="UVD64" s="607"/>
      <c r="UVE64" s="607"/>
      <c r="UVF64" s="607"/>
      <c r="UVG64" s="607"/>
      <c r="UVH64" s="607"/>
      <c r="UVI64" s="607"/>
      <c r="UVJ64" s="607"/>
      <c r="UVK64" s="607"/>
      <c r="UVL64" s="607"/>
      <c r="UVM64" s="607"/>
      <c r="UVN64" s="607"/>
      <c r="UVO64" s="607"/>
      <c r="UVP64" s="607"/>
      <c r="UVQ64" s="607"/>
      <c r="UVR64" s="607"/>
      <c r="UVS64" s="607"/>
      <c r="UVT64" s="607"/>
      <c r="UVU64" s="607"/>
      <c r="UVV64" s="607"/>
      <c r="UVW64" s="607"/>
      <c r="UVX64" s="607"/>
      <c r="UVY64" s="607"/>
      <c r="UVZ64" s="607"/>
      <c r="UWA64" s="607"/>
      <c r="UWB64" s="607"/>
      <c r="UWC64" s="607"/>
      <c r="UWD64" s="607"/>
      <c r="UWE64" s="607"/>
      <c r="UWF64" s="607"/>
      <c r="UWG64" s="607"/>
      <c r="UWH64" s="607"/>
      <c r="UWI64" s="607"/>
      <c r="UWJ64" s="607"/>
      <c r="UWK64" s="607"/>
      <c r="UWL64" s="607"/>
      <c r="UWM64" s="607"/>
      <c r="UWN64" s="607"/>
      <c r="UWO64" s="607"/>
      <c r="UWP64" s="607"/>
      <c r="UWQ64" s="607"/>
      <c r="UWR64" s="607"/>
      <c r="UWS64" s="607"/>
      <c r="UWT64" s="607"/>
      <c r="UWU64" s="607"/>
      <c r="UWV64" s="607"/>
      <c r="UWW64" s="607"/>
      <c r="UWX64" s="607"/>
      <c r="UWY64" s="607"/>
      <c r="UWZ64" s="607"/>
      <c r="UXA64" s="607"/>
      <c r="UXB64" s="607"/>
      <c r="UXC64" s="607"/>
      <c r="UXD64" s="607"/>
      <c r="UXE64" s="607"/>
      <c r="UXF64" s="607"/>
      <c r="UXG64" s="607"/>
      <c r="UXH64" s="607"/>
      <c r="UXI64" s="607"/>
      <c r="UXJ64" s="607"/>
      <c r="UXK64" s="607"/>
      <c r="UXL64" s="607"/>
      <c r="UXM64" s="607"/>
      <c r="UXN64" s="607"/>
      <c r="UXO64" s="607"/>
      <c r="UXP64" s="607"/>
      <c r="UXQ64" s="607"/>
      <c r="UXR64" s="607"/>
      <c r="UXS64" s="607"/>
      <c r="UXT64" s="607"/>
      <c r="UXU64" s="607"/>
      <c r="UXV64" s="607"/>
      <c r="UXW64" s="607"/>
      <c r="UXX64" s="607"/>
      <c r="UXY64" s="607"/>
      <c r="UXZ64" s="607"/>
      <c r="UYA64" s="607"/>
      <c r="UYB64" s="607"/>
      <c r="UYC64" s="607"/>
      <c r="UYD64" s="607"/>
      <c r="UYE64" s="607"/>
      <c r="UYF64" s="607"/>
      <c r="UYG64" s="607"/>
      <c r="UYH64" s="607"/>
      <c r="UYI64" s="607"/>
      <c r="UYJ64" s="607"/>
      <c r="UYK64" s="607"/>
      <c r="UYL64" s="607"/>
      <c r="UYM64" s="607"/>
      <c r="UYN64" s="607"/>
      <c r="UYO64" s="607"/>
      <c r="UYP64" s="607"/>
      <c r="UYQ64" s="607"/>
      <c r="UYR64" s="607"/>
      <c r="UYS64" s="607"/>
      <c r="UYT64" s="607"/>
      <c r="UYU64" s="607"/>
      <c r="UYV64" s="607"/>
      <c r="UYW64" s="607"/>
      <c r="UYX64" s="607"/>
      <c r="UYY64" s="607"/>
      <c r="UYZ64" s="607"/>
      <c r="UZA64" s="607"/>
      <c r="UZB64" s="607"/>
      <c r="UZC64" s="607"/>
      <c r="UZD64" s="607"/>
      <c r="UZE64" s="607"/>
      <c r="UZF64" s="607"/>
      <c r="UZG64" s="607"/>
      <c r="UZH64" s="607"/>
      <c r="UZI64" s="607"/>
      <c r="UZJ64" s="607"/>
      <c r="UZK64" s="607"/>
      <c r="UZL64" s="607"/>
      <c r="UZM64" s="607"/>
      <c r="UZN64" s="607"/>
      <c r="UZO64" s="607"/>
      <c r="UZP64" s="607"/>
      <c r="UZQ64" s="607"/>
      <c r="UZR64" s="607"/>
      <c r="UZS64" s="607"/>
      <c r="UZT64" s="607"/>
      <c r="UZU64" s="607"/>
      <c r="UZV64" s="607"/>
      <c r="UZW64" s="607"/>
      <c r="UZX64" s="607"/>
      <c r="UZY64" s="607"/>
      <c r="UZZ64" s="607"/>
      <c r="VAA64" s="607"/>
      <c r="VAB64" s="607"/>
      <c r="VAC64" s="607"/>
      <c r="VAD64" s="607"/>
      <c r="VAE64" s="607"/>
      <c r="VAF64" s="607"/>
      <c r="VAG64" s="607"/>
      <c r="VAH64" s="607"/>
      <c r="VAI64" s="607"/>
      <c r="VAJ64" s="607"/>
      <c r="VAK64" s="607"/>
      <c r="VAL64" s="607"/>
      <c r="VAM64" s="607"/>
      <c r="VAN64" s="607"/>
      <c r="VAO64" s="607"/>
      <c r="VAP64" s="607"/>
      <c r="VAQ64" s="607"/>
      <c r="VAR64" s="607"/>
      <c r="VAS64" s="607"/>
      <c r="VAT64" s="607"/>
      <c r="VAU64" s="607"/>
      <c r="VAV64" s="607"/>
      <c r="VAW64" s="607"/>
      <c r="VAX64" s="607"/>
      <c r="VAY64" s="607"/>
      <c r="VAZ64" s="607"/>
      <c r="VBA64" s="607"/>
      <c r="VBB64" s="607"/>
      <c r="VBC64" s="607"/>
      <c r="VBD64" s="607"/>
      <c r="VBE64" s="607"/>
      <c r="VBF64" s="607"/>
      <c r="VBG64" s="607"/>
      <c r="VBH64" s="607"/>
      <c r="VBI64" s="607"/>
      <c r="VBJ64" s="607"/>
      <c r="VBK64" s="607"/>
      <c r="VBL64" s="607"/>
      <c r="VBM64" s="607"/>
      <c r="VBN64" s="607"/>
      <c r="VBO64" s="607"/>
      <c r="VBP64" s="607"/>
      <c r="VBQ64" s="607"/>
      <c r="VBR64" s="607"/>
      <c r="VBS64" s="607"/>
      <c r="VBT64" s="607"/>
      <c r="VBU64" s="607"/>
      <c r="VBV64" s="607"/>
      <c r="VBW64" s="607"/>
      <c r="VBX64" s="607"/>
      <c r="VBY64" s="607"/>
      <c r="VBZ64" s="607"/>
      <c r="VCA64" s="607"/>
      <c r="VCB64" s="607"/>
      <c r="VCC64" s="607"/>
      <c r="VCD64" s="607"/>
      <c r="VCE64" s="607"/>
      <c r="VCF64" s="607"/>
      <c r="VCG64" s="607"/>
      <c r="VCH64" s="607"/>
      <c r="VCI64" s="607"/>
      <c r="VCJ64" s="607"/>
      <c r="VCK64" s="607"/>
      <c r="VCL64" s="607"/>
      <c r="VCM64" s="607"/>
      <c r="VCN64" s="607"/>
      <c r="VCO64" s="607"/>
      <c r="VCP64" s="607"/>
      <c r="VCQ64" s="607"/>
      <c r="VCR64" s="607"/>
      <c r="VCS64" s="607"/>
      <c r="VCT64" s="607"/>
      <c r="VCU64" s="607"/>
      <c r="VCV64" s="607"/>
      <c r="VCW64" s="607"/>
      <c r="VCX64" s="607"/>
      <c r="VCY64" s="607"/>
      <c r="VCZ64" s="607"/>
      <c r="VDA64" s="607"/>
      <c r="VDB64" s="607"/>
      <c r="VDC64" s="607"/>
      <c r="VDD64" s="607"/>
      <c r="VDE64" s="607"/>
      <c r="VDF64" s="607"/>
      <c r="VDG64" s="607"/>
      <c r="VDH64" s="607"/>
      <c r="VDI64" s="607"/>
      <c r="VDJ64" s="607"/>
      <c r="VDK64" s="607"/>
      <c r="VDL64" s="607"/>
      <c r="VDM64" s="607"/>
      <c r="VDN64" s="607"/>
      <c r="VDO64" s="607"/>
      <c r="VDP64" s="607"/>
      <c r="VDQ64" s="607"/>
      <c r="VDR64" s="607"/>
      <c r="VDS64" s="607"/>
      <c r="VDT64" s="607"/>
      <c r="VDU64" s="607"/>
      <c r="VDV64" s="607"/>
      <c r="VDW64" s="607"/>
      <c r="VDX64" s="607"/>
      <c r="VDY64" s="607"/>
      <c r="VDZ64" s="607"/>
      <c r="VEA64" s="607"/>
      <c r="VEB64" s="607"/>
      <c r="VEC64" s="607"/>
      <c r="VED64" s="607"/>
      <c r="VEE64" s="607"/>
      <c r="VEF64" s="607"/>
      <c r="VEG64" s="607"/>
      <c r="VEH64" s="607"/>
      <c r="VEI64" s="607"/>
      <c r="VEJ64" s="607"/>
      <c r="VEK64" s="607"/>
      <c r="VEL64" s="607"/>
      <c r="VEM64" s="607"/>
      <c r="VEN64" s="607"/>
      <c r="VEO64" s="607"/>
      <c r="VEP64" s="607"/>
      <c r="VEQ64" s="607"/>
      <c r="VER64" s="607"/>
      <c r="VES64" s="607"/>
      <c r="VET64" s="607"/>
      <c r="VEU64" s="607"/>
      <c r="VEV64" s="607"/>
      <c r="VEW64" s="607"/>
      <c r="VEX64" s="607"/>
      <c r="VEY64" s="607"/>
      <c r="VEZ64" s="607"/>
      <c r="VFA64" s="607"/>
      <c r="VFB64" s="607"/>
      <c r="VFC64" s="607"/>
      <c r="VFD64" s="607"/>
      <c r="VFE64" s="607"/>
      <c r="VFF64" s="607"/>
      <c r="VFG64" s="607"/>
      <c r="VFH64" s="607"/>
      <c r="VFI64" s="607"/>
      <c r="VFJ64" s="607"/>
      <c r="VFK64" s="607"/>
      <c r="VFL64" s="607"/>
      <c r="VFM64" s="607"/>
      <c r="VFN64" s="607"/>
      <c r="VFO64" s="607"/>
      <c r="VFP64" s="607"/>
      <c r="VFQ64" s="607"/>
      <c r="VFR64" s="607"/>
      <c r="VFS64" s="607"/>
      <c r="VFT64" s="607"/>
      <c r="VFU64" s="607"/>
      <c r="VFV64" s="607"/>
      <c r="VFW64" s="607"/>
      <c r="VFX64" s="607"/>
      <c r="VFY64" s="607"/>
      <c r="VFZ64" s="607"/>
      <c r="VGA64" s="607"/>
      <c r="VGB64" s="607"/>
      <c r="VGC64" s="607"/>
      <c r="VGD64" s="607"/>
      <c r="VGE64" s="607"/>
      <c r="VGF64" s="607"/>
      <c r="VGG64" s="607"/>
      <c r="VGH64" s="607"/>
      <c r="VGI64" s="607"/>
      <c r="VGJ64" s="607"/>
      <c r="VGK64" s="607"/>
      <c r="VGL64" s="607"/>
      <c r="VGM64" s="607"/>
      <c r="VGN64" s="607"/>
      <c r="VGO64" s="607"/>
      <c r="VGP64" s="607"/>
      <c r="VGQ64" s="607"/>
      <c r="VGR64" s="607"/>
      <c r="VGS64" s="607"/>
      <c r="VGT64" s="607"/>
      <c r="VGU64" s="607"/>
      <c r="VGV64" s="607"/>
      <c r="VGW64" s="607"/>
      <c r="VGX64" s="607"/>
      <c r="VGY64" s="607"/>
      <c r="VGZ64" s="607"/>
      <c r="VHA64" s="607"/>
      <c r="VHB64" s="607"/>
      <c r="VHC64" s="607"/>
      <c r="VHD64" s="607"/>
      <c r="VHE64" s="607"/>
      <c r="VHF64" s="607"/>
      <c r="VHG64" s="607"/>
      <c r="VHH64" s="607"/>
      <c r="VHI64" s="607"/>
      <c r="VHJ64" s="607"/>
      <c r="VHK64" s="607"/>
      <c r="VHL64" s="607"/>
      <c r="VHM64" s="607"/>
      <c r="VHN64" s="607"/>
      <c r="VHO64" s="607"/>
      <c r="VHP64" s="607"/>
      <c r="VHQ64" s="607"/>
      <c r="VHR64" s="607"/>
      <c r="VHS64" s="607"/>
      <c r="VHT64" s="607"/>
      <c r="VHU64" s="607"/>
      <c r="VHV64" s="607"/>
      <c r="VHW64" s="607"/>
      <c r="VHX64" s="607"/>
      <c r="VHY64" s="607"/>
      <c r="VHZ64" s="607"/>
      <c r="VIA64" s="607"/>
      <c r="VIB64" s="607"/>
      <c r="VIC64" s="607"/>
      <c r="VID64" s="607"/>
      <c r="VIE64" s="607"/>
      <c r="VIF64" s="607"/>
      <c r="VIG64" s="607"/>
      <c r="VIH64" s="607"/>
      <c r="VII64" s="607"/>
      <c r="VIJ64" s="607"/>
      <c r="VIK64" s="607"/>
      <c r="VIL64" s="607"/>
      <c r="VIM64" s="607"/>
      <c r="VIN64" s="607"/>
      <c r="VIO64" s="607"/>
      <c r="VIP64" s="607"/>
      <c r="VIQ64" s="607"/>
      <c r="VIR64" s="607"/>
      <c r="VIS64" s="607"/>
      <c r="VIT64" s="607"/>
      <c r="VIU64" s="607"/>
      <c r="VIV64" s="607"/>
      <c r="VIW64" s="607"/>
      <c r="VIX64" s="607"/>
      <c r="VIY64" s="607"/>
      <c r="VIZ64" s="607"/>
      <c r="VJA64" s="607"/>
      <c r="VJB64" s="607"/>
      <c r="VJC64" s="607"/>
      <c r="VJD64" s="607"/>
      <c r="VJE64" s="607"/>
      <c r="VJF64" s="607"/>
      <c r="VJG64" s="607"/>
      <c r="VJH64" s="607"/>
      <c r="VJI64" s="607"/>
      <c r="VJJ64" s="607"/>
      <c r="VJK64" s="607"/>
      <c r="VJL64" s="607"/>
      <c r="VJM64" s="607"/>
      <c r="VJN64" s="607"/>
      <c r="VJO64" s="607"/>
      <c r="VJP64" s="607"/>
      <c r="VJQ64" s="607"/>
      <c r="VJR64" s="607"/>
      <c r="VJS64" s="607"/>
      <c r="VJT64" s="607"/>
      <c r="VJU64" s="607"/>
      <c r="VJV64" s="607"/>
      <c r="VJW64" s="607"/>
      <c r="VJX64" s="607"/>
      <c r="VJY64" s="607"/>
      <c r="VJZ64" s="607"/>
      <c r="VKA64" s="607"/>
      <c r="VKB64" s="607"/>
      <c r="VKC64" s="607"/>
      <c r="VKD64" s="607"/>
      <c r="VKE64" s="607"/>
      <c r="VKF64" s="607"/>
      <c r="VKG64" s="607"/>
      <c r="VKH64" s="607"/>
      <c r="VKI64" s="607"/>
      <c r="VKJ64" s="607"/>
      <c r="VKK64" s="607"/>
      <c r="VKL64" s="607"/>
      <c r="VKM64" s="607"/>
      <c r="VKN64" s="607"/>
      <c r="VKO64" s="607"/>
      <c r="VKP64" s="607"/>
      <c r="VKQ64" s="607"/>
      <c r="VKR64" s="607"/>
      <c r="VKS64" s="607"/>
      <c r="VKT64" s="607"/>
      <c r="VKU64" s="607"/>
      <c r="VKV64" s="607"/>
      <c r="VKW64" s="607"/>
      <c r="VKX64" s="607"/>
      <c r="VKY64" s="607"/>
      <c r="VKZ64" s="607"/>
      <c r="VLA64" s="607"/>
      <c r="VLB64" s="607"/>
      <c r="VLC64" s="607"/>
      <c r="VLD64" s="607"/>
      <c r="VLE64" s="607"/>
      <c r="VLF64" s="607"/>
      <c r="VLG64" s="607"/>
      <c r="VLH64" s="607"/>
      <c r="VLI64" s="607"/>
      <c r="VLJ64" s="607"/>
      <c r="VLK64" s="607"/>
      <c r="VLL64" s="607"/>
      <c r="VLM64" s="607"/>
      <c r="VLN64" s="607"/>
      <c r="VLO64" s="607"/>
      <c r="VLP64" s="607"/>
      <c r="VLQ64" s="607"/>
      <c r="VLR64" s="607"/>
      <c r="VLS64" s="607"/>
      <c r="VLT64" s="607"/>
      <c r="VLU64" s="607"/>
      <c r="VLV64" s="607"/>
      <c r="VLW64" s="607"/>
      <c r="VLX64" s="607"/>
      <c r="VLY64" s="607"/>
      <c r="VLZ64" s="607"/>
      <c r="VMA64" s="607"/>
      <c r="VMB64" s="607"/>
      <c r="VMC64" s="607"/>
      <c r="VMD64" s="607"/>
      <c r="VME64" s="607"/>
      <c r="VMF64" s="607"/>
      <c r="VMG64" s="607"/>
      <c r="VMH64" s="607"/>
      <c r="VMI64" s="607"/>
      <c r="VMJ64" s="607"/>
      <c r="VMK64" s="607"/>
      <c r="VML64" s="607"/>
      <c r="VMM64" s="607"/>
      <c r="VMN64" s="607"/>
      <c r="VMO64" s="607"/>
      <c r="VMP64" s="607"/>
      <c r="VMQ64" s="607"/>
      <c r="VMR64" s="607"/>
      <c r="VMS64" s="607"/>
      <c r="VMT64" s="607"/>
      <c r="VMU64" s="607"/>
      <c r="VMV64" s="607"/>
      <c r="VMW64" s="607"/>
      <c r="VMX64" s="607"/>
      <c r="VMY64" s="607"/>
      <c r="VMZ64" s="607"/>
      <c r="VNA64" s="607"/>
      <c r="VNB64" s="607"/>
      <c r="VNC64" s="607"/>
      <c r="VND64" s="607"/>
      <c r="VNE64" s="607"/>
      <c r="VNF64" s="607"/>
      <c r="VNG64" s="607"/>
      <c r="VNH64" s="607"/>
      <c r="VNI64" s="607"/>
      <c r="VNJ64" s="607"/>
      <c r="VNK64" s="607"/>
      <c r="VNL64" s="607"/>
      <c r="VNM64" s="607"/>
      <c r="VNN64" s="607"/>
      <c r="VNO64" s="607"/>
      <c r="VNP64" s="607"/>
      <c r="VNQ64" s="607"/>
      <c r="VNR64" s="607"/>
      <c r="VNS64" s="607"/>
      <c r="VNT64" s="607"/>
      <c r="VNU64" s="607"/>
      <c r="VNV64" s="607"/>
      <c r="VNW64" s="607"/>
      <c r="VNX64" s="607"/>
      <c r="VNY64" s="607"/>
      <c r="VNZ64" s="607"/>
      <c r="VOA64" s="607"/>
      <c r="VOB64" s="607"/>
      <c r="VOC64" s="607"/>
      <c r="VOD64" s="607"/>
      <c r="VOE64" s="607"/>
      <c r="VOF64" s="607"/>
      <c r="VOG64" s="607"/>
      <c r="VOH64" s="607"/>
      <c r="VOI64" s="607"/>
      <c r="VOJ64" s="607"/>
      <c r="VOK64" s="607"/>
      <c r="VOL64" s="607"/>
      <c r="VOM64" s="607"/>
      <c r="VON64" s="607"/>
      <c r="VOO64" s="607"/>
      <c r="VOP64" s="607"/>
      <c r="VOQ64" s="607"/>
      <c r="VOR64" s="607"/>
      <c r="VOS64" s="607"/>
      <c r="VOT64" s="607"/>
      <c r="VOU64" s="607"/>
      <c r="VOV64" s="607"/>
      <c r="VOW64" s="607"/>
      <c r="VOX64" s="607"/>
      <c r="VOY64" s="607"/>
      <c r="VOZ64" s="607"/>
      <c r="VPA64" s="607"/>
      <c r="VPB64" s="607"/>
      <c r="VPC64" s="607"/>
      <c r="VPD64" s="607"/>
      <c r="VPE64" s="607"/>
      <c r="VPF64" s="607"/>
      <c r="VPG64" s="607"/>
      <c r="VPH64" s="607"/>
      <c r="VPI64" s="607"/>
      <c r="VPJ64" s="607"/>
      <c r="VPK64" s="607"/>
      <c r="VPL64" s="607"/>
      <c r="VPM64" s="607"/>
      <c r="VPN64" s="607"/>
      <c r="VPO64" s="607"/>
      <c r="VPP64" s="607"/>
      <c r="VPQ64" s="607"/>
      <c r="VPR64" s="607"/>
      <c r="VPS64" s="607"/>
      <c r="VPT64" s="607"/>
      <c r="VPU64" s="607"/>
      <c r="VPV64" s="607"/>
      <c r="VPW64" s="607"/>
      <c r="VPX64" s="607"/>
      <c r="VPY64" s="607"/>
      <c r="VPZ64" s="607"/>
      <c r="VQA64" s="607"/>
      <c r="VQB64" s="607"/>
      <c r="VQC64" s="607"/>
      <c r="VQD64" s="607"/>
      <c r="VQE64" s="607"/>
      <c r="VQF64" s="607"/>
      <c r="VQG64" s="607"/>
      <c r="VQH64" s="607"/>
      <c r="VQI64" s="607"/>
      <c r="VQJ64" s="607"/>
      <c r="VQK64" s="607"/>
      <c r="VQL64" s="607"/>
      <c r="VQM64" s="607"/>
      <c r="VQN64" s="607"/>
      <c r="VQO64" s="607"/>
      <c r="VQP64" s="607"/>
      <c r="VQQ64" s="607"/>
      <c r="VQR64" s="607"/>
      <c r="VQS64" s="607"/>
      <c r="VQT64" s="607"/>
      <c r="VQU64" s="607"/>
      <c r="VQV64" s="607"/>
      <c r="VQW64" s="607"/>
      <c r="VQX64" s="607"/>
      <c r="VQY64" s="607"/>
      <c r="VQZ64" s="607"/>
      <c r="VRA64" s="607"/>
      <c r="VRB64" s="607"/>
      <c r="VRC64" s="607"/>
      <c r="VRD64" s="607"/>
      <c r="VRE64" s="607"/>
      <c r="VRF64" s="607"/>
      <c r="VRG64" s="607"/>
      <c r="VRH64" s="607"/>
      <c r="VRI64" s="607"/>
      <c r="VRJ64" s="607"/>
      <c r="VRK64" s="607"/>
      <c r="VRL64" s="607"/>
      <c r="VRM64" s="607"/>
      <c r="VRN64" s="607"/>
      <c r="VRO64" s="607"/>
      <c r="VRP64" s="607"/>
      <c r="VRQ64" s="607"/>
      <c r="VRR64" s="607"/>
      <c r="VRS64" s="607"/>
      <c r="VRT64" s="607"/>
      <c r="VRU64" s="607"/>
      <c r="VRV64" s="607"/>
      <c r="VRW64" s="607"/>
      <c r="VRX64" s="607"/>
      <c r="VRY64" s="607"/>
      <c r="VRZ64" s="607"/>
      <c r="VSA64" s="607"/>
      <c r="VSB64" s="607"/>
      <c r="VSC64" s="607"/>
      <c r="VSD64" s="607"/>
      <c r="VSE64" s="607"/>
      <c r="VSF64" s="607"/>
      <c r="VSG64" s="607"/>
      <c r="VSH64" s="607"/>
      <c r="VSI64" s="607"/>
      <c r="VSJ64" s="607"/>
      <c r="VSK64" s="607"/>
      <c r="VSL64" s="607"/>
      <c r="VSM64" s="607"/>
      <c r="VSN64" s="607"/>
      <c r="VSO64" s="607"/>
      <c r="VSP64" s="607"/>
      <c r="VSQ64" s="607"/>
      <c r="VSR64" s="607"/>
      <c r="VSS64" s="607"/>
      <c r="VST64" s="607"/>
      <c r="VSU64" s="607"/>
      <c r="VSV64" s="607"/>
      <c r="VSW64" s="607"/>
      <c r="VSX64" s="607"/>
      <c r="VSY64" s="607"/>
      <c r="VSZ64" s="607"/>
      <c r="VTA64" s="607"/>
      <c r="VTB64" s="607"/>
      <c r="VTC64" s="607"/>
      <c r="VTD64" s="607"/>
      <c r="VTE64" s="607"/>
      <c r="VTF64" s="607"/>
      <c r="VTG64" s="607"/>
      <c r="VTH64" s="607"/>
      <c r="VTI64" s="607"/>
      <c r="VTJ64" s="607"/>
      <c r="VTK64" s="607"/>
      <c r="VTL64" s="607"/>
      <c r="VTM64" s="607"/>
      <c r="VTN64" s="607"/>
      <c r="VTO64" s="607"/>
      <c r="VTP64" s="607"/>
      <c r="VTQ64" s="607"/>
      <c r="VTR64" s="607"/>
      <c r="VTS64" s="607"/>
      <c r="VTT64" s="607"/>
      <c r="VTU64" s="607"/>
      <c r="VTV64" s="607"/>
      <c r="VTW64" s="607"/>
      <c r="VTX64" s="607"/>
      <c r="VTY64" s="607"/>
      <c r="VTZ64" s="607"/>
      <c r="VUA64" s="607"/>
      <c r="VUB64" s="607"/>
      <c r="VUC64" s="607"/>
      <c r="VUD64" s="607"/>
      <c r="VUE64" s="607"/>
      <c r="VUF64" s="607"/>
      <c r="VUG64" s="607"/>
      <c r="VUH64" s="607"/>
      <c r="VUI64" s="607"/>
      <c r="VUJ64" s="607"/>
      <c r="VUK64" s="607"/>
      <c r="VUL64" s="607"/>
      <c r="VUM64" s="607"/>
      <c r="VUN64" s="607"/>
      <c r="VUO64" s="607"/>
      <c r="VUP64" s="607"/>
      <c r="VUQ64" s="607"/>
      <c r="VUR64" s="607"/>
      <c r="VUS64" s="607"/>
      <c r="VUT64" s="607"/>
      <c r="VUU64" s="607"/>
      <c r="VUV64" s="607"/>
      <c r="VUW64" s="607"/>
      <c r="VUX64" s="607"/>
      <c r="VUY64" s="607"/>
      <c r="VUZ64" s="607"/>
      <c r="VVA64" s="607"/>
      <c r="VVB64" s="607"/>
      <c r="VVC64" s="607"/>
      <c r="VVD64" s="607"/>
      <c r="VVE64" s="607"/>
      <c r="VVF64" s="607"/>
      <c r="VVG64" s="607"/>
      <c r="VVH64" s="607"/>
      <c r="VVI64" s="607"/>
      <c r="VVJ64" s="607"/>
      <c r="VVK64" s="607"/>
      <c r="VVL64" s="607"/>
      <c r="VVM64" s="607"/>
      <c r="VVN64" s="607"/>
      <c r="VVO64" s="607"/>
      <c r="VVP64" s="607"/>
      <c r="VVQ64" s="607"/>
      <c r="VVR64" s="607"/>
      <c r="VVS64" s="607"/>
      <c r="VVT64" s="607"/>
      <c r="VVU64" s="607"/>
      <c r="VVV64" s="607"/>
      <c r="VVW64" s="607"/>
      <c r="VVX64" s="607"/>
      <c r="VVY64" s="607"/>
      <c r="VVZ64" s="607"/>
      <c r="VWA64" s="607"/>
      <c r="VWB64" s="607"/>
      <c r="VWC64" s="607"/>
      <c r="VWD64" s="607"/>
      <c r="VWE64" s="607"/>
      <c r="VWF64" s="607"/>
      <c r="VWG64" s="607"/>
      <c r="VWH64" s="607"/>
      <c r="VWI64" s="607"/>
      <c r="VWJ64" s="607"/>
      <c r="VWK64" s="607"/>
      <c r="VWL64" s="607"/>
      <c r="VWM64" s="607"/>
      <c r="VWN64" s="607"/>
      <c r="VWO64" s="607"/>
      <c r="VWP64" s="607"/>
      <c r="VWQ64" s="607"/>
      <c r="VWR64" s="607"/>
      <c r="VWS64" s="607"/>
      <c r="VWT64" s="607"/>
      <c r="VWU64" s="607"/>
      <c r="VWV64" s="607"/>
      <c r="VWW64" s="607"/>
      <c r="VWX64" s="607"/>
      <c r="VWY64" s="607"/>
      <c r="VWZ64" s="607"/>
      <c r="VXA64" s="607"/>
      <c r="VXB64" s="607"/>
      <c r="VXC64" s="607"/>
      <c r="VXD64" s="607"/>
      <c r="VXE64" s="607"/>
      <c r="VXF64" s="607"/>
      <c r="VXG64" s="607"/>
      <c r="VXH64" s="607"/>
      <c r="VXI64" s="607"/>
      <c r="VXJ64" s="607"/>
      <c r="VXK64" s="607"/>
      <c r="VXL64" s="607"/>
      <c r="VXM64" s="607"/>
      <c r="VXN64" s="607"/>
      <c r="VXO64" s="607"/>
      <c r="VXP64" s="607"/>
      <c r="VXQ64" s="607"/>
      <c r="VXR64" s="607"/>
      <c r="VXS64" s="607"/>
      <c r="VXT64" s="607"/>
      <c r="VXU64" s="607"/>
      <c r="VXV64" s="607"/>
      <c r="VXW64" s="607"/>
      <c r="VXX64" s="607"/>
      <c r="VXY64" s="607"/>
      <c r="VXZ64" s="607"/>
      <c r="VYA64" s="607"/>
      <c r="VYB64" s="607"/>
      <c r="VYC64" s="607"/>
      <c r="VYD64" s="607"/>
      <c r="VYE64" s="607"/>
      <c r="VYF64" s="607"/>
      <c r="VYG64" s="607"/>
      <c r="VYH64" s="607"/>
      <c r="VYI64" s="607"/>
      <c r="VYJ64" s="607"/>
      <c r="VYK64" s="607"/>
      <c r="VYL64" s="607"/>
      <c r="VYM64" s="607"/>
      <c r="VYN64" s="607"/>
      <c r="VYO64" s="607"/>
      <c r="VYP64" s="607"/>
      <c r="VYQ64" s="607"/>
      <c r="VYR64" s="607"/>
      <c r="VYS64" s="607"/>
      <c r="VYT64" s="607"/>
      <c r="VYU64" s="607"/>
      <c r="VYV64" s="607"/>
      <c r="VYW64" s="607"/>
      <c r="VYX64" s="607"/>
      <c r="VYY64" s="607"/>
      <c r="VYZ64" s="607"/>
      <c r="VZA64" s="607"/>
      <c r="VZB64" s="607"/>
      <c r="VZC64" s="607"/>
      <c r="VZD64" s="607"/>
      <c r="VZE64" s="607"/>
      <c r="VZF64" s="607"/>
      <c r="VZG64" s="607"/>
      <c r="VZH64" s="607"/>
      <c r="VZI64" s="607"/>
      <c r="VZJ64" s="607"/>
      <c r="VZK64" s="607"/>
      <c r="VZL64" s="607"/>
      <c r="VZM64" s="607"/>
      <c r="VZN64" s="607"/>
      <c r="VZO64" s="607"/>
      <c r="VZP64" s="607"/>
      <c r="VZQ64" s="607"/>
      <c r="VZR64" s="607"/>
      <c r="VZS64" s="607"/>
      <c r="VZT64" s="607"/>
      <c r="VZU64" s="607"/>
      <c r="VZV64" s="607"/>
      <c r="VZW64" s="607"/>
      <c r="VZX64" s="607"/>
      <c r="VZY64" s="607"/>
      <c r="VZZ64" s="607"/>
      <c r="WAA64" s="607"/>
      <c r="WAB64" s="607"/>
      <c r="WAC64" s="607"/>
      <c r="WAD64" s="607"/>
      <c r="WAE64" s="607"/>
      <c r="WAF64" s="607"/>
      <c r="WAG64" s="607"/>
      <c r="WAH64" s="607"/>
      <c r="WAI64" s="607"/>
      <c r="WAJ64" s="607"/>
      <c r="WAK64" s="607"/>
      <c r="WAL64" s="607"/>
      <c r="WAM64" s="607"/>
      <c r="WAN64" s="607"/>
      <c r="WAO64" s="607"/>
      <c r="WAP64" s="607"/>
      <c r="WAQ64" s="607"/>
      <c r="WAR64" s="607"/>
      <c r="WAS64" s="607"/>
      <c r="WAT64" s="607"/>
      <c r="WAU64" s="607"/>
      <c r="WAV64" s="607"/>
      <c r="WAW64" s="607"/>
      <c r="WAX64" s="607"/>
      <c r="WAY64" s="607"/>
      <c r="WAZ64" s="607"/>
      <c r="WBA64" s="607"/>
      <c r="WBB64" s="607"/>
      <c r="WBC64" s="607"/>
      <c r="WBD64" s="607"/>
      <c r="WBE64" s="607"/>
      <c r="WBF64" s="607"/>
      <c r="WBG64" s="607"/>
      <c r="WBH64" s="607"/>
      <c r="WBI64" s="607"/>
      <c r="WBJ64" s="607"/>
      <c r="WBK64" s="607"/>
      <c r="WBL64" s="607"/>
      <c r="WBM64" s="607"/>
      <c r="WBN64" s="607"/>
      <c r="WBO64" s="607"/>
      <c r="WBP64" s="607"/>
      <c r="WBQ64" s="607"/>
      <c r="WBR64" s="607"/>
      <c r="WBS64" s="607"/>
      <c r="WBT64" s="607"/>
      <c r="WBU64" s="607"/>
      <c r="WBV64" s="607"/>
      <c r="WBW64" s="607"/>
      <c r="WBX64" s="607"/>
      <c r="WBY64" s="607"/>
      <c r="WBZ64" s="607"/>
      <c r="WCA64" s="607"/>
      <c r="WCB64" s="607"/>
      <c r="WCC64" s="607"/>
      <c r="WCD64" s="607"/>
      <c r="WCE64" s="607"/>
      <c r="WCF64" s="607"/>
      <c r="WCG64" s="607"/>
      <c r="WCH64" s="607"/>
      <c r="WCI64" s="607"/>
      <c r="WCJ64" s="607"/>
      <c r="WCK64" s="607"/>
      <c r="WCL64" s="607"/>
      <c r="WCM64" s="607"/>
      <c r="WCN64" s="607"/>
      <c r="WCO64" s="607"/>
      <c r="WCP64" s="607"/>
      <c r="WCQ64" s="607"/>
      <c r="WCR64" s="607"/>
      <c r="WCS64" s="607"/>
      <c r="WCT64" s="607"/>
      <c r="WCU64" s="607"/>
      <c r="WCV64" s="607"/>
      <c r="WCW64" s="607"/>
      <c r="WCX64" s="607"/>
      <c r="WCY64" s="607"/>
      <c r="WCZ64" s="607"/>
      <c r="WDA64" s="607"/>
      <c r="WDB64" s="607"/>
      <c r="WDC64" s="607"/>
      <c r="WDD64" s="607"/>
      <c r="WDE64" s="607"/>
      <c r="WDF64" s="607"/>
      <c r="WDG64" s="607"/>
      <c r="WDH64" s="607"/>
      <c r="WDI64" s="607"/>
      <c r="WDJ64" s="607"/>
      <c r="WDK64" s="607"/>
      <c r="WDL64" s="607"/>
      <c r="WDM64" s="607"/>
      <c r="WDN64" s="607"/>
      <c r="WDO64" s="607"/>
      <c r="WDP64" s="607"/>
      <c r="WDQ64" s="607"/>
      <c r="WDR64" s="607"/>
      <c r="WDS64" s="607"/>
      <c r="WDT64" s="607"/>
      <c r="WDU64" s="607"/>
      <c r="WDV64" s="607"/>
      <c r="WDW64" s="607"/>
      <c r="WDX64" s="607"/>
      <c r="WDY64" s="607"/>
      <c r="WDZ64" s="607"/>
      <c r="WEA64" s="607"/>
      <c r="WEB64" s="607"/>
      <c r="WEC64" s="607"/>
      <c r="WED64" s="607"/>
      <c r="WEE64" s="607"/>
      <c r="WEF64" s="607"/>
      <c r="WEG64" s="607"/>
      <c r="WEH64" s="607"/>
      <c r="WEI64" s="607"/>
      <c r="WEJ64" s="607"/>
      <c r="WEK64" s="607"/>
      <c r="WEL64" s="607"/>
      <c r="WEM64" s="607"/>
      <c r="WEN64" s="607"/>
      <c r="WEO64" s="607"/>
      <c r="WEP64" s="607"/>
      <c r="WEQ64" s="607"/>
      <c r="WER64" s="607"/>
      <c r="WES64" s="607"/>
      <c r="WET64" s="607"/>
      <c r="WEU64" s="607"/>
      <c r="WEV64" s="607"/>
      <c r="WEW64" s="607"/>
      <c r="WEX64" s="607"/>
      <c r="WEY64" s="607"/>
      <c r="WEZ64" s="607"/>
      <c r="WFA64" s="607"/>
      <c r="WFB64" s="607"/>
      <c r="WFC64" s="607"/>
      <c r="WFD64" s="607"/>
      <c r="WFE64" s="607"/>
      <c r="WFF64" s="607"/>
      <c r="WFG64" s="607"/>
      <c r="WFH64" s="607"/>
      <c r="WFI64" s="607"/>
      <c r="WFJ64" s="607"/>
      <c r="WFK64" s="607"/>
      <c r="WFL64" s="607"/>
      <c r="WFM64" s="607"/>
      <c r="WFN64" s="607"/>
      <c r="WFO64" s="607"/>
      <c r="WFP64" s="607"/>
      <c r="WFQ64" s="607"/>
      <c r="WFR64" s="607"/>
      <c r="WFS64" s="607"/>
      <c r="WFT64" s="607"/>
      <c r="WFU64" s="607"/>
      <c r="WFV64" s="607"/>
      <c r="WFW64" s="607"/>
      <c r="WFX64" s="607"/>
      <c r="WFY64" s="607"/>
      <c r="WFZ64" s="607"/>
      <c r="WGA64" s="607"/>
      <c r="WGB64" s="607"/>
      <c r="WGC64" s="607"/>
      <c r="WGD64" s="607"/>
      <c r="WGE64" s="607"/>
      <c r="WGF64" s="607"/>
      <c r="WGG64" s="607"/>
      <c r="WGH64" s="607"/>
      <c r="WGI64" s="607"/>
      <c r="WGJ64" s="607"/>
      <c r="WGK64" s="607"/>
      <c r="WGL64" s="607"/>
      <c r="WGM64" s="607"/>
      <c r="WGN64" s="607"/>
      <c r="WGO64" s="607"/>
      <c r="WGP64" s="607"/>
      <c r="WGQ64" s="607"/>
      <c r="WGR64" s="607"/>
      <c r="WGS64" s="607"/>
      <c r="WGT64" s="607"/>
      <c r="WGU64" s="607"/>
      <c r="WGV64" s="607"/>
      <c r="WGW64" s="607"/>
      <c r="WGX64" s="607"/>
      <c r="WGY64" s="607"/>
      <c r="WGZ64" s="607"/>
      <c r="WHA64" s="607"/>
      <c r="WHB64" s="607"/>
      <c r="WHC64" s="607"/>
      <c r="WHD64" s="607"/>
      <c r="WHE64" s="607"/>
      <c r="WHF64" s="607"/>
      <c r="WHG64" s="607"/>
      <c r="WHH64" s="607"/>
      <c r="WHI64" s="607"/>
      <c r="WHJ64" s="607"/>
      <c r="WHK64" s="607"/>
      <c r="WHL64" s="607"/>
      <c r="WHM64" s="607"/>
      <c r="WHN64" s="607"/>
      <c r="WHO64" s="607"/>
      <c r="WHP64" s="607"/>
      <c r="WHQ64" s="607"/>
      <c r="WHR64" s="607"/>
      <c r="WHS64" s="607"/>
      <c r="WHT64" s="607"/>
      <c r="WHU64" s="607"/>
      <c r="WHV64" s="607"/>
      <c r="WHW64" s="607"/>
      <c r="WHX64" s="607"/>
      <c r="WHY64" s="607"/>
      <c r="WHZ64" s="607"/>
      <c r="WIA64" s="607"/>
      <c r="WIB64" s="607"/>
      <c r="WIC64" s="607"/>
      <c r="WID64" s="607"/>
      <c r="WIE64" s="607"/>
      <c r="WIF64" s="607"/>
      <c r="WIG64" s="607"/>
      <c r="WIH64" s="607"/>
      <c r="WII64" s="607"/>
      <c r="WIJ64" s="607"/>
      <c r="WIK64" s="607"/>
      <c r="WIL64" s="607"/>
      <c r="WIM64" s="607"/>
      <c r="WIN64" s="607"/>
      <c r="WIO64" s="607"/>
      <c r="WIP64" s="607"/>
      <c r="WIQ64" s="607"/>
      <c r="WIR64" s="607"/>
      <c r="WIS64" s="607"/>
      <c r="WIT64" s="607"/>
      <c r="WIU64" s="607"/>
      <c r="WIV64" s="607"/>
      <c r="WIW64" s="607"/>
      <c r="WIX64" s="607"/>
      <c r="WIY64" s="607"/>
      <c r="WIZ64" s="607"/>
      <c r="WJA64" s="607"/>
      <c r="WJB64" s="607"/>
      <c r="WJC64" s="607"/>
      <c r="WJD64" s="607"/>
      <c r="WJE64" s="607"/>
      <c r="WJF64" s="607"/>
      <c r="WJG64" s="607"/>
      <c r="WJH64" s="607"/>
      <c r="WJI64" s="607"/>
      <c r="WJJ64" s="607"/>
      <c r="WJK64" s="607"/>
      <c r="WJL64" s="607"/>
      <c r="WJM64" s="607"/>
      <c r="WJN64" s="607"/>
      <c r="WJO64" s="607"/>
      <c r="WJP64" s="607"/>
      <c r="WJQ64" s="607"/>
      <c r="WJR64" s="607"/>
      <c r="WJS64" s="607"/>
      <c r="WJT64" s="607"/>
      <c r="WJU64" s="607"/>
      <c r="WJV64" s="607"/>
      <c r="WJW64" s="607"/>
      <c r="WJX64" s="607"/>
      <c r="WJY64" s="607"/>
      <c r="WJZ64" s="607"/>
      <c r="WKA64" s="607"/>
      <c r="WKB64" s="607"/>
      <c r="WKC64" s="607"/>
      <c r="WKD64" s="607"/>
      <c r="WKE64" s="607"/>
      <c r="WKF64" s="607"/>
      <c r="WKG64" s="607"/>
      <c r="WKH64" s="607"/>
      <c r="WKI64" s="607"/>
      <c r="WKJ64" s="607"/>
      <c r="WKK64" s="607"/>
      <c r="WKL64" s="607"/>
      <c r="WKM64" s="607"/>
      <c r="WKN64" s="607"/>
      <c r="WKO64" s="607"/>
      <c r="WKP64" s="607"/>
      <c r="WKQ64" s="607"/>
      <c r="WKR64" s="607"/>
      <c r="WKS64" s="607"/>
      <c r="WKT64" s="607"/>
      <c r="WKU64" s="607"/>
      <c r="WKV64" s="607"/>
      <c r="WKW64" s="607"/>
      <c r="WKX64" s="607"/>
      <c r="WKY64" s="607"/>
      <c r="WKZ64" s="607"/>
      <c r="WLA64" s="607"/>
      <c r="WLB64" s="607"/>
      <c r="WLC64" s="607"/>
      <c r="WLD64" s="607"/>
      <c r="WLE64" s="607"/>
      <c r="WLF64" s="607"/>
      <c r="WLG64" s="607"/>
      <c r="WLH64" s="607"/>
      <c r="WLI64" s="607"/>
      <c r="WLJ64" s="607"/>
      <c r="WLK64" s="607"/>
      <c r="WLL64" s="607"/>
      <c r="WLM64" s="607"/>
      <c r="WLN64" s="607"/>
      <c r="WLO64" s="607"/>
      <c r="WLP64" s="607"/>
      <c r="WLQ64" s="607"/>
      <c r="WLR64" s="607"/>
      <c r="WLS64" s="607"/>
      <c r="WLT64" s="607"/>
      <c r="WLU64" s="607"/>
      <c r="WLV64" s="607"/>
      <c r="WLW64" s="607"/>
      <c r="WLX64" s="607"/>
      <c r="WLY64" s="607"/>
      <c r="WLZ64" s="607"/>
      <c r="WMA64" s="607"/>
      <c r="WMB64" s="607"/>
      <c r="WMC64" s="607"/>
      <c r="WMD64" s="607"/>
      <c r="WME64" s="607"/>
      <c r="WMF64" s="607"/>
      <c r="WMG64" s="607"/>
      <c r="WMH64" s="607"/>
      <c r="WMI64" s="607"/>
      <c r="WMJ64" s="607"/>
      <c r="WMK64" s="607"/>
      <c r="WML64" s="607"/>
      <c r="WMM64" s="607"/>
      <c r="WMN64" s="607"/>
      <c r="WMO64" s="607"/>
      <c r="WMP64" s="607"/>
      <c r="WMQ64" s="607"/>
      <c r="WMR64" s="607"/>
      <c r="WMS64" s="607"/>
      <c r="WMT64" s="607"/>
      <c r="WMU64" s="607"/>
      <c r="WMV64" s="607"/>
      <c r="WMW64" s="607"/>
      <c r="WMX64" s="607"/>
      <c r="WMY64" s="607"/>
      <c r="WMZ64" s="607"/>
      <c r="WNA64" s="607"/>
      <c r="WNB64" s="607"/>
      <c r="WNC64" s="607"/>
      <c r="WND64" s="607"/>
      <c r="WNE64" s="607"/>
      <c r="WNF64" s="607"/>
      <c r="WNG64" s="607"/>
      <c r="WNH64" s="607"/>
      <c r="WNI64" s="607"/>
      <c r="WNJ64" s="607"/>
      <c r="WNK64" s="607"/>
      <c r="WNL64" s="607"/>
      <c r="WNM64" s="607"/>
      <c r="WNN64" s="607"/>
      <c r="WNO64" s="607"/>
      <c r="WNP64" s="607"/>
      <c r="WNQ64" s="607"/>
      <c r="WNR64" s="607"/>
      <c r="WNS64" s="607"/>
      <c r="WNT64" s="607"/>
      <c r="WNU64" s="607"/>
      <c r="WNV64" s="607"/>
      <c r="WNW64" s="607"/>
      <c r="WNX64" s="607"/>
      <c r="WNY64" s="607"/>
      <c r="WNZ64" s="607"/>
      <c r="WOA64" s="607"/>
      <c r="WOB64" s="607"/>
      <c r="WOC64" s="607"/>
      <c r="WOD64" s="607"/>
      <c r="WOE64" s="607"/>
      <c r="WOF64" s="607"/>
      <c r="WOG64" s="607"/>
      <c r="WOH64" s="607"/>
      <c r="WOI64" s="607"/>
      <c r="WOJ64" s="607"/>
      <c r="WOK64" s="607"/>
      <c r="WOL64" s="607"/>
      <c r="WOM64" s="607"/>
      <c r="WON64" s="607"/>
      <c r="WOO64" s="607"/>
      <c r="WOP64" s="607"/>
      <c r="WOQ64" s="607"/>
      <c r="WOR64" s="607"/>
      <c r="WOS64" s="607"/>
      <c r="WOT64" s="607"/>
      <c r="WOU64" s="607"/>
      <c r="WOV64" s="607"/>
      <c r="WOW64" s="607"/>
      <c r="WOX64" s="607"/>
      <c r="WOY64" s="607"/>
      <c r="WOZ64" s="607"/>
      <c r="WPA64" s="607"/>
      <c r="WPB64" s="607"/>
      <c r="WPC64" s="607"/>
      <c r="WPD64" s="607"/>
      <c r="WPE64" s="607"/>
      <c r="WPF64" s="607"/>
      <c r="WPG64" s="607"/>
      <c r="WPH64" s="607"/>
      <c r="WPI64" s="607"/>
      <c r="WPJ64" s="607"/>
      <c r="WPK64" s="607"/>
      <c r="WPL64" s="607"/>
      <c r="WPM64" s="607"/>
      <c r="WPN64" s="607"/>
      <c r="WPO64" s="607"/>
      <c r="WPP64" s="607"/>
      <c r="WPQ64" s="607"/>
      <c r="WPR64" s="607"/>
      <c r="WPS64" s="607"/>
      <c r="WPT64" s="607"/>
      <c r="WPU64" s="607"/>
      <c r="WPV64" s="607"/>
      <c r="WPW64" s="607"/>
      <c r="WPX64" s="607"/>
      <c r="WPY64" s="607"/>
      <c r="WPZ64" s="607"/>
      <c r="WQA64" s="607"/>
      <c r="WQB64" s="607"/>
      <c r="WQC64" s="607"/>
      <c r="WQD64" s="607"/>
      <c r="WQE64" s="607"/>
      <c r="WQF64" s="607"/>
      <c r="WQG64" s="607"/>
      <c r="WQH64" s="607"/>
      <c r="WQI64" s="607"/>
      <c r="WQJ64" s="607"/>
      <c r="WQK64" s="607"/>
      <c r="WQL64" s="607"/>
      <c r="WQM64" s="607"/>
      <c r="WQN64" s="607"/>
      <c r="WQO64" s="607"/>
      <c r="WQP64" s="607"/>
      <c r="WQQ64" s="607"/>
      <c r="WQR64" s="607"/>
      <c r="WQS64" s="607"/>
      <c r="WQT64" s="607"/>
      <c r="WQU64" s="607"/>
      <c r="WQV64" s="607"/>
      <c r="WQW64" s="607"/>
      <c r="WQX64" s="607"/>
      <c r="WQY64" s="607"/>
      <c r="WQZ64" s="607"/>
      <c r="WRA64" s="607"/>
      <c r="WRB64" s="607"/>
      <c r="WRC64" s="607"/>
      <c r="WRD64" s="607"/>
      <c r="WRE64" s="607"/>
      <c r="WRF64" s="607"/>
      <c r="WRG64" s="607"/>
      <c r="WRH64" s="607"/>
      <c r="WRI64" s="607"/>
      <c r="WRJ64" s="607"/>
      <c r="WRK64" s="607"/>
      <c r="WRL64" s="607"/>
      <c r="WRM64" s="607"/>
      <c r="WRN64" s="607"/>
      <c r="WRO64" s="607"/>
      <c r="WRP64" s="607"/>
      <c r="WRQ64" s="607"/>
      <c r="WRR64" s="607"/>
      <c r="WRS64" s="607"/>
      <c r="WRT64" s="607"/>
      <c r="WRU64" s="607"/>
      <c r="WRV64" s="607"/>
      <c r="WRW64" s="607"/>
      <c r="WRX64" s="607"/>
      <c r="WRY64" s="607"/>
      <c r="WRZ64" s="607"/>
      <c r="WSA64" s="607"/>
      <c r="WSB64" s="607"/>
      <c r="WSC64" s="607"/>
      <c r="WSD64" s="607"/>
      <c r="WSE64" s="607"/>
      <c r="WSF64" s="607"/>
      <c r="WSG64" s="607"/>
      <c r="WSH64" s="607"/>
      <c r="WSI64" s="607"/>
      <c r="WSJ64" s="607"/>
      <c r="WSK64" s="607"/>
      <c r="WSL64" s="607"/>
      <c r="WSM64" s="607"/>
      <c r="WSN64" s="607"/>
      <c r="WSO64" s="607"/>
      <c r="WSP64" s="607"/>
      <c r="WSQ64" s="607"/>
      <c r="WSR64" s="607"/>
      <c r="WSS64" s="607"/>
      <c r="WST64" s="607"/>
      <c r="WSU64" s="607"/>
      <c r="WSV64" s="607"/>
      <c r="WSW64" s="607"/>
      <c r="WSX64" s="607"/>
      <c r="WSY64" s="607"/>
      <c r="WSZ64" s="607"/>
      <c r="WTA64" s="607"/>
      <c r="WTB64" s="607"/>
      <c r="WTC64" s="607"/>
      <c r="WTD64" s="607"/>
      <c r="WTE64" s="607"/>
      <c r="WTF64" s="607"/>
      <c r="WTG64" s="607"/>
      <c r="WTH64" s="607"/>
      <c r="WTI64" s="607"/>
      <c r="WTJ64" s="607"/>
      <c r="WTK64" s="607"/>
      <c r="WTL64" s="607"/>
      <c r="WTM64" s="607"/>
      <c r="WTN64" s="607"/>
      <c r="WTO64" s="607"/>
      <c r="WTP64" s="607"/>
      <c r="WTQ64" s="607"/>
      <c r="WTR64" s="607"/>
      <c r="WTS64" s="607"/>
      <c r="WTT64" s="607"/>
      <c r="WTU64" s="607"/>
      <c r="WTV64" s="607"/>
      <c r="WTW64" s="607"/>
      <c r="WTX64" s="607"/>
      <c r="WTY64" s="607"/>
      <c r="WTZ64" s="607"/>
      <c r="WUA64" s="607"/>
      <c r="WUB64" s="607"/>
      <c r="WUC64" s="607"/>
      <c r="WUD64" s="607"/>
      <c r="WUE64" s="607"/>
      <c r="WUF64" s="607"/>
      <c r="WUG64" s="607"/>
      <c r="WUH64" s="607"/>
      <c r="WUI64" s="607"/>
      <c r="WUJ64" s="607"/>
      <c r="WUK64" s="607"/>
      <c r="WUL64" s="607"/>
      <c r="WUM64" s="607"/>
      <c r="WUN64" s="607"/>
      <c r="WUO64" s="607"/>
      <c r="WUP64" s="607"/>
      <c r="WUQ64" s="607"/>
      <c r="WUR64" s="607"/>
      <c r="WUS64" s="607"/>
      <c r="WUT64" s="607"/>
      <c r="WUU64" s="607"/>
      <c r="WUV64" s="607"/>
      <c r="WUW64" s="607"/>
      <c r="WUX64" s="607"/>
      <c r="WUY64" s="607"/>
      <c r="WUZ64" s="607"/>
      <c r="WVA64" s="607"/>
      <c r="WVB64" s="607"/>
      <c r="WVC64" s="607"/>
      <c r="WVD64" s="607"/>
      <c r="WVE64" s="607"/>
      <c r="WVF64" s="607"/>
      <c r="WVG64" s="607"/>
      <c r="WVH64" s="607"/>
      <c r="WVI64" s="607"/>
      <c r="WVJ64" s="607"/>
      <c r="WVK64" s="607"/>
      <c r="WVL64" s="607"/>
      <c r="WVM64" s="607"/>
      <c r="WVN64" s="607"/>
      <c r="WVO64" s="607"/>
      <c r="WVP64" s="607"/>
      <c r="WVQ64" s="607"/>
      <c r="WVR64" s="607"/>
      <c r="WVS64" s="607"/>
      <c r="WVT64" s="607"/>
      <c r="WVU64" s="607"/>
      <c r="WVV64" s="607"/>
      <c r="WVW64" s="607"/>
      <c r="WVX64" s="607"/>
      <c r="WVY64" s="607"/>
      <c r="WVZ64" s="607"/>
      <c r="WWA64" s="607"/>
      <c r="WWB64" s="607"/>
      <c r="WWC64" s="607"/>
      <c r="WWD64" s="607"/>
      <c r="WWE64" s="607"/>
      <c r="WWF64" s="607"/>
      <c r="WWG64" s="607"/>
      <c r="WWH64" s="607"/>
      <c r="WWI64" s="607"/>
      <c r="WWJ64" s="607"/>
      <c r="WWK64" s="607"/>
      <c r="WWL64" s="607"/>
      <c r="WWM64" s="607"/>
      <c r="WWN64" s="607"/>
      <c r="WWO64" s="607"/>
      <c r="WWP64" s="607"/>
      <c r="WWQ64" s="607"/>
      <c r="WWR64" s="607"/>
      <c r="WWS64" s="607"/>
      <c r="WWT64" s="607"/>
      <c r="WWU64" s="607"/>
      <c r="WWV64" s="607"/>
      <c r="WWW64" s="607"/>
      <c r="WWX64" s="607"/>
      <c r="WWY64" s="607"/>
      <c r="WWZ64" s="607"/>
      <c r="WXA64" s="607"/>
      <c r="WXB64" s="607"/>
      <c r="WXC64" s="607"/>
      <c r="WXD64" s="607"/>
      <c r="WXE64" s="607"/>
      <c r="WXF64" s="607"/>
      <c r="WXG64" s="607"/>
      <c r="WXH64" s="607"/>
      <c r="WXI64" s="607"/>
      <c r="WXJ64" s="607"/>
      <c r="WXK64" s="607"/>
      <c r="WXL64" s="607"/>
      <c r="WXM64" s="607"/>
      <c r="WXN64" s="607"/>
      <c r="WXO64" s="607"/>
      <c r="WXP64" s="607"/>
      <c r="WXQ64" s="607"/>
      <c r="WXR64" s="607"/>
      <c r="WXS64" s="607"/>
      <c r="WXT64" s="607"/>
      <c r="WXU64" s="607"/>
      <c r="WXV64" s="607"/>
      <c r="WXW64" s="607"/>
      <c r="WXX64" s="607"/>
      <c r="WXY64" s="607"/>
      <c r="WXZ64" s="607"/>
      <c r="WYA64" s="607"/>
      <c r="WYB64" s="607"/>
      <c r="WYC64" s="607"/>
      <c r="WYD64" s="607"/>
      <c r="WYE64" s="607"/>
      <c r="WYF64" s="607"/>
      <c r="WYG64" s="607"/>
      <c r="WYH64" s="607"/>
      <c r="WYI64" s="607"/>
      <c r="WYJ64" s="607"/>
      <c r="WYK64" s="607"/>
      <c r="WYL64" s="607"/>
      <c r="WYM64" s="607"/>
      <c r="WYN64" s="607"/>
      <c r="WYO64" s="607"/>
      <c r="WYP64" s="607"/>
      <c r="WYQ64" s="607"/>
      <c r="WYR64" s="607"/>
      <c r="WYS64" s="607"/>
      <c r="WYT64" s="607"/>
      <c r="WYU64" s="607"/>
      <c r="WYV64" s="607"/>
      <c r="WYW64" s="607"/>
      <c r="WYX64" s="607"/>
      <c r="WYY64" s="607"/>
      <c r="WYZ64" s="607"/>
      <c r="WZA64" s="607"/>
      <c r="WZB64" s="607"/>
      <c r="WZC64" s="607"/>
      <c r="WZD64" s="607"/>
      <c r="WZE64" s="607"/>
      <c r="WZF64" s="607"/>
      <c r="WZG64" s="607"/>
      <c r="WZH64" s="607"/>
      <c r="WZI64" s="607"/>
      <c r="WZJ64" s="607"/>
      <c r="WZK64" s="607"/>
      <c r="WZL64" s="607"/>
      <c r="WZM64" s="607"/>
      <c r="WZN64" s="607"/>
      <c r="WZO64" s="607"/>
      <c r="WZP64" s="607"/>
      <c r="WZQ64" s="607"/>
      <c r="WZR64" s="607"/>
      <c r="WZS64" s="607"/>
      <c r="WZT64" s="607"/>
      <c r="WZU64" s="607"/>
      <c r="WZV64" s="607"/>
      <c r="WZW64" s="607"/>
      <c r="WZX64" s="607"/>
      <c r="WZY64" s="607"/>
      <c r="WZZ64" s="607"/>
      <c r="XAA64" s="607"/>
      <c r="XAB64" s="607"/>
      <c r="XAC64" s="607"/>
      <c r="XAD64" s="607"/>
      <c r="XAE64" s="607"/>
      <c r="XAF64" s="607"/>
      <c r="XAG64" s="607"/>
      <c r="XAH64" s="607"/>
      <c r="XAI64" s="607"/>
      <c r="XAJ64" s="607"/>
      <c r="XAK64" s="607"/>
      <c r="XAL64" s="607"/>
      <c r="XAM64" s="607"/>
      <c r="XAN64" s="607"/>
      <c r="XAO64" s="607"/>
      <c r="XAP64" s="607"/>
      <c r="XAQ64" s="607"/>
      <c r="XAR64" s="607"/>
      <c r="XAS64" s="607"/>
      <c r="XAT64" s="607"/>
      <c r="XAU64" s="607"/>
      <c r="XAV64" s="607"/>
      <c r="XAW64" s="607"/>
      <c r="XAX64" s="607"/>
      <c r="XAY64" s="607"/>
      <c r="XAZ64" s="607"/>
      <c r="XBA64" s="607"/>
      <c r="XBB64" s="607"/>
      <c r="XBC64" s="607"/>
      <c r="XBD64" s="607"/>
      <c r="XBE64" s="607"/>
      <c r="XBF64" s="607"/>
      <c r="XBG64" s="607"/>
      <c r="XBH64" s="607"/>
      <c r="XBI64" s="607"/>
      <c r="XBJ64" s="607"/>
      <c r="XBK64" s="607"/>
      <c r="XBL64" s="607"/>
      <c r="XBM64" s="607"/>
      <c r="XBN64" s="607"/>
      <c r="XBO64" s="607"/>
      <c r="XBP64" s="607"/>
      <c r="XBQ64" s="607"/>
      <c r="XBR64" s="607"/>
      <c r="XBS64" s="607"/>
      <c r="XBT64" s="607"/>
      <c r="XBU64" s="607"/>
      <c r="XBV64" s="607"/>
      <c r="XBW64" s="607"/>
      <c r="XBX64" s="607"/>
      <c r="XBY64" s="607"/>
      <c r="XBZ64" s="607"/>
      <c r="XCA64" s="607"/>
      <c r="XCB64" s="607"/>
      <c r="XCC64" s="607"/>
      <c r="XCD64" s="607"/>
      <c r="XCE64" s="607"/>
      <c r="XCF64" s="607"/>
      <c r="XCG64" s="607"/>
      <c r="XCH64" s="607"/>
      <c r="XCI64" s="607"/>
      <c r="XCJ64" s="607"/>
      <c r="XCK64" s="607"/>
      <c r="XCL64" s="607"/>
      <c r="XCM64" s="607"/>
      <c r="XCN64" s="607"/>
      <c r="XCO64" s="607"/>
      <c r="XCP64" s="607"/>
      <c r="XCQ64" s="607"/>
      <c r="XCR64" s="607"/>
      <c r="XCS64" s="607"/>
      <c r="XCT64" s="607"/>
      <c r="XCU64" s="607"/>
      <c r="XCV64" s="607"/>
      <c r="XCW64" s="607"/>
      <c r="XCX64" s="607"/>
      <c r="XCY64" s="607"/>
      <c r="XCZ64" s="607"/>
      <c r="XDA64" s="607"/>
      <c r="XDB64" s="607"/>
      <c r="XDC64" s="607"/>
      <c r="XDD64" s="607"/>
      <c r="XDE64" s="607"/>
      <c r="XDF64" s="607"/>
      <c r="XDG64" s="607"/>
      <c r="XDH64" s="607"/>
      <c r="XDI64" s="607"/>
      <c r="XDJ64" s="607"/>
      <c r="XDK64" s="607"/>
      <c r="XDL64" s="607"/>
      <c r="XDM64" s="607"/>
      <c r="XDN64" s="607"/>
      <c r="XDO64" s="607"/>
      <c r="XDP64" s="607"/>
      <c r="XDQ64" s="607"/>
      <c r="XDR64" s="607"/>
      <c r="XDS64" s="607"/>
      <c r="XDT64" s="607"/>
      <c r="XDU64" s="607"/>
      <c r="XDV64" s="607"/>
      <c r="XDW64" s="607"/>
      <c r="XDX64" s="607"/>
      <c r="XDY64" s="607"/>
      <c r="XDZ64" s="607"/>
      <c r="XEA64" s="607"/>
      <c r="XEB64" s="607"/>
      <c r="XEC64" s="607"/>
      <c r="XED64" s="607"/>
      <c r="XEE64" s="607"/>
      <c r="XEF64" s="607"/>
      <c r="XEG64" s="607"/>
      <c r="XEH64" s="607"/>
      <c r="XEI64" s="607"/>
      <c r="XEJ64" s="607"/>
      <c r="XEK64" s="607"/>
      <c r="XEL64" s="607"/>
      <c r="XEM64" s="607"/>
      <c r="XEN64" s="607"/>
      <c r="XEO64" s="607"/>
      <c r="XEP64" s="607"/>
      <c r="XEQ64" s="607"/>
      <c r="XER64" s="607"/>
      <c r="XES64" s="607"/>
      <c r="XET64" s="607"/>
      <c r="XEU64" s="607"/>
      <c r="XEV64" s="607"/>
      <c r="XEW64" s="607"/>
      <c r="XEX64" s="607"/>
      <c r="XEY64" s="607"/>
      <c r="XEZ64" s="607"/>
      <c r="XFA64" s="607"/>
      <c r="XFB64" s="607"/>
    </row>
    <row r="65" spans="1:14" ht="24.95" customHeight="1">
      <c r="A65" s="580">
        <v>3</v>
      </c>
      <c r="B65" s="70">
        <v>3</v>
      </c>
      <c r="C65" s="53" t="s">
        <v>552</v>
      </c>
      <c r="D65" s="39">
        <v>1</v>
      </c>
      <c r="E65" s="504">
        <v>225000</v>
      </c>
      <c r="F65" s="505">
        <v>225000</v>
      </c>
      <c r="G65" s="39" t="s">
        <v>49</v>
      </c>
      <c r="H65" s="506" t="s">
        <v>531</v>
      </c>
      <c r="I65" s="522" t="s">
        <v>83</v>
      </c>
      <c r="J65" s="264" t="s">
        <v>401</v>
      </c>
      <c r="K65" s="488">
        <v>94400</v>
      </c>
      <c r="L65" s="643" t="s">
        <v>553</v>
      </c>
      <c r="M65" s="525" t="s">
        <v>131</v>
      </c>
    </row>
    <row r="66" spans="1:14" ht="36.75" customHeight="1">
      <c r="A66" s="580">
        <f t="shared" si="1"/>
        <v>4</v>
      </c>
      <c r="B66" s="647" t="s">
        <v>660</v>
      </c>
      <c r="C66" s="499" t="s">
        <v>661</v>
      </c>
      <c r="D66" s="112">
        <v>1</v>
      </c>
      <c r="E66" s="508">
        <v>70000</v>
      </c>
      <c r="F66" s="500">
        <v>70000</v>
      </c>
      <c r="G66" s="112" t="s">
        <v>42</v>
      </c>
      <c r="H66" s="11" t="s">
        <v>531</v>
      </c>
      <c r="I66" s="11" t="s">
        <v>83</v>
      </c>
      <c r="J66" s="264" t="s">
        <v>401</v>
      </c>
      <c r="K66" s="535">
        <v>57000</v>
      </c>
      <c r="L66" s="276" t="s">
        <v>562</v>
      </c>
      <c r="M66" s="276" t="s">
        <v>131</v>
      </c>
    </row>
    <row r="67" spans="1:14" ht="24.95" customHeight="1">
      <c r="A67" s="580">
        <f t="shared" si="1"/>
        <v>5</v>
      </c>
      <c r="B67" s="647" t="s">
        <v>662</v>
      </c>
      <c r="C67" s="501" t="s">
        <v>663</v>
      </c>
      <c r="D67" s="112">
        <v>1</v>
      </c>
      <c r="E67" s="508">
        <v>110000</v>
      </c>
      <c r="F67" s="500">
        <v>110000</v>
      </c>
      <c r="G67" s="112" t="s">
        <v>42</v>
      </c>
      <c r="H67" s="11" t="s">
        <v>531</v>
      </c>
      <c r="I67" s="11" t="s">
        <v>83</v>
      </c>
      <c r="J67" s="264" t="s">
        <v>401</v>
      </c>
      <c r="K67" s="535">
        <v>77900</v>
      </c>
      <c r="L67" s="276" t="s">
        <v>562</v>
      </c>
      <c r="M67" s="276" t="s">
        <v>131</v>
      </c>
    </row>
    <row r="68" spans="1:14" ht="24.95" customHeight="1">
      <c r="A68" s="580">
        <f t="shared" si="1"/>
        <v>6</v>
      </c>
      <c r="B68" s="647" t="s">
        <v>664</v>
      </c>
      <c r="C68" s="501" t="s">
        <v>665</v>
      </c>
      <c r="D68" s="112">
        <v>1</v>
      </c>
      <c r="E68" s="508">
        <v>115000</v>
      </c>
      <c r="F68" s="500">
        <v>115000</v>
      </c>
      <c r="G68" s="112" t="s">
        <v>42</v>
      </c>
      <c r="H68" s="11" t="s">
        <v>531</v>
      </c>
      <c r="I68" s="11" t="s">
        <v>83</v>
      </c>
      <c r="J68" s="264" t="s">
        <v>401</v>
      </c>
      <c r="K68" s="535">
        <v>79900</v>
      </c>
      <c r="L68" s="276" t="s">
        <v>612</v>
      </c>
      <c r="M68" s="276" t="s">
        <v>131</v>
      </c>
    </row>
    <row r="69" spans="1:14" ht="42.75" customHeight="1">
      <c r="A69" s="580">
        <f t="shared" si="1"/>
        <v>7</v>
      </c>
      <c r="B69" s="647" t="s">
        <v>666</v>
      </c>
      <c r="C69" s="501" t="s">
        <v>667</v>
      </c>
      <c r="D69" s="112">
        <v>1</v>
      </c>
      <c r="E69" s="508">
        <v>140000</v>
      </c>
      <c r="F69" s="500">
        <v>140000</v>
      </c>
      <c r="G69" s="112" t="s">
        <v>42</v>
      </c>
      <c r="H69" s="11" t="s">
        <v>531</v>
      </c>
      <c r="I69" s="11" t="s">
        <v>83</v>
      </c>
      <c r="J69" s="264" t="s">
        <v>401</v>
      </c>
      <c r="K69" s="535">
        <v>116800</v>
      </c>
      <c r="L69" s="276" t="s">
        <v>612</v>
      </c>
      <c r="M69" s="276" t="s">
        <v>131</v>
      </c>
    </row>
    <row r="70" spans="1:14" ht="24.95" customHeight="1">
      <c r="A70" s="580">
        <f t="shared" si="1"/>
        <v>8</v>
      </c>
      <c r="B70" s="647" t="s">
        <v>668</v>
      </c>
      <c r="C70" s="501" t="s">
        <v>669</v>
      </c>
      <c r="D70" s="112">
        <v>1</v>
      </c>
      <c r="E70" s="508">
        <v>180000</v>
      </c>
      <c r="F70" s="500">
        <v>180000</v>
      </c>
      <c r="G70" s="112" t="s">
        <v>42</v>
      </c>
      <c r="H70" s="11" t="s">
        <v>531</v>
      </c>
      <c r="I70" s="11" t="s">
        <v>83</v>
      </c>
      <c r="J70" s="264" t="s">
        <v>401</v>
      </c>
      <c r="K70" s="535">
        <v>145000</v>
      </c>
      <c r="L70" s="276" t="s">
        <v>569</v>
      </c>
      <c r="M70" s="276" t="s">
        <v>131</v>
      </c>
    </row>
    <row r="71" spans="1:14" ht="24.95" customHeight="1">
      <c r="A71" s="580">
        <f t="shared" si="1"/>
        <v>9</v>
      </c>
      <c r="B71" s="647" t="s">
        <v>670</v>
      </c>
      <c r="C71" s="501" t="s">
        <v>671</v>
      </c>
      <c r="D71" s="112">
        <v>1</v>
      </c>
      <c r="E71" s="508">
        <v>230000</v>
      </c>
      <c r="F71" s="500">
        <v>230000</v>
      </c>
      <c r="G71" s="112" t="s">
        <v>42</v>
      </c>
      <c r="H71" s="11" t="s">
        <v>531</v>
      </c>
      <c r="I71" s="11" t="s">
        <v>83</v>
      </c>
      <c r="J71" s="264" t="s">
        <v>401</v>
      </c>
      <c r="K71" s="535">
        <v>179000</v>
      </c>
      <c r="L71" s="276" t="s">
        <v>569</v>
      </c>
      <c r="M71" s="276" t="s">
        <v>131</v>
      </c>
    </row>
    <row r="72" spans="1:14" ht="24.95" customHeight="1">
      <c r="A72" s="580">
        <f t="shared" si="1"/>
        <v>10</v>
      </c>
      <c r="B72" s="647" t="s">
        <v>674</v>
      </c>
      <c r="C72" s="501" t="s">
        <v>675</v>
      </c>
      <c r="D72" s="112">
        <v>1</v>
      </c>
      <c r="E72" s="508">
        <v>360000</v>
      </c>
      <c r="F72" s="500">
        <v>360000</v>
      </c>
      <c r="G72" s="112" t="s">
        <v>42</v>
      </c>
      <c r="H72" s="11" t="s">
        <v>531</v>
      </c>
      <c r="I72" s="11" t="s">
        <v>83</v>
      </c>
      <c r="J72" s="264" t="s">
        <v>401</v>
      </c>
      <c r="K72" s="535">
        <v>314500</v>
      </c>
      <c r="L72" s="276" t="s">
        <v>569</v>
      </c>
      <c r="M72" s="276" t="s">
        <v>131</v>
      </c>
    </row>
    <row r="73" spans="1:14" ht="24.95" customHeight="1">
      <c r="A73" s="580">
        <f t="shared" si="1"/>
        <v>11</v>
      </c>
      <c r="B73" s="647" t="s">
        <v>676</v>
      </c>
      <c r="C73" s="501" t="s">
        <v>677</v>
      </c>
      <c r="D73" s="112">
        <v>1</v>
      </c>
      <c r="E73" s="508">
        <v>500000</v>
      </c>
      <c r="F73" s="500">
        <v>500000</v>
      </c>
      <c r="G73" s="112" t="s">
        <v>42</v>
      </c>
      <c r="H73" s="11" t="s">
        <v>531</v>
      </c>
      <c r="I73" s="11" t="s">
        <v>83</v>
      </c>
      <c r="J73" s="264" t="s">
        <v>401</v>
      </c>
      <c r="K73" s="535">
        <v>483000</v>
      </c>
      <c r="L73" s="276" t="s">
        <v>569</v>
      </c>
      <c r="M73" s="276" t="s">
        <v>131</v>
      </c>
    </row>
    <row r="74" spans="1:14" s="654" customFormat="1" ht="24.95" hidden="1" customHeight="1">
      <c r="A74" s="598">
        <f t="shared" si="1"/>
        <v>12</v>
      </c>
      <c r="B74" s="649" t="s">
        <v>679</v>
      </c>
      <c r="C74" s="610" t="s">
        <v>680</v>
      </c>
      <c r="D74" s="598">
        <v>1</v>
      </c>
      <c r="E74" s="650">
        <v>950000</v>
      </c>
      <c r="F74" s="651">
        <v>950000</v>
      </c>
      <c r="G74" s="598" t="s">
        <v>42</v>
      </c>
      <c r="H74" s="652" t="s">
        <v>531</v>
      </c>
      <c r="I74" s="652" t="s">
        <v>83</v>
      </c>
      <c r="J74" s="605" t="s">
        <v>304</v>
      </c>
      <c r="K74" s="640">
        <v>0</v>
      </c>
      <c r="L74" s="604" t="s">
        <v>681</v>
      </c>
      <c r="M74" s="604" t="s">
        <v>131</v>
      </c>
      <c r="N74" s="653">
        <v>948000</v>
      </c>
    </row>
    <row r="75" spans="1:14" s="715" customFormat="1" ht="24.95" hidden="1" customHeight="1">
      <c r="A75" s="598">
        <v>12</v>
      </c>
      <c r="B75" s="648">
        <v>3</v>
      </c>
      <c r="C75" s="714" t="s">
        <v>698</v>
      </c>
      <c r="D75" s="708">
        <v>1</v>
      </c>
      <c r="E75" s="615">
        <v>620000</v>
      </c>
      <c r="F75" s="615">
        <v>620000</v>
      </c>
      <c r="G75" s="604" t="s">
        <v>88</v>
      </c>
      <c r="H75" s="598" t="s">
        <v>531</v>
      </c>
      <c r="I75" s="609" t="s">
        <v>83</v>
      </c>
      <c r="J75" s="605" t="s">
        <v>304</v>
      </c>
      <c r="K75" s="607">
        <v>0</v>
      </c>
      <c r="L75" s="604" t="s">
        <v>699</v>
      </c>
      <c r="M75" s="604" t="s">
        <v>131</v>
      </c>
      <c r="N75" s="710">
        <v>453000</v>
      </c>
    </row>
    <row r="76" spans="1:14" ht="24.95" customHeight="1">
      <c r="A76" s="580">
        <f t="shared" si="1"/>
        <v>13</v>
      </c>
      <c r="B76" s="648">
        <v>9</v>
      </c>
      <c r="C76" s="512" t="s">
        <v>707</v>
      </c>
      <c r="D76" s="513">
        <v>5</v>
      </c>
      <c r="E76" s="325">
        <v>32500</v>
      </c>
      <c r="F76" s="325">
        <v>162500</v>
      </c>
      <c r="G76" s="276" t="s">
        <v>88</v>
      </c>
      <c r="H76" s="112" t="s">
        <v>531</v>
      </c>
      <c r="I76" s="211" t="s">
        <v>83</v>
      </c>
      <c r="J76" s="264" t="s">
        <v>401</v>
      </c>
      <c r="K76" s="489">
        <v>33000</v>
      </c>
      <c r="L76" s="276" t="s">
        <v>499</v>
      </c>
      <c r="M76" s="276" t="s">
        <v>131</v>
      </c>
    </row>
    <row r="77" spans="1:14" s="715" customFormat="1" ht="24.95" hidden="1" customHeight="1">
      <c r="A77" s="598">
        <f t="shared" si="1"/>
        <v>14</v>
      </c>
      <c r="B77" s="648">
        <v>10</v>
      </c>
      <c r="C77" s="714" t="s">
        <v>711</v>
      </c>
      <c r="D77" s="708">
        <v>5</v>
      </c>
      <c r="E77" s="615">
        <v>48500</v>
      </c>
      <c r="F77" s="615">
        <v>242500</v>
      </c>
      <c r="G77" s="604" t="s">
        <v>88</v>
      </c>
      <c r="H77" s="598" t="s">
        <v>531</v>
      </c>
      <c r="I77" s="609" t="s">
        <v>83</v>
      </c>
      <c r="J77" s="605" t="s">
        <v>304</v>
      </c>
      <c r="K77" s="607">
        <v>0</v>
      </c>
      <c r="L77" s="604" t="s">
        <v>499</v>
      </c>
      <c r="M77" s="604" t="s">
        <v>131</v>
      </c>
      <c r="N77" s="710">
        <v>50500</v>
      </c>
    </row>
    <row r="78" spans="1:14" s="715" customFormat="1" ht="24.95" hidden="1" customHeight="1">
      <c r="A78" s="598">
        <f t="shared" si="1"/>
        <v>15</v>
      </c>
      <c r="B78" s="648">
        <v>11</v>
      </c>
      <c r="C78" s="714" t="s">
        <v>714</v>
      </c>
      <c r="D78" s="708">
        <v>7</v>
      </c>
      <c r="E78" s="615">
        <v>11500</v>
      </c>
      <c r="F78" s="615">
        <v>80500</v>
      </c>
      <c r="G78" s="604" t="s">
        <v>88</v>
      </c>
      <c r="H78" s="598" t="s">
        <v>531</v>
      </c>
      <c r="I78" s="609" t="s">
        <v>83</v>
      </c>
      <c r="J78" s="605" t="s">
        <v>304</v>
      </c>
      <c r="K78" s="607">
        <v>0</v>
      </c>
      <c r="L78" s="604" t="s">
        <v>715</v>
      </c>
      <c r="M78" s="604" t="s">
        <v>131</v>
      </c>
      <c r="N78" s="710">
        <v>16560</v>
      </c>
    </row>
    <row r="79" spans="1:14" ht="24.95" customHeight="1">
      <c r="A79" s="580">
        <f t="shared" si="1"/>
        <v>16</v>
      </c>
      <c r="B79" s="579" t="s">
        <v>531</v>
      </c>
      <c r="C79" s="465" t="s">
        <v>767</v>
      </c>
      <c r="D79" s="276">
        <v>1</v>
      </c>
      <c r="E79" s="325">
        <v>450000</v>
      </c>
      <c r="F79" s="325">
        <v>450000</v>
      </c>
      <c r="G79" s="276" t="s">
        <v>44</v>
      </c>
      <c r="H79" s="276" t="s">
        <v>531</v>
      </c>
      <c r="I79" s="276" t="s">
        <v>83</v>
      </c>
      <c r="J79" s="264" t="s">
        <v>401</v>
      </c>
      <c r="K79" s="523">
        <v>134800</v>
      </c>
      <c r="L79" s="276" t="s">
        <v>768</v>
      </c>
      <c r="M79" s="276" t="s">
        <v>131</v>
      </c>
    </row>
    <row r="80" spans="1:14" ht="24.95" customHeight="1">
      <c r="A80" s="580">
        <f t="shared" si="1"/>
        <v>17</v>
      </c>
      <c r="B80" s="579" t="s">
        <v>531</v>
      </c>
      <c r="C80" s="465" t="s">
        <v>187</v>
      </c>
      <c r="D80" s="276">
        <v>1</v>
      </c>
      <c r="E80" s="325">
        <v>150000</v>
      </c>
      <c r="F80" s="325">
        <v>150000</v>
      </c>
      <c r="G80" s="276" t="s">
        <v>39</v>
      </c>
      <c r="H80" s="276" t="s">
        <v>531</v>
      </c>
      <c r="I80" s="276" t="s">
        <v>83</v>
      </c>
      <c r="J80" s="264" t="s">
        <v>401</v>
      </c>
      <c r="K80" s="523">
        <v>63000</v>
      </c>
      <c r="L80" s="276" t="s">
        <v>770</v>
      </c>
      <c r="M80" s="276" t="s">
        <v>131</v>
      </c>
    </row>
    <row r="81" spans="1:13" ht="24.95" customHeight="1">
      <c r="A81" s="580">
        <f t="shared" si="1"/>
        <v>18</v>
      </c>
      <c r="B81" s="579" t="s">
        <v>531</v>
      </c>
      <c r="C81" s="465" t="s">
        <v>187</v>
      </c>
      <c r="D81" s="276">
        <v>1</v>
      </c>
      <c r="E81" s="325">
        <v>150000</v>
      </c>
      <c r="F81" s="325">
        <v>150000</v>
      </c>
      <c r="G81" s="276" t="s">
        <v>44</v>
      </c>
      <c r="H81" s="644" t="s">
        <v>531</v>
      </c>
      <c r="I81" s="276" t="s">
        <v>83</v>
      </c>
      <c r="J81" s="264" t="s">
        <v>401</v>
      </c>
      <c r="K81" s="489">
        <v>63000</v>
      </c>
      <c r="L81" s="276" t="s">
        <v>770</v>
      </c>
      <c r="M81" s="276" t="s">
        <v>131</v>
      </c>
    </row>
    <row r="82" spans="1:13" s="654" customFormat="1" ht="24.95" customHeight="1">
      <c r="A82" s="598">
        <v>19</v>
      </c>
      <c r="B82" s="657">
        <v>16</v>
      </c>
      <c r="C82" s="658" t="s">
        <v>155</v>
      </c>
      <c r="D82" s="659">
        <v>1</v>
      </c>
      <c r="E82" s="660">
        <v>250000</v>
      </c>
      <c r="F82" s="603">
        <v>250000</v>
      </c>
      <c r="G82" s="661" t="s">
        <v>37</v>
      </c>
      <c r="H82" s="662" t="s">
        <v>20</v>
      </c>
      <c r="I82" s="609" t="s">
        <v>83</v>
      </c>
      <c r="J82" s="605" t="s">
        <v>816</v>
      </c>
      <c r="K82" s="663">
        <v>187600</v>
      </c>
      <c r="L82" s="604" t="s">
        <v>817</v>
      </c>
      <c r="M82" s="604" t="s">
        <v>138</v>
      </c>
    </row>
    <row r="83" spans="1:13" s="654" customFormat="1" ht="24.95" customHeight="1">
      <c r="A83" s="722">
        <v>20</v>
      </c>
      <c r="B83" s="607"/>
      <c r="C83" s="723" t="s">
        <v>350</v>
      </c>
      <c r="D83" s="724">
        <v>1</v>
      </c>
      <c r="E83" s="725">
        <v>400000</v>
      </c>
      <c r="F83" s="726">
        <v>400000</v>
      </c>
      <c r="G83" s="727" t="s">
        <v>89</v>
      </c>
      <c r="H83" s="727" t="s">
        <v>20</v>
      </c>
      <c r="I83" s="728" t="s">
        <v>83</v>
      </c>
      <c r="J83" s="729" t="s">
        <v>816</v>
      </c>
      <c r="K83" s="730">
        <v>168800</v>
      </c>
      <c r="L83" s="731" t="s">
        <v>818</v>
      </c>
      <c r="M83" s="732" t="s">
        <v>138</v>
      </c>
    </row>
    <row r="84" spans="1:13" ht="24.95" customHeight="1">
      <c r="A84" s="580">
        <v>1</v>
      </c>
      <c r="B84" s="717">
        <v>4</v>
      </c>
      <c r="C84" s="212" t="s">
        <v>377</v>
      </c>
      <c r="D84" s="739">
        <v>2</v>
      </c>
      <c r="E84" s="687">
        <v>50000</v>
      </c>
      <c r="F84" s="325">
        <v>100000</v>
      </c>
      <c r="G84" s="739" t="s">
        <v>39</v>
      </c>
      <c r="H84" s="644" t="s">
        <v>531</v>
      </c>
      <c r="I84" s="276" t="s">
        <v>83</v>
      </c>
      <c r="J84" s="264" t="s">
        <v>816</v>
      </c>
      <c r="K84" s="488">
        <v>89000</v>
      </c>
      <c r="L84" s="276" t="s">
        <v>379</v>
      </c>
      <c r="M84" s="276" t="s">
        <v>380</v>
      </c>
    </row>
    <row r="85" spans="1:13" ht="24.95" customHeight="1">
      <c r="A85" s="580">
        <v>2</v>
      </c>
      <c r="B85" s="718">
        <v>2</v>
      </c>
      <c r="C85" s="153" t="s">
        <v>549</v>
      </c>
      <c r="D85" s="112">
        <v>1</v>
      </c>
      <c r="E85" s="740">
        <v>135000</v>
      </c>
      <c r="F85" s="741">
        <v>135000</v>
      </c>
      <c r="G85" s="112" t="s">
        <v>49</v>
      </c>
      <c r="H85" s="644" t="s">
        <v>531</v>
      </c>
      <c r="I85" s="276" t="s">
        <v>83</v>
      </c>
      <c r="J85" s="264" t="s">
        <v>816</v>
      </c>
      <c r="K85" s="488">
        <v>145000</v>
      </c>
      <c r="L85" s="525" t="s">
        <v>550</v>
      </c>
      <c r="M85" s="276" t="s">
        <v>380</v>
      </c>
    </row>
    <row r="86" spans="1:13" ht="24.95" customHeight="1">
      <c r="A86" s="580">
        <v>3</v>
      </c>
      <c r="B86" s="719">
        <v>10</v>
      </c>
      <c r="C86" s="501" t="s">
        <v>711</v>
      </c>
      <c r="D86" s="513">
        <v>5</v>
      </c>
      <c r="E86" s="489">
        <v>48500</v>
      </c>
      <c r="F86" s="489">
        <v>242500</v>
      </c>
      <c r="G86" s="276" t="s">
        <v>88</v>
      </c>
      <c r="H86" s="644" t="s">
        <v>531</v>
      </c>
      <c r="I86" s="276" t="s">
        <v>83</v>
      </c>
      <c r="J86" s="264" t="s">
        <v>816</v>
      </c>
      <c r="K86" s="489">
        <v>50500</v>
      </c>
      <c r="L86" s="276" t="s">
        <v>499</v>
      </c>
      <c r="M86" s="276" t="s">
        <v>380</v>
      </c>
    </row>
    <row r="87" spans="1:13" ht="24.95" customHeight="1">
      <c r="A87" s="580">
        <v>4</v>
      </c>
      <c r="B87" s="717" t="s">
        <v>721</v>
      </c>
      <c r="C87" s="153" t="s">
        <v>724</v>
      </c>
      <c r="D87" s="288">
        <v>1</v>
      </c>
      <c r="E87" s="489">
        <v>100000</v>
      </c>
      <c r="F87" s="325">
        <v>100000</v>
      </c>
      <c r="G87" s="215" t="s">
        <v>89</v>
      </c>
      <c r="H87" s="644" t="s">
        <v>531</v>
      </c>
      <c r="I87" s="276" t="s">
        <v>83</v>
      </c>
      <c r="J87" s="264" t="s">
        <v>816</v>
      </c>
      <c r="K87" s="488">
        <v>95480</v>
      </c>
      <c r="L87" s="276" t="s">
        <v>550</v>
      </c>
      <c r="M87" s="276" t="s">
        <v>380</v>
      </c>
    </row>
    <row r="88" spans="1:13" ht="24.95" customHeight="1">
      <c r="A88" s="580">
        <v>5</v>
      </c>
      <c r="B88" s="717" t="s">
        <v>721</v>
      </c>
      <c r="C88" s="153" t="s">
        <v>731</v>
      </c>
      <c r="D88" s="288">
        <v>1</v>
      </c>
      <c r="E88" s="489">
        <v>285000</v>
      </c>
      <c r="F88" s="325">
        <v>285000</v>
      </c>
      <c r="G88" s="215" t="s">
        <v>89</v>
      </c>
      <c r="H88" s="644" t="s">
        <v>531</v>
      </c>
      <c r="I88" s="276" t="s">
        <v>83</v>
      </c>
      <c r="J88" s="264" t="s">
        <v>816</v>
      </c>
      <c r="K88" s="488">
        <v>297505</v>
      </c>
      <c r="L88" s="276" t="s">
        <v>550</v>
      </c>
      <c r="M88" s="276" t="s">
        <v>380</v>
      </c>
    </row>
    <row r="89" spans="1:13" ht="24.95" customHeight="1">
      <c r="A89" s="580">
        <v>6</v>
      </c>
      <c r="B89" s="717" t="s">
        <v>721</v>
      </c>
      <c r="C89" s="153" t="s">
        <v>736</v>
      </c>
      <c r="D89" s="288">
        <v>1</v>
      </c>
      <c r="E89" s="489">
        <v>350000</v>
      </c>
      <c r="F89" s="325">
        <v>350000</v>
      </c>
      <c r="G89" s="215" t="s">
        <v>89</v>
      </c>
      <c r="H89" s="644" t="s">
        <v>531</v>
      </c>
      <c r="I89" s="276" t="s">
        <v>83</v>
      </c>
      <c r="J89" s="264" t="s">
        <v>816</v>
      </c>
      <c r="K89" s="488">
        <v>280000</v>
      </c>
      <c r="L89" s="276" t="s">
        <v>550</v>
      </c>
      <c r="M89" s="276" t="s">
        <v>380</v>
      </c>
    </row>
    <row r="90" spans="1:13" ht="24.95" customHeight="1">
      <c r="A90" s="580">
        <v>7</v>
      </c>
      <c r="B90" s="720">
        <v>11</v>
      </c>
      <c r="C90" s="153" t="s">
        <v>479</v>
      </c>
      <c r="D90" s="112">
        <v>1</v>
      </c>
      <c r="E90" s="489">
        <v>100000</v>
      </c>
      <c r="F90" s="73">
        <v>100000</v>
      </c>
      <c r="G90" s="112" t="s">
        <v>48</v>
      </c>
      <c r="H90" s="112" t="s">
        <v>396</v>
      </c>
      <c r="I90" s="276" t="s">
        <v>83</v>
      </c>
      <c r="J90" s="264" t="s">
        <v>816</v>
      </c>
      <c r="K90" s="488">
        <v>236500</v>
      </c>
      <c r="L90" s="276" t="s">
        <v>777</v>
      </c>
      <c r="M90" s="276" t="s">
        <v>380</v>
      </c>
    </row>
    <row r="91" spans="1:13" ht="24.95" customHeight="1">
      <c r="A91" s="580">
        <v>8</v>
      </c>
      <c r="B91" s="161">
        <v>2</v>
      </c>
      <c r="C91" s="153" t="s">
        <v>782</v>
      </c>
      <c r="D91" s="112">
        <v>1</v>
      </c>
      <c r="E91" s="489">
        <v>700000</v>
      </c>
      <c r="F91" s="742">
        <v>700000</v>
      </c>
      <c r="G91" s="276" t="s">
        <v>39</v>
      </c>
      <c r="H91" s="704" t="s">
        <v>396</v>
      </c>
      <c r="I91" s="276" t="s">
        <v>83</v>
      </c>
      <c r="J91" s="264" t="s">
        <v>816</v>
      </c>
      <c r="K91" s="488">
        <v>498900</v>
      </c>
      <c r="L91" s="276" t="s">
        <v>783</v>
      </c>
      <c r="M91" s="276" t="s">
        <v>380</v>
      </c>
    </row>
    <row r="98" spans="12:12" ht="24.95" customHeight="1">
      <c r="L98">
        <f>K55*5/100</f>
        <v>9500</v>
      </c>
    </row>
    <row r="99" spans="12:12" ht="24.95" customHeight="1">
      <c r="L99">
        <f>K59*5/100</f>
        <v>3825</v>
      </c>
    </row>
  </sheetData>
  <autoFilter ref="B1:M91" xr:uid="{0A23368D-51D4-4F01-8532-AFF1E3F1574A}">
    <filterColumn colId="8">
      <filters>
        <filter val="All Filter"/>
        <filter val="Approved"/>
        <filter val="Order placed"/>
        <filter val="Under DLPC"/>
      </filters>
    </filterColumn>
  </autoFilter>
  <phoneticPr fontId="80" type="noConversion"/>
  <dataValidations disablePrompts="1" count="4">
    <dataValidation type="list" allowBlank="1" showInputMessage="1" showErrorMessage="1" sqref="J3:J5 J7:J25 J62:J63 J65:J73 J76 J79:J81 J84:J91" xr:uid="{93FC0D42-7A4B-4B1B-B4AD-8742216AB731}">
      <formula1>"Action pending,Bid Published,Under Scrutiny,Pre DPC/DLPC,Under DPC, Under DLPC,Order placed, Delivered,Item Rejected,Not Supplied,Bid cancelled,Order Cancelled,Bill submitted ,Approved"</formula1>
    </dataValidation>
    <dataValidation type="list" allowBlank="1" showInputMessage="1" showErrorMessage="1" sqref="J6 J35 J40 J64 J74:J75 J77:J78" xr:uid="{8436A38D-BC84-4586-8AC3-F4EBDA559503}">
      <formula1>"Bid Published,Under Scrutiny,Pre DPC/DLPC,Under DPC, Under DLPC,Order placed, Delivered,Item Rejected,Not Supplied,Bid cancelled,Order Cancelled,Bill submitted , Not approved"</formula1>
    </dataValidation>
    <dataValidation type="list" allowBlank="1" showInputMessage="1" showErrorMessage="1" sqref="J26:J39 J41:J46 J82:J83 J48:J61" xr:uid="{AD319780-67D1-4FC7-ABCD-5904477EFE8A}">
      <formula1>"Action pending,Bid Published,Under Scrutiny,Pre DPC/DLPC,Under DPC, Under DLPC,Order placed, Delivered,Item Rejected,Not Supplied,Bid cancelled,Order Cancelled,Bill submitted "</formula1>
    </dataValidation>
    <dataValidation type="list" allowBlank="1" showInputMessage="1" showErrorMessage="1" sqref="J47" xr:uid="{55AE1646-080D-48E5-BB21-23CA7F1059A6}">
      <formula1>"Action pending,Bid Published,Under Scrutiny,Pre DPC/DLPC,Under DPC, Under DLPC,Order placed, Delivered,Item Rejected,Not Supplied,Bid cancelled,Order Cancelled,Bill submitted ,Not Approved"</formula1>
    </dataValidation>
  </dataValidations>
  <pageMargins left="0.19685039370078741" right="0.15748031496062992" top="1.8897637795275593" bottom="0.74803149606299213" header="1.5354330708661419" footer="0.31496062992125984"/>
  <pageSetup paperSize="9" scale="56" orientation="landscape" r:id="rId1"/>
  <headerFooter>
    <oddHeader>&amp;C&amp;18F.Y-2025-26- LDCE-List of Files under DLPC-7</oddHeader>
    <oddFooter>&amp;R&amp;D&amp;T</oddFooter>
  </headerFooter>
  <ignoredErrors>
    <ignoredError sqref="A2:B2 F2 D2 K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A0C-20E5-4D13-83ED-E0B0BE5AF0BB}">
  <dimension ref="A1:U49"/>
  <sheetViews>
    <sheetView view="pageBreakPreview" zoomScaleNormal="100" zoomScaleSheetLayoutView="100" workbookViewId="0">
      <pane xSplit="1" ySplit="3" topLeftCell="F17" activePane="bottomRight" state="frozen"/>
      <selection pane="topRight" activeCell="B1" sqref="B1"/>
      <selection pane="bottomLeft" activeCell="A3" sqref="A3"/>
      <selection pane="bottomRight" activeCell="Q30" sqref="Q30"/>
    </sheetView>
  </sheetViews>
  <sheetFormatPr defaultRowHeight="12.75"/>
  <cols>
    <col min="1" max="1" width="30.140625" style="164" bestFit="1" customWidth="1"/>
    <col min="2" max="2" width="16.5703125" style="164" hidden="1" customWidth="1"/>
    <col min="3" max="3" width="25.85546875" style="164" hidden="1" customWidth="1"/>
    <col min="4" max="4" width="27.85546875" style="164" hidden="1" customWidth="1"/>
    <col min="5" max="5" width="18.5703125" style="164" hidden="1" customWidth="1"/>
    <col min="6" max="6" width="1.85546875" style="164" customWidth="1"/>
    <col min="7" max="7" width="16.85546875" style="164" customWidth="1"/>
    <col min="8" max="8" width="17.7109375" style="164" customWidth="1"/>
    <col min="9" max="9" width="16.140625" style="164" bestFit="1" customWidth="1"/>
    <col min="10" max="10" width="17.28515625" style="587" customWidth="1"/>
    <col min="11" max="12" width="16.7109375" style="164" customWidth="1"/>
    <col min="13" max="13" width="16.140625" style="164" customWidth="1"/>
    <col min="14" max="14" width="16.5703125" style="164" bestFit="1" customWidth="1"/>
    <col min="15" max="15" width="26.85546875" style="306" customWidth="1"/>
    <col min="16" max="16" width="20.140625" style="164" customWidth="1"/>
    <col min="17" max="17" width="14.140625" style="164" customWidth="1"/>
    <col min="18" max="18" width="9.5703125" style="164" bestFit="1" customWidth="1"/>
    <col min="19" max="19" width="9.85546875" style="164" bestFit="1" customWidth="1"/>
    <col min="20" max="16384" width="9.140625" style="164"/>
  </cols>
  <sheetData>
    <row r="1" spans="1:21" ht="49.5" customHeight="1">
      <c r="A1" s="996" t="s">
        <v>819</v>
      </c>
      <c r="B1" s="996"/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Q1" s="293"/>
    </row>
    <row r="2" spans="1:21" ht="33.75" customHeight="1">
      <c r="A2" s="664"/>
      <c r="B2" s="664"/>
      <c r="C2" s="664"/>
      <c r="D2" s="664"/>
      <c r="E2" s="664"/>
      <c r="F2" s="669"/>
      <c r="G2" s="666" t="s">
        <v>820</v>
      </c>
      <c r="H2" s="666" t="s">
        <v>821</v>
      </c>
      <c r="I2" s="666" t="s">
        <v>822</v>
      </c>
      <c r="J2" s="666" t="s">
        <v>823</v>
      </c>
      <c r="K2" s="666" t="s">
        <v>824</v>
      </c>
      <c r="L2" s="666" t="s">
        <v>825</v>
      </c>
      <c r="M2" s="666" t="s">
        <v>826</v>
      </c>
      <c r="N2" s="666" t="s">
        <v>827</v>
      </c>
      <c r="O2" s="666" t="s">
        <v>828</v>
      </c>
    </row>
    <row r="3" spans="1:21" s="165" customFormat="1" ht="57.75" customHeight="1">
      <c r="A3" s="335" t="s">
        <v>829</v>
      </c>
      <c r="B3" s="336" t="s">
        <v>26</v>
      </c>
      <c r="C3" s="336" t="s">
        <v>27</v>
      </c>
      <c r="D3" s="337" t="s">
        <v>830</v>
      </c>
      <c r="E3" s="337" t="s">
        <v>29</v>
      </c>
      <c r="F3" s="338"/>
      <c r="G3" s="339" t="s">
        <v>30</v>
      </c>
      <c r="H3" s="665" t="s">
        <v>831</v>
      </c>
      <c r="I3" s="339" t="s">
        <v>31</v>
      </c>
      <c r="J3" s="583" t="s">
        <v>32</v>
      </c>
      <c r="K3" s="339" t="s">
        <v>33</v>
      </c>
      <c r="L3" s="665" t="s">
        <v>832</v>
      </c>
      <c r="M3" s="339" t="s">
        <v>559</v>
      </c>
      <c r="N3" s="921" t="s">
        <v>833</v>
      </c>
      <c r="O3" s="339" t="s">
        <v>35</v>
      </c>
    </row>
    <row r="4" spans="1:21" ht="24.95" customHeight="1">
      <c r="A4" s="353" t="s">
        <v>36</v>
      </c>
      <c r="B4" s="354">
        <v>2097000</v>
      </c>
      <c r="C4" s="354">
        <v>0</v>
      </c>
      <c r="D4" s="354">
        <f t="shared" ref="D4:D10" si="0">B4+C4</f>
        <v>2097000</v>
      </c>
      <c r="E4" s="354">
        <f>600000+-600000+2000000</f>
        <v>2000000</v>
      </c>
      <c r="F4" s="355"/>
      <c r="G4" s="354">
        <f>87000+80000+360000+1500000+30000</f>
        <v>2057000</v>
      </c>
      <c r="H4" s="354">
        <v>1550000</v>
      </c>
      <c r="I4" s="545">
        <f>17079+202000+1081920+167700</f>
        <v>1468699</v>
      </c>
      <c r="J4" s="584"/>
      <c r="K4" s="354"/>
      <c r="L4" s="545">
        <f t="shared" ref="L4:L21" si="1">H4-I4</f>
        <v>81301</v>
      </c>
      <c r="M4" s="354"/>
      <c r="N4" s="354">
        <v>371780</v>
      </c>
      <c r="O4" s="527">
        <f>9899+3000+1980+1080800</f>
        <v>1095679</v>
      </c>
    </row>
    <row r="5" spans="1:21" s="507" customFormat="1" ht="24.95" customHeight="1">
      <c r="A5" s="353" t="s">
        <v>37</v>
      </c>
      <c r="B5" s="354">
        <v>884500</v>
      </c>
      <c r="C5" s="354">
        <v>0</v>
      </c>
      <c r="D5" s="354">
        <f t="shared" si="0"/>
        <v>884500</v>
      </c>
      <c r="E5" s="354">
        <v>550000</v>
      </c>
      <c r="F5" s="355"/>
      <c r="G5" s="354">
        <f>515000+150000+100000</f>
        <v>765000</v>
      </c>
      <c r="H5" s="354">
        <v>350000</v>
      </c>
      <c r="I5" s="545">
        <f>16000+318600</f>
        <v>334600</v>
      </c>
      <c r="J5" s="584"/>
      <c r="K5" s="354"/>
      <c r="L5" s="545">
        <f t="shared" si="1"/>
        <v>15400</v>
      </c>
      <c r="M5" s="354"/>
      <c r="N5" s="354"/>
      <c r="O5" s="527">
        <f>15920+129690+187600</f>
        <v>333210</v>
      </c>
      <c r="P5" s="164"/>
      <c r="Q5" s="164"/>
      <c r="R5" s="164"/>
      <c r="S5" s="164"/>
    </row>
    <row r="6" spans="1:21" s="507" customFormat="1" ht="24.95" customHeight="1">
      <c r="A6" s="353" t="s">
        <v>38</v>
      </c>
      <c r="B6" s="354">
        <v>1220000</v>
      </c>
      <c r="C6" s="354">
        <v>0</v>
      </c>
      <c r="D6" s="354">
        <f t="shared" si="0"/>
        <v>1220000</v>
      </c>
      <c r="E6" s="354">
        <v>3000000</v>
      </c>
      <c r="F6" s="355"/>
      <c r="G6" s="354">
        <v>3000000</v>
      </c>
      <c r="H6" s="354">
        <v>1123500</v>
      </c>
      <c r="I6" s="545">
        <f>48300+58587+58410+394000+484030+79920</f>
        <v>1123247</v>
      </c>
      <c r="J6" s="584"/>
      <c r="K6" s="354"/>
      <c r="L6" s="545">
        <f t="shared" si="1"/>
        <v>253</v>
      </c>
      <c r="M6" s="354"/>
      <c r="N6" s="354"/>
      <c r="O6" s="527">
        <f>58410+58587+47576+79920+471929+384150</f>
        <v>1100572</v>
      </c>
      <c r="P6" s="164"/>
      <c r="Q6" s="164"/>
      <c r="R6" s="164"/>
      <c r="S6" s="164"/>
    </row>
    <row r="7" spans="1:21" s="507" customFormat="1" ht="24.95" customHeight="1">
      <c r="A7" s="353" t="s">
        <v>39</v>
      </c>
      <c r="B7" s="354">
        <v>1409000</v>
      </c>
      <c r="C7" s="354">
        <v>4700000</v>
      </c>
      <c r="D7" s="354">
        <f t="shared" si="0"/>
        <v>6109000</v>
      </c>
      <c r="E7" s="354">
        <v>12043837</v>
      </c>
      <c r="F7" s="355"/>
      <c r="G7" s="354">
        <f>9159000+480000+3200000+150000+24900+24850+21900+24314+24900+72136+700000+1200000+2700000+25000+10000</f>
        <v>17817000</v>
      </c>
      <c r="H7" s="354">
        <f>5537000</f>
        <v>5537000</v>
      </c>
      <c r="I7" s="545">
        <f>21776+3020190+421500+121400+1890000+24900+24850+21900+24314+24900+63000+89000+498900+9996</f>
        <v>6256626</v>
      </c>
      <c r="J7" s="584"/>
      <c r="K7" s="354">
        <v>3350000</v>
      </c>
      <c r="L7" s="545">
        <f t="shared" si="1"/>
        <v>-719626</v>
      </c>
      <c r="M7" s="354"/>
      <c r="N7" s="354">
        <v>498900</v>
      </c>
      <c r="O7" s="527">
        <f>21200+421500+564220+501970+576000+499000+121400+21890+24873+24192+89000+24601+24651+9896+848235+63000+1889000</f>
        <v>5724628</v>
      </c>
      <c r="P7" s="915" t="s">
        <v>834</v>
      </c>
      <c r="Q7" s="164"/>
      <c r="R7" s="164"/>
      <c r="S7" s="164"/>
    </row>
    <row r="8" spans="1:21" s="507" customFormat="1" ht="24.95" customHeight="1">
      <c r="A8" s="353" t="s">
        <v>40</v>
      </c>
      <c r="B8" s="354">
        <v>2399000</v>
      </c>
      <c r="C8" s="354">
        <v>0</v>
      </c>
      <c r="D8" s="354">
        <f t="shared" si="0"/>
        <v>2399000</v>
      </c>
      <c r="E8" s="354">
        <v>1200000</v>
      </c>
      <c r="F8" s="355"/>
      <c r="G8" s="354">
        <f>535000+600000+2500000</f>
        <v>3635000</v>
      </c>
      <c r="H8" s="354">
        <v>1018000</v>
      </c>
      <c r="I8" s="354">
        <v>421500</v>
      </c>
      <c r="J8" s="164"/>
      <c r="K8" s="584">
        <v>596250</v>
      </c>
      <c r="L8" s="545">
        <f t="shared" si="1"/>
        <v>596500</v>
      </c>
      <c r="M8" s="359"/>
      <c r="N8" s="359"/>
      <c r="O8" s="527">
        <v>421500</v>
      </c>
      <c r="P8" s="164"/>
      <c r="Q8" s="164"/>
      <c r="R8" s="164"/>
      <c r="S8" s="164"/>
    </row>
    <row r="9" spans="1:21" s="507" customFormat="1" ht="24.95" customHeight="1">
      <c r="A9" s="353" t="s">
        <v>835</v>
      </c>
      <c r="B9" s="354">
        <v>1295000</v>
      </c>
      <c r="C9" s="354">
        <v>0</v>
      </c>
      <c r="D9" s="354">
        <f t="shared" si="0"/>
        <v>1295000</v>
      </c>
      <c r="E9" s="354">
        <v>0</v>
      </c>
      <c r="F9" s="355"/>
      <c r="G9" s="354">
        <v>0</v>
      </c>
      <c r="H9" s="354">
        <v>0</v>
      </c>
      <c r="I9" s="354">
        <v>0</v>
      </c>
      <c r="J9" s="584"/>
      <c r="K9" s="354"/>
      <c r="L9" s="545">
        <f t="shared" si="1"/>
        <v>0</v>
      </c>
      <c r="M9" s="354"/>
      <c r="N9" s="354"/>
      <c r="O9" s="527">
        <v>0</v>
      </c>
      <c r="P9" s="164"/>
      <c r="Q9" s="164"/>
      <c r="R9" s="293"/>
      <c r="S9" s="164"/>
    </row>
    <row r="10" spans="1:21" s="507" customFormat="1" ht="24.95" customHeight="1">
      <c r="A10" s="353" t="s">
        <v>42</v>
      </c>
      <c r="B10" s="354">
        <f>2635000+4180000</f>
        <v>6815000</v>
      </c>
      <c r="C10" s="354">
        <v>0</v>
      </c>
      <c r="D10" s="354">
        <f t="shared" si="0"/>
        <v>6815000</v>
      </c>
      <c r="E10" s="354">
        <v>6600000</v>
      </c>
      <c r="F10" s="355"/>
      <c r="G10" s="354">
        <f>4619000+1450000+18000+218000+1400000</f>
        <v>7705000</v>
      </c>
      <c r="H10" s="354">
        <v>5500000</v>
      </c>
      <c r="I10" s="354">
        <f>62800+353004+15930+201180+242787+400000+1453100</f>
        <v>2728801</v>
      </c>
      <c r="J10" s="584"/>
      <c r="K10" s="354">
        <f>948000+1268000</f>
        <v>2216000</v>
      </c>
      <c r="L10" s="545">
        <f t="shared" si="1"/>
        <v>2771199</v>
      </c>
      <c r="M10" s="354">
        <v>401000</v>
      </c>
      <c r="N10" s="354">
        <v>970100</v>
      </c>
      <c r="O10" s="527">
        <f>24800+15000+7000+16000+90764+123668+130583-341+153209+20268+21971+17487+398000+483000+239144</f>
        <v>1740553</v>
      </c>
      <c r="P10" s="164"/>
      <c r="Q10" s="164"/>
      <c r="R10" s="164"/>
      <c r="S10" s="164"/>
    </row>
    <row r="11" spans="1:21" s="507" customFormat="1" ht="24.95" customHeight="1">
      <c r="A11" s="353" t="s">
        <v>43</v>
      </c>
      <c r="B11" s="354">
        <v>0</v>
      </c>
      <c r="C11" s="354">
        <v>0</v>
      </c>
      <c r="D11" s="354">
        <v>0</v>
      </c>
      <c r="E11" s="354">
        <v>3500000</v>
      </c>
      <c r="F11" s="355"/>
      <c r="G11" s="354">
        <v>3500000</v>
      </c>
      <c r="H11" s="354">
        <v>5243000</v>
      </c>
      <c r="I11" s="354">
        <v>5242500</v>
      </c>
      <c r="J11" s="584"/>
      <c r="K11" s="354"/>
      <c r="L11" s="545">
        <f t="shared" si="1"/>
        <v>500</v>
      </c>
      <c r="M11" s="354"/>
      <c r="N11" s="354">
        <v>5242500</v>
      </c>
      <c r="O11" s="527">
        <v>0</v>
      </c>
      <c r="P11" s="164"/>
      <c r="Q11" s="164"/>
      <c r="R11" s="164"/>
      <c r="S11" s="164"/>
    </row>
    <row r="12" spans="1:21" s="507" customFormat="1" ht="24.95" customHeight="1">
      <c r="A12" s="353" t="s">
        <v>44</v>
      </c>
      <c r="B12" s="354">
        <v>2081000</v>
      </c>
      <c r="C12" s="354">
        <v>675000</v>
      </c>
      <c r="D12" s="354">
        <f t="shared" ref="D12:D18" si="2">B12+C12</f>
        <v>2756000</v>
      </c>
      <c r="E12" s="354">
        <v>3051000</v>
      </c>
      <c r="F12" s="355"/>
      <c r="G12" s="354">
        <f>2581000+350000+400000+150000+450000+250000</f>
        <v>4181000</v>
      </c>
      <c r="H12" s="529">
        <v>1588000</v>
      </c>
      <c r="I12" s="354">
        <f>5754+22001+421500+940585+197800</f>
        <v>1587640</v>
      </c>
      <c r="J12" s="584"/>
      <c r="K12" s="354"/>
      <c r="L12" s="545">
        <f t="shared" si="1"/>
        <v>360</v>
      </c>
      <c r="M12" s="354">
        <v>1780000</v>
      </c>
      <c r="N12" s="354"/>
      <c r="O12" s="527">
        <f>5754+21891+421500+202280+68630+322775+41900+301950+134800+63000</f>
        <v>1584480</v>
      </c>
      <c r="P12" s="354"/>
      <c r="R12" s="164"/>
      <c r="S12" s="164"/>
    </row>
    <row r="13" spans="1:21" ht="24.95" customHeight="1">
      <c r="A13" s="353" t="s">
        <v>45</v>
      </c>
      <c r="B13" s="354">
        <v>0</v>
      </c>
      <c r="C13" s="354">
        <v>0</v>
      </c>
      <c r="D13" s="354">
        <f t="shared" si="2"/>
        <v>0</v>
      </c>
      <c r="E13" s="354">
        <v>13812000</v>
      </c>
      <c r="F13" s="355"/>
      <c r="G13" s="529">
        <f>5034950+8776861</f>
        <v>13811811</v>
      </c>
      <c r="H13" s="529">
        <f>691000+2807000</f>
        <v>3498000</v>
      </c>
      <c r="I13" s="354">
        <f>269000+421500+2807000+33000+16560+50500</f>
        <v>3597560</v>
      </c>
      <c r="J13" s="584"/>
      <c r="K13" s="354"/>
      <c r="L13" s="545">
        <f t="shared" si="1"/>
        <v>-99560</v>
      </c>
      <c r="M13" s="354">
        <v>1119950</v>
      </c>
      <c r="N13" s="354">
        <v>1125560</v>
      </c>
      <c r="O13" s="527">
        <f>421500+269000+1695000+33000+50500</f>
        <v>2469000</v>
      </c>
      <c r="P13" s="354"/>
      <c r="S13" s="293"/>
    </row>
    <row r="14" spans="1:21" s="507" customFormat="1" ht="24.95" customHeight="1">
      <c r="A14" s="353" t="s">
        <v>46</v>
      </c>
      <c r="B14" s="354">
        <v>150000</v>
      </c>
      <c r="C14" s="354">
        <v>0</v>
      </c>
      <c r="D14" s="354">
        <f t="shared" si="2"/>
        <v>150000</v>
      </c>
      <c r="E14" s="354">
        <v>0</v>
      </c>
      <c r="F14" s="355"/>
      <c r="G14" s="354">
        <v>0</v>
      </c>
      <c r="H14" s="354">
        <v>0</v>
      </c>
      <c r="I14" s="354">
        <v>0</v>
      </c>
      <c r="J14" s="584"/>
      <c r="K14" s="354"/>
      <c r="L14" s="545">
        <f t="shared" si="1"/>
        <v>0</v>
      </c>
      <c r="M14" s="354">
        <v>0</v>
      </c>
      <c r="N14" s="354"/>
      <c r="O14" s="527">
        <v>0</v>
      </c>
      <c r="P14" s="164"/>
      <c r="Q14" s="164"/>
      <c r="R14" s="293"/>
      <c r="S14" s="164"/>
      <c r="T14" s="509"/>
    </row>
    <row r="15" spans="1:21" s="507" customFormat="1" ht="24.95" customHeight="1">
      <c r="A15" s="353" t="s">
        <v>47</v>
      </c>
      <c r="B15" s="354">
        <v>0</v>
      </c>
      <c r="C15" s="354">
        <v>0</v>
      </c>
      <c r="D15" s="354">
        <f t="shared" si="2"/>
        <v>0</v>
      </c>
      <c r="E15" s="354">
        <v>0</v>
      </c>
      <c r="F15" s="355"/>
      <c r="G15" s="354">
        <v>0</v>
      </c>
      <c r="H15" s="354">
        <v>0</v>
      </c>
      <c r="I15" s="354">
        <v>0</v>
      </c>
      <c r="J15" s="584"/>
      <c r="K15" s="354"/>
      <c r="L15" s="545">
        <f t="shared" si="1"/>
        <v>0</v>
      </c>
      <c r="M15" s="354">
        <v>0</v>
      </c>
      <c r="N15" s="354"/>
      <c r="O15" s="527">
        <v>0</v>
      </c>
      <c r="P15" s="164"/>
      <c r="Q15" s="164"/>
      <c r="R15" s="164"/>
      <c r="S15" s="293"/>
      <c r="T15" s="509"/>
      <c r="U15" s="509"/>
    </row>
    <row r="16" spans="1:21" ht="24.95" customHeight="1">
      <c r="A16" s="353" t="s">
        <v>48</v>
      </c>
      <c r="B16" s="354">
        <v>8130000</v>
      </c>
      <c r="C16" s="354">
        <v>1050000</v>
      </c>
      <c r="D16" s="354">
        <f t="shared" si="2"/>
        <v>9180000</v>
      </c>
      <c r="E16" s="354">
        <f>5000000-3200000</f>
        <v>1800000</v>
      </c>
      <c r="F16" s="355"/>
      <c r="G16" s="354">
        <f>2080000+490000+26000+2000000+13440+13998+11478+490000+20000+1000000-900000+8000</f>
        <v>5252916</v>
      </c>
      <c r="H16" s="354">
        <v>1800000</v>
      </c>
      <c r="I16" s="354">
        <f>64400+22862+28785+11478+20000+169000+7680+236500</f>
        <v>560705</v>
      </c>
      <c r="J16" s="584"/>
      <c r="K16" s="354">
        <v>1896000</v>
      </c>
      <c r="L16" s="545">
        <f t="shared" si="1"/>
        <v>1239295</v>
      </c>
      <c r="M16" s="354"/>
      <c r="N16" s="354"/>
      <c r="O16" s="527">
        <f>22862+28785+11306+19100+7680+63756+166465+236500</f>
        <v>556454</v>
      </c>
      <c r="P16" s="915" t="s">
        <v>836</v>
      </c>
      <c r="R16" s="293"/>
    </row>
    <row r="17" spans="1:20" s="507" customFormat="1" ht="24.95" customHeight="1">
      <c r="A17" s="353" t="s">
        <v>49</v>
      </c>
      <c r="B17" s="354">
        <v>225000</v>
      </c>
      <c r="C17" s="354">
        <v>0</v>
      </c>
      <c r="D17" s="354">
        <f t="shared" si="2"/>
        <v>225000</v>
      </c>
      <c r="E17" s="354">
        <v>5500000</v>
      </c>
      <c r="F17" s="355"/>
      <c r="G17" s="354">
        <f>360000+8000000</f>
        <v>8360000</v>
      </c>
      <c r="H17" s="354">
        <v>800000</v>
      </c>
      <c r="I17" s="354">
        <f>94400+145000</f>
        <v>239400</v>
      </c>
      <c r="J17" s="584"/>
      <c r="K17" s="354"/>
      <c r="L17" s="545">
        <f t="shared" si="1"/>
        <v>560600</v>
      </c>
      <c r="M17" s="354"/>
      <c r="N17" s="354"/>
      <c r="O17" s="527">
        <v>94900</v>
      </c>
      <c r="P17" s="164"/>
      <c r="Q17" s="164"/>
      <c r="R17" s="293"/>
      <c r="S17" s="164"/>
    </row>
    <row r="18" spans="1:20" s="507" customFormat="1" ht="24.95" customHeight="1">
      <c r="A18" s="353" t="s">
        <v>50</v>
      </c>
      <c r="B18" s="354">
        <v>1110000</v>
      </c>
      <c r="C18" s="354">
        <v>0</v>
      </c>
      <c r="D18" s="354">
        <f t="shared" si="2"/>
        <v>1110000</v>
      </c>
      <c r="E18" s="354">
        <v>8028000</v>
      </c>
      <c r="F18" s="355"/>
      <c r="G18" s="354">
        <f>1495000+6533000</f>
        <v>8028000</v>
      </c>
      <c r="H18" s="354">
        <v>3200000</v>
      </c>
      <c r="I18" s="354">
        <f>189000+47700+289900+168800+95480+297505+280000</f>
        <v>1368385</v>
      </c>
      <c r="J18" s="584"/>
      <c r="K18" s="354">
        <f>1330000+570000</f>
        <v>1900000</v>
      </c>
      <c r="L18" s="545">
        <f t="shared" si="1"/>
        <v>1831615</v>
      </c>
      <c r="M18" s="354"/>
      <c r="N18" s="354">
        <v>289900</v>
      </c>
      <c r="O18" s="527">
        <f>189000+46746+168800+95480+297505+280000+145000</f>
        <v>1222531</v>
      </c>
      <c r="P18" s="164"/>
      <c r="Q18" s="164"/>
      <c r="R18" s="293"/>
      <c r="S18" s="164"/>
    </row>
    <row r="19" spans="1:20" s="507" customFormat="1" ht="24.95" customHeight="1">
      <c r="A19" s="353" t="s">
        <v>51</v>
      </c>
      <c r="B19" s="354">
        <v>0</v>
      </c>
      <c r="C19" s="354">
        <v>0</v>
      </c>
      <c r="D19" s="354">
        <v>0</v>
      </c>
      <c r="E19" s="354">
        <v>2800000</v>
      </c>
      <c r="F19" s="355"/>
      <c r="G19" s="354">
        <f>23225+2289500+310000+90000</f>
        <v>2712725</v>
      </c>
      <c r="H19" s="354">
        <v>2363000</v>
      </c>
      <c r="I19" s="354">
        <f>22224+1000+2339212</f>
        <v>2362436</v>
      </c>
      <c r="J19" s="584"/>
      <c r="K19" s="354"/>
      <c r="L19" s="545">
        <f t="shared" si="1"/>
        <v>564</v>
      </c>
      <c r="M19" s="354"/>
      <c r="N19" s="354">
        <v>212224</v>
      </c>
      <c r="O19" s="527">
        <f>990+84010+17230+76500+296403+266992+474414+231766+274912+37328+26214+23973+339470</f>
        <v>2150202</v>
      </c>
      <c r="P19" s="164"/>
      <c r="Q19" s="164"/>
      <c r="R19" s="164"/>
      <c r="S19" s="164"/>
      <c r="T19" s="509"/>
    </row>
    <row r="20" spans="1:20" s="507" customFormat="1" ht="24.95" customHeight="1">
      <c r="A20" s="353" t="s">
        <v>52</v>
      </c>
      <c r="B20" s="354">
        <v>15222000</v>
      </c>
      <c r="C20" s="354">
        <v>415000</v>
      </c>
      <c r="D20" s="354">
        <f>B20+C20</f>
        <v>15637000</v>
      </c>
      <c r="E20" s="354">
        <v>6000000</v>
      </c>
      <c r="F20" s="355"/>
      <c r="G20" s="354">
        <f>1436700+111000+25000+2450000+302000</f>
        <v>4324700</v>
      </c>
      <c r="H20" s="354">
        <v>3939000</v>
      </c>
      <c r="I20" s="354">
        <f>99200+864480+94636+15000-15275+2425009+455740</f>
        <v>3938790</v>
      </c>
      <c r="J20" s="584"/>
      <c r="K20" s="354"/>
      <c r="L20" s="545">
        <f t="shared" si="1"/>
        <v>210</v>
      </c>
      <c r="M20" s="354"/>
      <c r="N20" s="354"/>
      <c r="O20" s="527">
        <f>24875+9850+23760+23760+15000+94636+864480+257240+198500+1184220+1230700</f>
        <v>3927021</v>
      </c>
      <c r="P20" s="164"/>
      <c r="Q20" s="164"/>
      <c r="R20" s="164"/>
      <c r="S20" s="164"/>
    </row>
    <row r="21" spans="1:20" s="507" customFormat="1" ht="31.5" customHeight="1">
      <c r="A21" s="528" t="s">
        <v>53</v>
      </c>
      <c r="B21" s="354">
        <v>24985000</v>
      </c>
      <c r="C21" s="354">
        <v>3870000</v>
      </c>
      <c r="D21" s="354">
        <f>B21+C21</f>
        <v>28855000</v>
      </c>
      <c r="E21" s="354">
        <f>3350000+1000000+108000</f>
        <v>4458000</v>
      </c>
      <c r="F21" s="355"/>
      <c r="G21" s="354">
        <f>3350000+1000000+28000+100000</f>
        <v>4478000</v>
      </c>
      <c r="H21" s="354">
        <v>4200000</v>
      </c>
      <c r="I21" s="354">
        <f>3068600+23084+79910</f>
        <v>3171594</v>
      </c>
      <c r="J21" s="584"/>
      <c r="K21" s="354"/>
      <c r="L21" s="545">
        <f t="shared" si="1"/>
        <v>1028406</v>
      </c>
      <c r="M21" s="354"/>
      <c r="N21" s="354"/>
      <c r="O21" s="527">
        <f>23084+3053257+78711</f>
        <v>3155052</v>
      </c>
      <c r="P21" s="164"/>
      <c r="Q21" s="164"/>
      <c r="R21" s="164"/>
      <c r="S21" s="164"/>
    </row>
    <row r="22" spans="1:20" ht="24.95" hidden="1" customHeight="1">
      <c r="A22" s="353" t="s">
        <v>54</v>
      </c>
      <c r="B22" s="354"/>
      <c r="C22" s="354"/>
      <c r="D22" s="354"/>
      <c r="E22" s="354"/>
      <c r="F22" s="355"/>
      <c r="G22" s="354"/>
      <c r="H22" s="354"/>
      <c r="I22" s="354"/>
      <c r="J22" s="585"/>
      <c r="K22" s="354"/>
      <c r="L22" s="354"/>
      <c r="M22" s="354"/>
      <c r="N22" s="354"/>
      <c r="O22" s="532"/>
    </row>
    <row r="23" spans="1:20" ht="45.75" customHeight="1">
      <c r="A23" s="340" t="s">
        <v>17</v>
      </c>
      <c r="B23" s="341">
        <f>SUM(B4:B21)</f>
        <v>68022500</v>
      </c>
      <c r="C23" s="341">
        <f>SUM(C4:C21)</f>
        <v>10710000</v>
      </c>
      <c r="D23" s="341">
        <f>B23+C23</f>
        <v>78732500</v>
      </c>
      <c r="E23" s="341">
        <f>SUM(E4:E21)</f>
        <v>74342837</v>
      </c>
      <c r="F23" s="342"/>
      <c r="G23" s="341">
        <f>SUM(G4:G21)</f>
        <v>89628152</v>
      </c>
      <c r="H23" s="341">
        <f>SUM(H4:H22)</f>
        <v>41709500</v>
      </c>
      <c r="I23" s="341">
        <f>SUM(I4:I22)</f>
        <v>34402483</v>
      </c>
      <c r="J23" s="586">
        <f>SUM(J4:J22)</f>
        <v>0</v>
      </c>
      <c r="K23" s="341">
        <f>SUM(K4:K22)</f>
        <v>9958250</v>
      </c>
      <c r="L23" s="341">
        <f>SUM(L4:L22)</f>
        <v>7307017</v>
      </c>
      <c r="M23" s="341">
        <f t="shared" ref="M23:N23" si="3">SUM(M4:M21)</f>
        <v>3300950</v>
      </c>
      <c r="N23" s="341">
        <f t="shared" si="3"/>
        <v>8710964</v>
      </c>
      <c r="O23" s="341">
        <f>SUM(O4:O21)</f>
        <v>25575782</v>
      </c>
      <c r="P23" s="308" t="s">
        <v>837</v>
      </c>
      <c r="Q23" s="306"/>
      <c r="R23" s="533" t="s">
        <v>838</v>
      </c>
    </row>
    <row r="24" spans="1:20" s="166" customFormat="1" ht="36" customHeight="1">
      <c r="A24" s="467" t="s">
        <v>839</v>
      </c>
      <c r="D24" s="467"/>
      <c r="F24" s="342"/>
      <c r="H24" s="467">
        <v>38673000</v>
      </c>
      <c r="J24" s="943">
        <f>I23+J23+K23</f>
        <v>44360733</v>
      </c>
      <c r="K24" s="502" t="s">
        <v>840</v>
      </c>
      <c r="L24" s="502"/>
      <c r="N24" s="938" t="s">
        <v>809</v>
      </c>
      <c r="O24" s="939">
        <f>Sheet1!G51</f>
        <v>115737</v>
      </c>
      <c r="P24" s="467"/>
      <c r="Q24" s="467"/>
    </row>
    <row r="25" spans="1:20" ht="35.25" customHeight="1">
      <c r="A25" s="467" t="s">
        <v>1232</v>
      </c>
      <c r="C25" s="307"/>
      <c r="D25" s="503"/>
      <c r="E25" s="293"/>
      <c r="F25" s="287"/>
      <c r="G25" s="293"/>
      <c r="H25" s="293"/>
      <c r="J25" s="965">
        <f>27261311+8000000+6533000+2000000+1400000+360000+100000-150000+2500000-490000-140000-2100000-360000-350000-3972950-500000+401000-400000-3105690-1577810-108000+888000-1037690-2655000-225000-2000000-100000-1250000-520000-135000-385000-350000+250000-650000-1400000</f>
        <v>25731171</v>
      </c>
      <c r="K25" s="1010" t="s">
        <v>841</v>
      </c>
      <c r="L25" s="1010"/>
      <c r="M25" s="1010"/>
      <c r="N25" s="1010"/>
      <c r="O25" s="1010"/>
      <c r="P25" s="293"/>
      <c r="Q25" s="293">
        <f>O23-236500-89000</f>
        <v>25250282</v>
      </c>
    </row>
    <row r="26" spans="1:20" s="306" customFormat="1" ht="18.75" customHeight="1">
      <c r="E26" s="332"/>
      <c r="F26" s="349"/>
      <c r="G26" s="551"/>
      <c r="H26" s="551"/>
      <c r="I26" s="552"/>
      <c r="J26" s="526">
        <f>I23-O23-N23-O24</f>
        <v>0</v>
      </c>
      <c r="K26" s="1009" t="s">
        <v>842</v>
      </c>
      <c r="L26" s="1009"/>
      <c r="M26" s="1009"/>
      <c r="N26" s="1009"/>
      <c r="O26" s="1009"/>
      <c r="P26" s="332"/>
      <c r="Q26" s="331"/>
      <c r="R26" s="332"/>
    </row>
    <row r="27" spans="1:20" ht="21" customHeight="1">
      <c r="F27" s="350"/>
      <c r="G27" s="944">
        <f>G23-J25-J24-G28-M23</f>
        <v>0</v>
      </c>
      <c r="H27" s="1011" t="s">
        <v>843</v>
      </c>
      <c r="I27" s="1011"/>
      <c r="J27" s="1011"/>
      <c r="K27" s="942" t="s">
        <v>844</v>
      </c>
      <c r="L27" s="942"/>
      <c r="M27" s="942" t="s">
        <v>845</v>
      </c>
      <c r="N27" s="942"/>
      <c r="O27" s="942">
        <f>89000+236500</f>
        <v>325500</v>
      </c>
      <c r="P27" s="293"/>
      <c r="Q27" s="293"/>
    </row>
    <row r="28" spans="1:20" ht="21.75" customHeight="1">
      <c r="A28" s="293"/>
      <c r="F28" s="350"/>
      <c r="G28" s="945">
        <f>8919219-1347+134000+1457213+158000+1291238+272457-401000+418080+358600+232000+1310000+298690+1037690+253900+130600+735000+72136+-896500+-7085-900+70000+201100-516560-17847+682000+320+24200+20094</f>
        <v>16235298</v>
      </c>
      <c r="H28" s="1008" t="s">
        <v>846</v>
      </c>
      <c r="I28" s="1008"/>
      <c r="J28" s="1008"/>
      <c r="K28" s="942" t="s">
        <v>844</v>
      </c>
      <c r="L28" s="942"/>
      <c r="M28" s="942" t="s">
        <v>847</v>
      </c>
      <c r="N28" s="942"/>
      <c r="O28" s="942">
        <v>25250282</v>
      </c>
      <c r="Q28" s="293"/>
    </row>
    <row r="29" spans="1:20" ht="24.95" customHeight="1">
      <c r="I29" s="948" t="s">
        <v>848</v>
      </c>
      <c r="J29" s="947" t="s">
        <v>849</v>
      </c>
      <c r="K29" s="307" t="s">
        <v>850</v>
      </c>
      <c r="P29" s="293"/>
      <c r="Q29" s="293"/>
      <c r="R29" s="293"/>
    </row>
    <row r="30" spans="1:20" s="306" customFormat="1" ht="25.5" customHeight="1">
      <c r="G30" s="332"/>
      <c r="H30" s="308" t="s">
        <v>83</v>
      </c>
      <c r="I30" s="332">
        <f>O23</f>
        <v>25575782</v>
      </c>
      <c r="J30" s="332">
        <v>38673000</v>
      </c>
      <c r="K30" s="949">
        <f>I30*100/J30</f>
        <v>66.133431593101136</v>
      </c>
      <c r="N30" s="306" t="s">
        <v>851</v>
      </c>
      <c r="O30" s="332">
        <f>O23+I31+I32+I33</f>
        <v>36995029</v>
      </c>
      <c r="P30" s="332"/>
    </row>
    <row r="31" spans="1:20" s="306" customFormat="1" ht="25.5" customHeight="1">
      <c r="G31" s="332"/>
      <c r="H31" s="306" t="s">
        <v>852</v>
      </c>
      <c r="I31" s="332">
        <v>290959</v>
      </c>
      <c r="J31" s="332">
        <v>34651000</v>
      </c>
      <c r="K31" s="949">
        <f t="shared" ref="K31:K34" si="4">I31*100/J31</f>
        <v>0.83968428039594822</v>
      </c>
      <c r="N31" s="306" t="s">
        <v>853</v>
      </c>
      <c r="O31" s="332">
        <v>18303951</v>
      </c>
      <c r="P31" s="332"/>
    </row>
    <row r="32" spans="1:20" s="306" customFormat="1" ht="25.5" customHeight="1">
      <c r="A32" s="332"/>
      <c r="G32" s="332"/>
      <c r="H32" s="306" t="s">
        <v>854</v>
      </c>
      <c r="I32" s="332">
        <f>161069</f>
        <v>161069</v>
      </c>
      <c r="J32" s="332">
        <v>1482000</v>
      </c>
      <c r="K32" s="949">
        <f t="shared" si="4"/>
        <v>10.868353576248314</v>
      </c>
      <c r="L32" s="332"/>
      <c r="N32" s="306" t="s">
        <v>855</v>
      </c>
      <c r="O32" s="332">
        <v>25650568</v>
      </c>
      <c r="P32" s="332"/>
    </row>
    <row r="33" spans="1:16" ht="18" customHeight="1">
      <c r="H33" s="306" t="s">
        <v>856</v>
      </c>
      <c r="I33" s="332">
        <v>10967219</v>
      </c>
      <c r="J33" s="587">
        <v>17962000</v>
      </c>
      <c r="K33" s="949">
        <f t="shared" si="4"/>
        <v>61.057894443825852</v>
      </c>
      <c r="M33" s="332"/>
      <c r="N33" s="306" t="s">
        <v>857</v>
      </c>
      <c r="O33" s="332">
        <v>1157845</v>
      </c>
    </row>
    <row r="34" spans="1:16" ht="18" customHeight="1">
      <c r="A34" s="293"/>
      <c r="H34" s="946" t="s">
        <v>858</v>
      </c>
      <c r="I34" s="940">
        <f>SUM(I30:I33)</f>
        <v>36995029</v>
      </c>
      <c r="J34" s="946">
        <f>SUM(J30:J33)</f>
        <v>92768000</v>
      </c>
      <c r="K34" s="950">
        <f t="shared" si="4"/>
        <v>39.879084382545706</v>
      </c>
      <c r="M34" s="1012" t="s">
        <v>859</v>
      </c>
      <c r="N34" s="1012"/>
      <c r="O34" s="941">
        <f>SUM(O30:O33)</f>
        <v>82107393</v>
      </c>
    </row>
    <row r="35" spans="1:16" ht="18" customHeight="1">
      <c r="I35" s="293"/>
      <c r="J35" s="164"/>
      <c r="O35" s="164"/>
    </row>
    <row r="36" spans="1:16" ht="35.25" hidden="1" customHeight="1">
      <c r="G36" s="826"/>
      <c r="H36" s="1005" t="s">
        <v>860</v>
      </c>
      <c r="I36" s="1005"/>
      <c r="J36" s="923"/>
      <c r="K36" s="1004" t="s">
        <v>861</v>
      </c>
      <c r="L36" s="1004"/>
      <c r="N36" s="670">
        <f>'Furniture-2025-26'!E16</f>
        <v>10967219</v>
      </c>
      <c r="O36" s="670" t="s">
        <v>862</v>
      </c>
    </row>
    <row r="37" spans="1:16" ht="24.95" hidden="1" customHeight="1">
      <c r="C37" s="293"/>
      <c r="F37" s="287"/>
      <c r="G37" s="826">
        <v>1</v>
      </c>
      <c r="H37" s="922">
        <v>20027</v>
      </c>
      <c r="I37" s="826"/>
      <c r="J37" s="924">
        <v>1</v>
      </c>
      <c r="K37" s="922">
        <v>205000</v>
      </c>
      <c r="L37" s="826"/>
      <c r="M37" s="293"/>
      <c r="N37" s="670">
        <v>25650568</v>
      </c>
      <c r="O37" s="670" t="s">
        <v>855</v>
      </c>
    </row>
    <row r="38" spans="1:16" ht="24.95" hidden="1" customHeight="1">
      <c r="F38" s="287"/>
      <c r="G38" s="826">
        <v>2</v>
      </c>
      <c r="H38" s="922">
        <v>15771</v>
      </c>
      <c r="I38" s="826"/>
      <c r="J38" s="923">
        <v>2</v>
      </c>
      <c r="K38" s="922">
        <v>60416</v>
      </c>
      <c r="L38" s="826"/>
      <c r="N38" s="670">
        <f>'IT-Equipment'!I5</f>
        <v>290958.52</v>
      </c>
      <c r="O38" s="670" t="s">
        <v>863</v>
      </c>
    </row>
    <row r="39" spans="1:16" ht="24.75" hidden="1" customHeight="1">
      <c r="D39" s="533"/>
      <c r="F39" s="287"/>
      <c r="G39" s="826">
        <v>3</v>
      </c>
      <c r="H39" s="922">
        <v>21330</v>
      </c>
      <c r="I39" s="826"/>
      <c r="J39" s="923">
        <v>3</v>
      </c>
      <c r="K39" s="463">
        <v>549880</v>
      </c>
      <c r="L39" s="463"/>
      <c r="N39" s="670">
        <f>'Conti. Office Exp etc..'!D32</f>
        <v>1157845</v>
      </c>
      <c r="O39" s="670" t="s">
        <v>864</v>
      </c>
      <c r="P39" s="670"/>
    </row>
    <row r="40" spans="1:16" ht="24.95" hidden="1" customHeight="1">
      <c r="E40" s="293"/>
      <c r="F40" s="287"/>
      <c r="G40" s="826">
        <v>4</v>
      </c>
      <c r="H40" s="922">
        <v>21141</v>
      </c>
      <c r="I40" s="826"/>
      <c r="J40" s="923">
        <v>4</v>
      </c>
      <c r="K40" s="826">
        <v>3996700</v>
      </c>
      <c r="L40" s="826"/>
    </row>
    <row r="41" spans="1:16" ht="24.95" hidden="1" customHeight="1">
      <c r="C41" s="293"/>
      <c r="F41" s="287"/>
      <c r="G41" s="826">
        <v>5</v>
      </c>
      <c r="H41" s="922">
        <v>22180</v>
      </c>
      <c r="I41" s="826"/>
      <c r="J41" s="923">
        <v>5</v>
      </c>
      <c r="K41" s="826">
        <v>6100000</v>
      </c>
      <c r="L41" s="826"/>
    </row>
    <row r="42" spans="1:16" ht="24.95" hidden="1" customHeight="1">
      <c r="F42" s="287"/>
      <c r="G42" s="826">
        <v>6</v>
      </c>
      <c r="H42" s="922">
        <v>18650</v>
      </c>
      <c r="I42" s="826"/>
      <c r="J42" s="923">
        <v>6</v>
      </c>
      <c r="K42" s="826">
        <v>6799900</v>
      </c>
      <c r="L42" s="826"/>
    </row>
    <row r="43" spans="1:16" ht="24.95" hidden="1" customHeight="1">
      <c r="E43" s="293"/>
      <c r="F43" s="287"/>
      <c r="G43" s="826">
        <v>7</v>
      </c>
      <c r="H43" s="922">
        <v>3005</v>
      </c>
      <c r="I43" s="826"/>
      <c r="J43" s="923">
        <v>7</v>
      </c>
      <c r="K43" s="826">
        <v>111510</v>
      </c>
      <c r="L43" s="826"/>
    </row>
    <row r="44" spans="1:16" ht="24.95" hidden="1" customHeight="1">
      <c r="G44" s="826">
        <v>8</v>
      </c>
      <c r="H44" s="922">
        <v>5350</v>
      </c>
      <c r="I44" s="826"/>
      <c r="J44" s="923">
        <v>8</v>
      </c>
      <c r="K44" s="826">
        <v>219952</v>
      </c>
      <c r="L44" s="826"/>
    </row>
    <row r="45" spans="1:16" ht="24.95" hidden="1" customHeight="1">
      <c r="G45" s="826">
        <v>9</v>
      </c>
      <c r="H45" s="922">
        <v>13670</v>
      </c>
      <c r="I45" s="826"/>
      <c r="J45" s="923">
        <v>9</v>
      </c>
      <c r="K45" s="826">
        <v>260593</v>
      </c>
      <c r="L45" s="826"/>
    </row>
    <row r="46" spans="1:16" ht="24.95" hidden="1" customHeight="1">
      <c r="G46" s="826">
        <v>10</v>
      </c>
      <c r="H46" s="922">
        <v>19945</v>
      </c>
      <c r="I46" s="826"/>
      <c r="J46" s="583" t="s">
        <v>112</v>
      </c>
      <c r="K46" s="670">
        <f>SUM(K37:K45)</f>
        <v>18303951</v>
      </c>
      <c r="L46" s="826"/>
    </row>
    <row r="47" spans="1:16" ht="24.95" hidden="1" customHeight="1">
      <c r="D47" s="293"/>
      <c r="G47" s="583" t="s">
        <v>112</v>
      </c>
      <c r="H47" s="670">
        <f>SUM(H37:H46)</f>
        <v>161069</v>
      </c>
      <c r="I47" s="826"/>
    </row>
    <row r="48" spans="1:16" ht="42" hidden="1" customHeight="1">
      <c r="L48" s="1006" t="s">
        <v>865</v>
      </c>
      <c r="M48" s="1007"/>
      <c r="N48" s="928">
        <f>O23+N36+N37+N38+K46+H47+N39</f>
        <v>82107392.520000011</v>
      </c>
    </row>
    <row r="49" ht="29.25" customHeight="1"/>
  </sheetData>
  <autoFilter ref="A3:U26" xr:uid="{6D01BA0C-20E5-4D13-83ED-E0B0BE5AF0BB}"/>
  <mergeCells count="9">
    <mergeCell ref="K36:L36"/>
    <mergeCell ref="H36:I36"/>
    <mergeCell ref="L48:M48"/>
    <mergeCell ref="H28:J28"/>
    <mergeCell ref="A1:O1"/>
    <mergeCell ref="K26:O26"/>
    <mergeCell ref="K25:O25"/>
    <mergeCell ref="H27:J27"/>
    <mergeCell ref="M34:N34"/>
  </mergeCells>
  <printOptions gridLines="1"/>
  <pageMargins left="2.04" right="0.11811023622047245" top="0.35" bottom="0.15748031496062992" header="0.15748031496062992" footer="0.15748031496062992"/>
  <pageSetup paperSize="9" scale="59" orientation="landscape" r:id="rId1"/>
  <headerFooter>
    <oddFooter>&amp;R&amp;D&amp;T</oddFooter>
  </headerFooter>
  <rowBreaks count="1" manualBreakCount="1">
    <brk id="35" max="14" man="1"/>
  </rowBreaks>
  <ignoredErrors>
    <ignoredError sqref="O4:O6 G27 O7:O8 O13 H47 O16:O21 K46 O12 O10 N36 N38:N39 O24 O30 I32 I30 O34 I34:J34 K30:K34" unlockedFormula="1"/>
    <ignoredError sqref="D23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D816-34AC-4969-899E-C74E571BE62A}">
  <dimension ref="A1:E16"/>
  <sheetViews>
    <sheetView view="pageBreakPreview" zoomScaleNormal="100" zoomScaleSheetLayoutView="100" workbookViewId="0">
      <selection activeCell="I9" sqref="I9"/>
    </sheetView>
  </sheetViews>
  <sheetFormatPr defaultRowHeight="14.25"/>
  <cols>
    <col min="1" max="1" width="9.28515625" style="373" bestFit="1" customWidth="1"/>
    <col min="2" max="2" width="64.7109375" style="368" customWidth="1"/>
    <col min="3" max="3" width="9.28515625" style="368" bestFit="1" customWidth="1"/>
    <col min="4" max="4" width="20.85546875" style="374" bestFit="1" customWidth="1"/>
    <col min="5" max="5" width="28.42578125" style="368" customWidth="1"/>
    <col min="6" max="16384" width="9.140625" style="368"/>
  </cols>
  <sheetData>
    <row r="1" spans="1:5" ht="46.5" customHeight="1">
      <c r="A1" s="1013" t="s">
        <v>866</v>
      </c>
      <c r="B1" s="1013"/>
      <c r="C1" s="1013"/>
      <c r="D1" s="1013"/>
    </row>
    <row r="2" spans="1:5" ht="30" customHeight="1">
      <c r="A2" s="369" t="s">
        <v>813</v>
      </c>
      <c r="B2" s="370" t="s">
        <v>867</v>
      </c>
      <c r="C2" s="370" t="s">
        <v>868</v>
      </c>
      <c r="D2" s="371" t="s">
        <v>869</v>
      </c>
      <c r="E2" s="864" t="s">
        <v>35</v>
      </c>
    </row>
    <row r="3" spans="1:5" s="929" customFormat="1" ht="30" customHeight="1">
      <c r="A3" s="581">
        <v>1</v>
      </c>
      <c r="B3" s="582" t="s">
        <v>870</v>
      </c>
      <c r="C3" s="370">
        <v>200</v>
      </c>
      <c r="D3" s="371">
        <v>1100000</v>
      </c>
      <c r="E3" s="371">
        <v>598634</v>
      </c>
    </row>
    <row r="4" spans="1:5" s="929" customFormat="1" ht="30" customHeight="1">
      <c r="A4" s="581">
        <v>2</v>
      </c>
      <c r="B4" s="582" t="s">
        <v>871</v>
      </c>
      <c r="C4" s="370">
        <v>350</v>
      </c>
      <c r="D4" s="371">
        <v>2030000</v>
      </c>
      <c r="E4" s="371">
        <v>832680</v>
      </c>
    </row>
    <row r="5" spans="1:5" ht="30" customHeight="1">
      <c r="A5" s="581">
        <v>3</v>
      </c>
      <c r="B5" s="582" t="s">
        <v>872</v>
      </c>
      <c r="C5" s="370">
        <f>200+150</f>
        <v>350</v>
      </c>
      <c r="D5" s="371">
        <v>3900000</v>
      </c>
      <c r="E5" s="371">
        <v>2093000</v>
      </c>
    </row>
    <row r="6" spans="1:5" ht="30" customHeight="1">
      <c r="A6" s="581">
        <v>4</v>
      </c>
      <c r="B6" s="582" t="s">
        <v>873</v>
      </c>
      <c r="C6" s="370">
        <v>190</v>
      </c>
      <c r="D6" s="371">
        <v>4206000</v>
      </c>
      <c r="E6" s="371">
        <v>1753425</v>
      </c>
    </row>
    <row r="7" spans="1:5" ht="30" customHeight="1">
      <c r="A7" s="581">
        <v>5</v>
      </c>
      <c r="B7" s="582" t="s">
        <v>874</v>
      </c>
      <c r="C7" s="370">
        <v>120</v>
      </c>
      <c r="D7" s="371">
        <v>1970000</v>
      </c>
      <c r="E7" s="371">
        <v>996000</v>
      </c>
    </row>
    <row r="8" spans="1:5" s="929" customFormat="1" ht="30" customHeight="1">
      <c r="A8" s="581">
        <v>6</v>
      </c>
      <c r="B8" s="582" t="s">
        <v>875</v>
      </c>
      <c r="C8" s="370">
        <v>40</v>
      </c>
      <c r="D8" s="371">
        <v>1024000</v>
      </c>
      <c r="E8" s="371">
        <v>417240</v>
      </c>
    </row>
    <row r="9" spans="1:5" s="929" customFormat="1" ht="30" customHeight="1">
      <c r="A9" s="581">
        <v>7</v>
      </c>
      <c r="B9" s="582" t="s">
        <v>876</v>
      </c>
      <c r="C9" s="370">
        <v>40</v>
      </c>
      <c r="D9" s="371">
        <v>500000</v>
      </c>
      <c r="E9" s="371">
        <v>188000</v>
      </c>
    </row>
    <row r="10" spans="1:5" ht="30" customHeight="1">
      <c r="A10" s="581">
        <v>8</v>
      </c>
      <c r="B10" s="582" t="s">
        <v>877</v>
      </c>
      <c r="C10" s="370">
        <v>400</v>
      </c>
      <c r="D10" s="371">
        <v>7520000</v>
      </c>
      <c r="E10" s="371">
        <v>2887000</v>
      </c>
    </row>
    <row r="11" spans="1:5" ht="30" customHeight="1">
      <c r="A11" s="581">
        <v>9</v>
      </c>
      <c r="B11" s="582" t="s">
        <v>878</v>
      </c>
      <c r="C11" s="370">
        <v>40</v>
      </c>
      <c r="D11" s="371">
        <v>360000</v>
      </c>
      <c r="E11" s="371">
        <v>208880</v>
      </c>
    </row>
    <row r="12" spans="1:5" ht="30" customHeight="1">
      <c r="A12" s="581">
        <v>10</v>
      </c>
      <c r="B12" s="582" t="s">
        <v>879</v>
      </c>
      <c r="C12" s="370">
        <v>400</v>
      </c>
      <c r="D12" s="371">
        <v>800000</v>
      </c>
      <c r="E12" s="371">
        <v>863100</v>
      </c>
    </row>
    <row r="13" spans="1:5" ht="30" customHeight="1">
      <c r="A13" s="581">
        <v>11</v>
      </c>
      <c r="B13" s="582" t="s">
        <v>880</v>
      </c>
      <c r="C13" s="370">
        <v>20</v>
      </c>
      <c r="D13" s="371">
        <v>140000</v>
      </c>
      <c r="E13" s="371">
        <v>129260</v>
      </c>
    </row>
    <row r="14" spans="1:5" ht="30" hidden="1" customHeight="1">
      <c r="A14" s="581">
        <v>12</v>
      </c>
      <c r="B14" s="582" t="s">
        <v>881</v>
      </c>
      <c r="C14" s="370">
        <v>3</v>
      </c>
      <c r="D14" s="371">
        <v>6000000</v>
      </c>
      <c r="E14" s="368">
        <v>0</v>
      </c>
    </row>
    <row r="15" spans="1:5" ht="30" hidden="1" customHeight="1">
      <c r="A15" s="581">
        <v>13</v>
      </c>
      <c r="B15" s="582" t="s">
        <v>882</v>
      </c>
      <c r="C15" s="370">
        <v>40</v>
      </c>
      <c r="D15" s="371">
        <v>700000</v>
      </c>
      <c r="E15" s="368">
        <v>0</v>
      </c>
    </row>
    <row r="16" spans="1:5" ht="30" customHeight="1">
      <c r="A16" s="369"/>
      <c r="B16" s="370"/>
      <c r="C16" s="370"/>
      <c r="D16" s="372">
        <f>SUM(D3:D15)</f>
        <v>30250000</v>
      </c>
      <c r="E16" s="372">
        <f>SUM(E3:E15)</f>
        <v>10967219</v>
      </c>
    </row>
  </sheetData>
  <autoFilter ref="A2:E2" xr:uid="{FB9FD816-34AC-4969-899E-C74E571BE62A}"/>
  <mergeCells count="1">
    <mergeCell ref="A1:D1"/>
  </mergeCells>
  <printOptions gridLines="1"/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98F-6DB8-45A8-8357-3CA26B94D547}">
  <dimension ref="A1:P19"/>
  <sheetViews>
    <sheetView zoomScaleNormal="100" workbookViewId="0">
      <selection activeCell="P13" sqref="P13"/>
    </sheetView>
  </sheetViews>
  <sheetFormatPr defaultRowHeight="12.75"/>
  <cols>
    <col min="1" max="1" width="6.85546875" style="29" customWidth="1"/>
    <col min="2" max="2" width="25.28515625" customWidth="1"/>
    <col min="4" max="4" width="11.5703125" bestFit="1" customWidth="1"/>
    <col min="5" max="5" width="11.5703125" customWidth="1"/>
    <col min="6" max="6" width="7.28515625" bestFit="1" customWidth="1"/>
    <col min="7" max="7" width="13.140625" customWidth="1"/>
    <col min="8" max="8" width="11.140625" customWidth="1"/>
    <col min="9" max="10" width="11.5703125" customWidth="1"/>
    <col min="11" max="11" width="16.5703125" customWidth="1"/>
    <col min="12" max="12" width="10.85546875" customWidth="1"/>
    <col min="13" max="13" width="27.42578125" customWidth="1"/>
    <col min="14" max="14" width="17" bestFit="1" customWidth="1"/>
    <col min="15" max="15" width="10.140625" bestFit="1" customWidth="1"/>
    <col min="16" max="16" width="13" customWidth="1"/>
  </cols>
  <sheetData>
    <row r="1" spans="1:16" s="447" customFormat="1" ht="38.25">
      <c r="A1" s="447" t="s">
        <v>813</v>
      </c>
      <c r="B1" s="447" t="s">
        <v>96</v>
      </c>
      <c r="C1" s="447" t="s">
        <v>883</v>
      </c>
      <c r="D1" s="447" t="s">
        <v>884</v>
      </c>
      <c r="E1" s="449" t="s">
        <v>885</v>
      </c>
      <c r="F1" s="447" t="s">
        <v>809</v>
      </c>
      <c r="G1" s="449" t="s">
        <v>886</v>
      </c>
      <c r="H1" s="449" t="s">
        <v>887</v>
      </c>
      <c r="I1" s="449" t="s">
        <v>888</v>
      </c>
      <c r="J1" s="447" t="s">
        <v>889</v>
      </c>
      <c r="K1" s="450" t="s">
        <v>890</v>
      </c>
      <c r="L1" s="450" t="s">
        <v>891</v>
      </c>
      <c r="M1" s="452" t="s">
        <v>59</v>
      </c>
      <c r="N1" s="447" t="s">
        <v>892</v>
      </c>
      <c r="O1" s="447" t="s">
        <v>893</v>
      </c>
      <c r="P1" s="447" t="s">
        <v>35</v>
      </c>
    </row>
    <row r="2" spans="1:16" ht="24.95" customHeight="1">
      <c r="A2" s="29">
        <v>1</v>
      </c>
      <c r="B2" t="s">
        <v>894</v>
      </c>
      <c r="C2">
        <v>12</v>
      </c>
      <c r="D2" s="170">
        <v>10330</v>
      </c>
      <c r="E2">
        <f>C2*D2</f>
        <v>123960</v>
      </c>
      <c r="F2">
        <v>0</v>
      </c>
      <c r="G2" s="170">
        <f>E2-F2</f>
        <v>123960</v>
      </c>
      <c r="H2" s="170">
        <f>G2*3/100</f>
        <v>3718.8</v>
      </c>
      <c r="I2" s="170">
        <f>G2+H2</f>
        <v>127678.8</v>
      </c>
      <c r="J2" s="441">
        <v>45895</v>
      </c>
      <c r="K2" s="443" t="s">
        <v>895</v>
      </c>
      <c r="L2" s="442" t="s">
        <v>896</v>
      </c>
      <c r="M2" s="442" t="s">
        <v>897</v>
      </c>
      <c r="N2" t="s">
        <v>898</v>
      </c>
      <c r="O2" s="441">
        <v>45904</v>
      </c>
      <c r="P2">
        <v>123960</v>
      </c>
    </row>
    <row r="3" spans="1:16" ht="24.95" customHeight="1">
      <c r="A3" s="29">
        <v>2</v>
      </c>
      <c r="B3" s="442" t="s">
        <v>899</v>
      </c>
      <c r="C3">
        <v>12</v>
      </c>
      <c r="D3" s="170">
        <v>10847</v>
      </c>
      <c r="E3">
        <f>C3*D3</f>
        <v>130164</v>
      </c>
      <c r="F3">
        <v>0</v>
      </c>
      <c r="G3" s="170">
        <f>E3-F3</f>
        <v>130164</v>
      </c>
      <c r="H3" s="170">
        <f>G3*3/100</f>
        <v>3904.92</v>
      </c>
      <c r="I3" s="170">
        <f>G3+H3</f>
        <v>134068.92000000001</v>
      </c>
      <c r="J3" s="441">
        <v>45895</v>
      </c>
      <c r="K3" s="443" t="s">
        <v>895</v>
      </c>
      <c r="L3" s="442" t="s">
        <v>896</v>
      </c>
      <c r="M3" s="442" t="s">
        <v>900</v>
      </c>
      <c r="N3" t="s">
        <v>901</v>
      </c>
      <c r="O3" s="441">
        <v>45919</v>
      </c>
      <c r="P3">
        <v>130164</v>
      </c>
    </row>
    <row r="4" spans="1:16" ht="24.95" customHeight="1">
      <c r="A4" s="29">
        <v>3</v>
      </c>
      <c r="B4" s="442" t="s">
        <v>902</v>
      </c>
      <c r="C4">
        <v>2</v>
      </c>
      <c r="D4" s="170">
        <v>14180</v>
      </c>
      <c r="E4">
        <f>C4*D4</f>
        <v>28360</v>
      </c>
      <c r="F4">
        <v>0</v>
      </c>
      <c r="G4" s="170">
        <f>E4-F4</f>
        <v>28360</v>
      </c>
      <c r="H4" s="170">
        <f>G4*3/100</f>
        <v>850.8</v>
      </c>
      <c r="I4" s="170">
        <f>G4+H4</f>
        <v>29210.799999999999</v>
      </c>
      <c r="J4" s="441">
        <v>45895</v>
      </c>
      <c r="K4" s="443" t="s">
        <v>895</v>
      </c>
      <c r="L4" s="442" t="s">
        <v>896</v>
      </c>
      <c r="M4" s="442" t="s">
        <v>900</v>
      </c>
      <c r="N4" t="s">
        <v>903</v>
      </c>
      <c r="O4" s="441">
        <v>45938</v>
      </c>
      <c r="P4">
        <v>28360</v>
      </c>
    </row>
    <row r="5" spans="1:16" ht="24.95" customHeight="1">
      <c r="G5" s="444">
        <f>SUM(G2:G4)</f>
        <v>282484</v>
      </c>
      <c r="H5" s="444">
        <f>SUM(H2:H4)</f>
        <v>8474.52</v>
      </c>
      <c r="I5" s="444">
        <f>SUM(I2:I4)</f>
        <v>290958.52</v>
      </c>
      <c r="M5" s="558" t="s">
        <v>904</v>
      </c>
      <c r="N5" t="s">
        <v>905</v>
      </c>
      <c r="O5" s="441">
        <v>45923</v>
      </c>
      <c r="P5">
        <v>3718.8</v>
      </c>
    </row>
    <row r="6" spans="1:16" ht="24.95" customHeight="1">
      <c r="M6" s="558" t="s">
        <v>906</v>
      </c>
      <c r="N6" t="s">
        <v>907</v>
      </c>
      <c r="O6" s="441">
        <v>45933</v>
      </c>
      <c r="P6">
        <v>3905</v>
      </c>
    </row>
    <row r="7" spans="1:16" ht="24.95" customHeight="1">
      <c r="M7" s="558" t="s">
        <v>906</v>
      </c>
      <c r="N7" t="s">
        <v>908</v>
      </c>
      <c r="O7" s="441">
        <v>45958</v>
      </c>
      <c r="P7">
        <v>851</v>
      </c>
    </row>
    <row r="9" spans="1:16">
      <c r="A9" s="305" t="s">
        <v>909</v>
      </c>
    </row>
    <row r="10" spans="1:16" ht="24.95" customHeight="1">
      <c r="A10" s="452" t="s">
        <v>813</v>
      </c>
      <c r="B10" s="448" t="s">
        <v>96</v>
      </c>
      <c r="C10" s="447" t="s">
        <v>883</v>
      </c>
      <c r="D10" s="448" t="s">
        <v>884</v>
      </c>
      <c r="E10" s="446" t="s">
        <v>910</v>
      </c>
    </row>
    <row r="11" spans="1:16" s="448" customFormat="1" ht="24.95" customHeight="1">
      <c r="A11" s="447">
        <v>1</v>
      </c>
      <c r="B11" s="451" t="s">
        <v>911</v>
      </c>
      <c r="C11" s="447">
        <v>48</v>
      </c>
      <c r="D11" s="453">
        <f>E11/C11</f>
        <v>75000</v>
      </c>
      <c r="E11" s="445">
        <v>3600000</v>
      </c>
    </row>
    <row r="12" spans="1:16" ht="24.95" customHeight="1"/>
    <row r="13" spans="1:16" ht="24.95" customHeight="1"/>
    <row r="14" spans="1:16" ht="24.95" customHeight="1"/>
    <row r="15" spans="1:16" ht="24.95" customHeight="1"/>
    <row r="16" spans="1:16" ht="24.95" customHeight="1"/>
    <row r="17" ht="24.95" customHeight="1"/>
    <row r="18" ht="24.95" customHeight="1"/>
    <row r="19" ht="24.95" customHeight="1"/>
  </sheetData>
  <printOptions gridLines="1"/>
  <pageMargins left="0.70866141732283472" right="0.70866141732283472" top="1.1417322834645669" bottom="0.74803149606299213" header="0.74803149606299213" footer="0.31496062992125984"/>
  <pageSetup paperSize="9" scale="85" orientation="landscape" r:id="rId1"/>
  <headerFooter>
    <oddHeader>&amp;C&amp;14F.Y.-2025-26- LDCE-NEW Item- IT Hardware</oddHeader>
  </headerFooter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153E-406A-4C51-BABE-029EF188C2D6}">
  <dimension ref="A1:W61"/>
  <sheetViews>
    <sheetView view="pageBreakPreview" zoomScale="85" zoomScaleSheetLayoutView="85" workbookViewId="0">
      <selection activeCell="W35" sqref="W35"/>
    </sheetView>
  </sheetViews>
  <sheetFormatPr defaultColWidth="14.42578125" defaultRowHeight="15" customHeight="1"/>
  <cols>
    <col min="1" max="1" width="15.140625" style="375" customWidth="1"/>
    <col min="2" max="2" width="31" style="375" customWidth="1"/>
    <col min="3" max="3" width="2.140625" style="375" customWidth="1"/>
    <col min="4" max="4" width="17" style="375" customWidth="1"/>
    <col min="5" max="5" width="13.140625" style="375" customWidth="1"/>
    <col min="6" max="6" width="2.140625" style="375" customWidth="1"/>
    <col min="7" max="7" width="13.7109375" style="375" bestFit="1" customWidth="1"/>
    <col min="8" max="8" width="14.28515625" style="375" customWidth="1"/>
    <col min="9" max="9" width="2.28515625" style="375" customWidth="1"/>
    <col min="10" max="10" width="10.5703125" style="375" bestFit="1" customWidth="1"/>
    <col min="11" max="11" width="12.28515625" style="375" bestFit="1" customWidth="1"/>
    <col min="12" max="12" width="1.7109375" style="375" customWidth="1"/>
    <col min="13" max="13" width="10.5703125" style="375" bestFit="1" customWidth="1"/>
    <col min="14" max="14" width="14" style="375" customWidth="1"/>
    <col min="15" max="15" width="2" style="375" customWidth="1"/>
    <col min="16" max="16" width="15.42578125" style="375" customWidth="1"/>
    <col min="17" max="17" width="15.85546875" style="375" customWidth="1"/>
    <col min="18" max="18" width="2.42578125" style="375" customWidth="1"/>
    <col min="19" max="19" width="15.7109375" style="375" customWidth="1"/>
    <col min="20" max="20" width="14.42578125" style="375" customWidth="1"/>
    <col min="21" max="21" width="2" style="375" customWidth="1"/>
    <col min="22" max="22" width="16.85546875" style="375" customWidth="1"/>
    <col min="23" max="23" width="19" style="375" customWidth="1"/>
    <col min="24" max="16384" width="14.42578125" style="375"/>
  </cols>
  <sheetData>
    <row r="1" spans="1:23" ht="34.5" customHeight="1">
      <c r="A1" s="1048" t="s">
        <v>912</v>
      </c>
      <c r="B1" s="1049"/>
      <c r="C1" s="1049"/>
      <c r="D1" s="1049"/>
      <c r="E1" s="1049"/>
      <c r="F1" s="1049"/>
      <c r="G1" s="1049"/>
      <c r="H1" s="1049"/>
      <c r="I1" s="1049"/>
      <c r="J1" s="1049"/>
      <c r="K1" s="1049"/>
      <c r="L1" s="1049"/>
      <c r="M1" s="1049"/>
      <c r="N1" s="1049"/>
      <c r="O1" s="1049"/>
      <c r="P1" s="1049"/>
      <c r="Q1" s="1049"/>
      <c r="R1" s="1049"/>
      <c r="S1" s="1049"/>
      <c r="T1" s="1049"/>
      <c r="U1" s="1049"/>
      <c r="V1" s="1049"/>
      <c r="W1" s="1049"/>
    </row>
    <row r="2" spans="1:23" ht="39.75" customHeight="1">
      <c r="A2" s="1050" t="s">
        <v>913</v>
      </c>
      <c r="B2" s="1051"/>
      <c r="C2" s="376"/>
      <c r="D2" s="1052" t="s">
        <v>914</v>
      </c>
      <c r="E2" s="1053"/>
      <c r="F2" s="376"/>
      <c r="G2" s="1052" t="s">
        <v>915</v>
      </c>
      <c r="H2" s="1053"/>
      <c r="I2" s="376"/>
      <c r="J2" s="1052" t="s">
        <v>916</v>
      </c>
      <c r="K2" s="1053"/>
      <c r="L2" s="376"/>
      <c r="M2" s="1052" t="s">
        <v>917</v>
      </c>
      <c r="N2" s="1053"/>
      <c r="O2" s="376"/>
      <c r="P2" s="1054" t="s">
        <v>918</v>
      </c>
      <c r="Q2" s="1055"/>
      <c r="R2" s="378"/>
      <c r="S2" s="1056" t="s">
        <v>919</v>
      </c>
      <c r="T2" s="1057"/>
      <c r="U2" s="379"/>
      <c r="V2" s="1058" t="s">
        <v>920</v>
      </c>
      <c r="W2" s="1056"/>
    </row>
    <row r="3" spans="1:23" ht="60.75" customHeight="1">
      <c r="A3" s="1032" t="s">
        <v>921</v>
      </c>
      <c r="B3" s="1033"/>
      <c r="C3" s="376"/>
      <c r="D3" s="377" t="s">
        <v>922</v>
      </c>
      <c r="E3" s="380" t="s">
        <v>923</v>
      </c>
      <c r="F3" s="376"/>
      <c r="G3" s="377" t="s">
        <v>922</v>
      </c>
      <c r="H3" s="380" t="s">
        <v>923</v>
      </c>
      <c r="I3" s="376"/>
      <c r="J3" s="377" t="s">
        <v>922</v>
      </c>
      <c r="K3" s="380" t="s">
        <v>923</v>
      </c>
      <c r="L3" s="376"/>
      <c r="M3" s="377" t="s">
        <v>922</v>
      </c>
      <c r="N3" s="380" t="s">
        <v>923</v>
      </c>
      <c r="O3" s="376"/>
      <c r="P3" s="377" t="s">
        <v>922</v>
      </c>
      <c r="Q3" s="380" t="s">
        <v>923</v>
      </c>
      <c r="R3" s="379"/>
      <c r="S3" s="377" t="s">
        <v>922</v>
      </c>
      <c r="T3" s="380" t="s">
        <v>923</v>
      </c>
      <c r="U3" s="379"/>
      <c r="V3" s="377" t="s">
        <v>922</v>
      </c>
      <c r="W3" s="381" t="s">
        <v>923</v>
      </c>
    </row>
    <row r="4" spans="1:23" ht="54.75" customHeight="1">
      <c r="A4" s="1034" t="s">
        <v>924</v>
      </c>
      <c r="B4" s="1035"/>
      <c r="C4" s="376"/>
      <c r="D4" s="382">
        <v>334.12</v>
      </c>
      <c r="E4" s="383">
        <v>52.61</v>
      </c>
      <c r="F4" s="376"/>
      <c r="G4" s="382">
        <v>161.01</v>
      </c>
      <c r="H4" s="384">
        <v>18.61</v>
      </c>
      <c r="I4" s="376"/>
      <c r="J4" s="385">
        <v>10.71</v>
      </c>
      <c r="K4" s="384">
        <v>4.1100000000000003</v>
      </c>
      <c r="L4" s="376"/>
      <c r="M4" s="385">
        <v>13.39</v>
      </c>
      <c r="N4" s="384">
        <v>1.72</v>
      </c>
      <c r="O4" s="376"/>
      <c r="P4" s="386">
        <f>D4+G4+J4+M4</f>
        <v>519.23</v>
      </c>
      <c r="Q4" s="384">
        <f>E4+H4+K4+N4</f>
        <v>77.05</v>
      </c>
      <c r="R4" s="387"/>
      <c r="S4" s="385">
        <v>346.51</v>
      </c>
      <c r="T4" s="388">
        <v>0</v>
      </c>
      <c r="U4" s="389"/>
      <c r="V4" s="385">
        <f>P4+S4</f>
        <v>865.74</v>
      </c>
      <c r="W4" s="390">
        <f>Q4+T4</f>
        <v>77.05</v>
      </c>
    </row>
    <row r="5" spans="1:23" ht="45" customHeight="1">
      <c r="A5" s="1034" t="s">
        <v>925</v>
      </c>
      <c r="B5" s="1035"/>
      <c r="C5" s="376"/>
      <c r="D5" s="1045">
        <f>D4+E4</f>
        <v>386.73</v>
      </c>
      <c r="E5" s="1045"/>
      <c r="F5" s="396"/>
      <c r="G5" s="1045">
        <f>G4+H4</f>
        <v>179.62</v>
      </c>
      <c r="H5" s="1045"/>
      <c r="I5" s="396"/>
      <c r="J5" s="1045">
        <f>J4+K4</f>
        <v>14.82</v>
      </c>
      <c r="K5" s="1045"/>
      <c r="L5" s="396"/>
      <c r="M5" s="1045">
        <f>M4+N4</f>
        <v>15.110000000000001</v>
      </c>
      <c r="N5" s="1045"/>
      <c r="O5" s="396"/>
      <c r="P5" s="1045">
        <f>P4+Q4</f>
        <v>596.28</v>
      </c>
      <c r="Q5" s="1045"/>
      <c r="R5" s="396"/>
      <c r="S5" s="1045">
        <f>S4+T4</f>
        <v>346.51</v>
      </c>
      <c r="T5" s="1045"/>
      <c r="U5" s="396"/>
      <c r="V5" s="1045">
        <f>V4+W4</f>
        <v>942.79</v>
      </c>
      <c r="W5" s="1045"/>
    </row>
    <row r="6" spans="1:23" s="393" customFormat="1" ht="12.75" customHeight="1">
      <c r="A6" s="391"/>
      <c r="B6" s="392"/>
      <c r="C6" s="376"/>
      <c r="D6" s="531"/>
      <c r="E6" s="531"/>
      <c r="F6" s="396"/>
      <c r="G6" s="531"/>
      <c r="H6" s="531"/>
      <c r="I6" s="396"/>
      <c r="J6" s="531"/>
      <c r="K6" s="531"/>
      <c r="L6" s="396"/>
      <c r="M6" s="531"/>
      <c r="N6" s="531"/>
      <c r="O6" s="396"/>
      <c r="P6" s="531"/>
      <c r="Q6" s="531"/>
      <c r="R6" s="396"/>
      <c r="S6" s="531"/>
      <c r="T6" s="531"/>
      <c r="U6" s="396"/>
      <c r="V6" s="531"/>
      <c r="W6" s="531"/>
    </row>
    <row r="7" spans="1:23" ht="58.5" hidden="1" customHeight="1">
      <c r="A7" s="1036" t="s">
        <v>926</v>
      </c>
      <c r="B7" s="1037"/>
      <c r="C7" s="376"/>
      <c r="D7" s="394">
        <f t="shared" ref="D7:Q7" si="0">D4/4</f>
        <v>83.53</v>
      </c>
      <c r="E7" s="395">
        <f t="shared" si="0"/>
        <v>13.1525</v>
      </c>
      <c r="F7" s="396">
        <f t="shared" si="0"/>
        <v>0</v>
      </c>
      <c r="G7" s="394">
        <f t="shared" si="0"/>
        <v>40.252499999999998</v>
      </c>
      <c r="H7" s="395">
        <f t="shared" si="0"/>
        <v>4.6524999999999999</v>
      </c>
      <c r="I7" s="396">
        <f t="shared" si="0"/>
        <v>0</v>
      </c>
      <c r="J7" s="394">
        <f t="shared" si="0"/>
        <v>2.6775000000000002</v>
      </c>
      <c r="K7" s="395">
        <f t="shared" si="0"/>
        <v>1.0275000000000001</v>
      </c>
      <c r="L7" s="396">
        <f t="shared" si="0"/>
        <v>0</v>
      </c>
      <c r="M7" s="394">
        <f t="shared" si="0"/>
        <v>3.3475000000000001</v>
      </c>
      <c r="N7" s="395">
        <f t="shared" si="0"/>
        <v>0.43</v>
      </c>
      <c r="O7" s="396">
        <f t="shared" si="0"/>
        <v>0</v>
      </c>
      <c r="P7" s="397">
        <f t="shared" si="0"/>
        <v>129.8075</v>
      </c>
      <c r="Q7" s="395">
        <f t="shared" si="0"/>
        <v>19.262499999999999</v>
      </c>
      <c r="R7" s="398"/>
      <c r="S7" s="397">
        <v>0</v>
      </c>
      <c r="T7" s="395">
        <v>0</v>
      </c>
      <c r="U7" s="389"/>
      <c r="V7" s="397">
        <f>P7+S7</f>
        <v>129.8075</v>
      </c>
      <c r="W7" s="395">
        <f>Q7+T7</f>
        <v>19.262499999999999</v>
      </c>
    </row>
    <row r="8" spans="1:23" ht="47.25" hidden="1" customHeight="1">
      <c r="A8" s="1036" t="s">
        <v>927</v>
      </c>
      <c r="B8" s="1037"/>
      <c r="C8" s="376"/>
      <c r="D8" s="394">
        <f t="shared" ref="D8:R8" si="1">D4/4</f>
        <v>83.53</v>
      </c>
      <c r="E8" s="397">
        <f t="shared" si="1"/>
        <v>13.1525</v>
      </c>
      <c r="F8" s="396">
        <f t="shared" si="1"/>
        <v>0</v>
      </c>
      <c r="G8" s="394">
        <f t="shared" si="1"/>
        <v>40.252499999999998</v>
      </c>
      <c r="H8" s="397">
        <f t="shared" si="1"/>
        <v>4.6524999999999999</v>
      </c>
      <c r="I8" s="396">
        <f t="shared" si="1"/>
        <v>0</v>
      </c>
      <c r="J8" s="394">
        <f t="shared" si="1"/>
        <v>2.6775000000000002</v>
      </c>
      <c r="K8" s="397">
        <f t="shared" si="1"/>
        <v>1.0275000000000001</v>
      </c>
      <c r="L8" s="396">
        <f t="shared" si="1"/>
        <v>0</v>
      </c>
      <c r="M8" s="394">
        <f t="shared" si="1"/>
        <v>3.3475000000000001</v>
      </c>
      <c r="N8" s="397">
        <f t="shared" si="1"/>
        <v>0.43</v>
      </c>
      <c r="O8" s="396">
        <f t="shared" si="1"/>
        <v>0</v>
      </c>
      <c r="P8" s="394">
        <f t="shared" si="1"/>
        <v>129.8075</v>
      </c>
      <c r="Q8" s="397">
        <f t="shared" si="1"/>
        <v>19.262499999999999</v>
      </c>
      <c r="R8" s="396">
        <f t="shared" si="1"/>
        <v>0</v>
      </c>
      <c r="S8" s="394">
        <v>0</v>
      </c>
      <c r="T8" s="397">
        <f>T4/4</f>
        <v>0</v>
      </c>
      <c r="U8" s="396">
        <f>U4/4</f>
        <v>0</v>
      </c>
      <c r="V8" s="397">
        <f>P8+S8</f>
        <v>129.8075</v>
      </c>
      <c r="W8" s="395">
        <f>Q8+T8</f>
        <v>19.262499999999999</v>
      </c>
    </row>
    <row r="9" spans="1:23" ht="47.25" hidden="1" customHeight="1">
      <c r="A9" s="1036" t="s">
        <v>928</v>
      </c>
      <c r="B9" s="1037"/>
      <c r="C9" s="376"/>
      <c r="D9" s="537">
        <v>0</v>
      </c>
      <c r="E9" s="538">
        <v>0</v>
      </c>
      <c r="F9" s="396"/>
      <c r="G9" s="537">
        <v>0</v>
      </c>
      <c r="H9" s="538">
        <v>0</v>
      </c>
      <c r="I9" s="396"/>
      <c r="J9" s="537">
        <v>0</v>
      </c>
      <c r="K9" s="538">
        <v>0</v>
      </c>
      <c r="L9" s="396"/>
      <c r="M9" s="537">
        <v>0</v>
      </c>
      <c r="N9" s="538">
        <v>0</v>
      </c>
      <c r="O9" s="396"/>
      <c r="P9" s="537">
        <v>0</v>
      </c>
      <c r="Q9" s="536">
        <v>0</v>
      </c>
      <c r="R9" s="396"/>
      <c r="S9" s="537">
        <v>2.62</v>
      </c>
      <c r="T9" s="538">
        <v>0</v>
      </c>
      <c r="U9" s="396"/>
      <c r="V9" s="538">
        <f>P9+S9</f>
        <v>2.62</v>
      </c>
      <c r="W9" s="539">
        <v>0</v>
      </c>
    </row>
    <row r="10" spans="1:23" ht="47.25" hidden="1" customHeight="1">
      <c r="A10" s="1046"/>
      <c r="B10" s="1047"/>
      <c r="C10" s="379"/>
      <c r="D10" s="394"/>
      <c r="E10" s="395"/>
      <c r="F10" s="379"/>
      <c r="G10" s="394"/>
      <c r="H10" s="395"/>
      <c r="I10" s="379"/>
      <c r="J10" s="394"/>
      <c r="K10" s="395"/>
      <c r="L10" s="379"/>
      <c r="M10" s="394"/>
      <c r="N10" s="395"/>
      <c r="O10" s="379"/>
      <c r="P10" s="394"/>
      <c r="Q10" s="543"/>
      <c r="R10" s="379"/>
      <c r="S10" s="394"/>
      <c r="T10" s="395"/>
      <c r="U10" s="379"/>
      <c r="V10" s="394"/>
      <c r="W10" s="544"/>
    </row>
    <row r="11" spans="1:23" ht="47.25" hidden="1" customHeight="1">
      <c r="A11" s="541"/>
      <c r="B11" s="542"/>
      <c r="C11" s="379"/>
      <c r="D11" s="394"/>
      <c r="E11" s="395"/>
      <c r="F11" s="379"/>
      <c r="G11" s="394"/>
      <c r="H11" s="395"/>
      <c r="I11" s="379"/>
      <c r="J11" s="394"/>
      <c r="K11" s="395"/>
      <c r="L11" s="379"/>
      <c r="M11" s="394"/>
      <c r="N11" s="395"/>
      <c r="O11" s="379"/>
      <c r="P11" s="394"/>
      <c r="Q11" s="543"/>
      <c r="R11" s="379"/>
      <c r="S11" s="394"/>
      <c r="T11" s="395"/>
      <c r="U11" s="379"/>
      <c r="V11" s="394"/>
      <c r="W11" s="544"/>
    </row>
    <row r="12" spans="1:23" s="400" customFormat="1" ht="45.75" hidden="1" customHeight="1">
      <c r="A12" s="1038" t="s">
        <v>929</v>
      </c>
      <c r="B12" s="1039"/>
      <c r="C12" s="399"/>
      <c r="D12" s="540">
        <f>SUM(D7:D11)</f>
        <v>167.06</v>
      </c>
      <c r="E12" s="540">
        <f>SUM(E7:E11)</f>
        <v>26.305</v>
      </c>
      <c r="F12" s="530">
        <f>SUM(F7+F8)</f>
        <v>0</v>
      </c>
      <c r="G12" s="540">
        <f>SUM(G7:G11)</f>
        <v>80.504999999999995</v>
      </c>
      <c r="H12" s="540">
        <f>SUM(H7:H11)</f>
        <v>9.3049999999999997</v>
      </c>
      <c r="I12" s="530">
        <f>SUM(I7+I8)</f>
        <v>0</v>
      </c>
      <c r="J12" s="540">
        <f>SUM(J7:J11)</f>
        <v>5.3550000000000004</v>
      </c>
      <c r="K12" s="540">
        <f>SUM(K7:K11)</f>
        <v>2.0550000000000002</v>
      </c>
      <c r="L12" s="530">
        <f>SUM(L7+L8)</f>
        <v>0</v>
      </c>
      <c r="M12" s="540">
        <f>SUM(M7:M11)</f>
        <v>6.6950000000000003</v>
      </c>
      <c r="N12" s="540">
        <f>SUM(N7:N11)</f>
        <v>0.86</v>
      </c>
      <c r="O12" s="530">
        <f>SUM(O7+O8)</f>
        <v>0</v>
      </c>
      <c r="P12" s="540">
        <f>SUM(P7:P11)</f>
        <v>259.61500000000001</v>
      </c>
      <c r="Q12" s="540">
        <f>SUM(Q7:Q11)</f>
        <v>38.524999999999999</v>
      </c>
      <c r="R12" s="530">
        <f>SUM(R7+R8)</f>
        <v>0</v>
      </c>
      <c r="S12" s="540">
        <f>SUM(S7:S11)</f>
        <v>2.62</v>
      </c>
      <c r="T12" s="549">
        <f>SUM(T7:T11)</f>
        <v>0</v>
      </c>
      <c r="U12" s="530">
        <f>SUM(U7+U8)</f>
        <v>0</v>
      </c>
      <c r="V12" s="540">
        <f>SUM(V7:V11)</f>
        <v>262.23500000000001</v>
      </c>
      <c r="W12" s="540">
        <f>SUM(W7:W11)</f>
        <v>38.524999999999999</v>
      </c>
    </row>
    <row r="13" spans="1:23" ht="39" hidden="1" customHeight="1">
      <c r="A13" s="1034" t="s">
        <v>925</v>
      </c>
      <c r="B13" s="1035"/>
      <c r="C13" s="401"/>
      <c r="D13" s="1014">
        <f>D12+E12</f>
        <v>193.36500000000001</v>
      </c>
      <c r="E13" s="1014"/>
      <c r="F13" s="401"/>
      <c r="G13" s="1014">
        <f>G12+H12</f>
        <v>89.81</v>
      </c>
      <c r="H13" s="1014"/>
      <c r="I13" s="401"/>
      <c r="J13" s="1014">
        <f>J12+K12</f>
        <v>7.41</v>
      </c>
      <c r="K13" s="1014"/>
      <c r="L13" s="401"/>
      <c r="M13" s="1014">
        <f>M12+N12</f>
        <v>7.5550000000000006</v>
      </c>
      <c r="N13" s="1014"/>
      <c r="O13" s="402"/>
      <c r="P13" s="1014">
        <f>P12+Q12</f>
        <v>298.14</v>
      </c>
      <c r="Q13" s="1014"/>
      <c r="R13" s="393"/>
      <c r="S13" s="1014">
        <f>S12+T12</f>
        <v>2.62</v>
      </c>
      <c r="T13" s="1014"/>
      <c r="U13" s="393"/>
      <c r="V13" s="1014">
        <f>V12+W12</f>
        <v>300.76</v>
      </c>
      <c r="W13" s="1014"/>
    </row>
    <row r="14" spans="1:23" ht="60" hidden="1" customHeight="1">
      <c r="A14" s="404"/>
      <c r="C14" s="401"/>
      <c r="F14" s="401"/>
      <c r="I14" s="401"/>
      <c r="L14" s="401"/>
      <c r="O14" s="402"/>
      <c r="P14" s="405" t="e">
        <f>#REF!-#REF!-#REF!</f>
        <v>#REF!</v>
      </c>
    </row>
    <row r="15" spans="1:23" ht="20.25" hidden="1">
      <c r="A15" s="406"/>
      <c r="B15" s="393"/>
      <c r="C15" s="401"/>
      <c r="D15" s="393"/>
      <c r="E15" s="393"/>
      <c r="F15" s="401"/>
      <c r="G15" s="393"/>
      <c r="H15" s="393"/>
      <c r="I15" s="401"/>
      <c r="J15" s="393"/>
      <c r="K15" s="393"/>
      <c r="L15" s="401"/>
      <c r="M15" s="393"/>
      <c r="N15" s="393"/>
      <c r="O15" s="402"/>
      <c r="P15" s="407"/>
      <c r="Q15" s="393"/>
      <c r="R15" s="393"/>
      <c r="S15" s="393"/>
      <c r="T15" s="393"/>
      <c r="U15" s="393"/>
      <c r="V15" s="393"/>
      <c r="W15" s="393"/>
    </row>
    <row r="16" spans="1:23" s="408" customFormat="1" ht="51" hidden="1" customHeight="1">
      <c r="A16" s="1040" t="s">
        <v>930</v>
      </c>
      <c r="B16" s="1041"/>
      <c r="D16" s="409" t="s">
        <v>931</v>
      </c>
      <c r="E16" s="1042" t="s">
        <v>932</v>
      </c>
      <c r="F16" s="1043"/>
      <c r="G16" s="1044"/>
      <c r="I16" s="410"/>
      <c r="L16" s="410"/>
      <c r="O16" s="411"/>
      <c r="P16" s="411"/>
    </row>
    <row r="17" spans="1:16" ht="45" hidden="1" customHeight="1">
      <c r="A17" s="1020" t="s">
        <v>83</v>
      </c>
      <c r="B17" s="1020"/>
      <c r="C17" s="412"/>
      <c r="D17" s="413"/>
      <c r="E17" s="1028"/>
      <c r="F17" s="1028"/>
      <c r="G17" s="1028"/>
      <c r="I17" s="414"/>
      <c r="L17" s="414"/>
      <c r="O17" s="403"/>
      <c r="P17" s="403"/>
    </row>
    <row r="18" spans="1:16" s="415" customFormat="1" ht="30.75" hidden="1" customHeight="1">
      <c r="A18" s="1026" t="s">
        <v>933</v>
      </c>
      <c r="B18" s="1027"/>
      <c r="C18" s="412"/>
      <c r="D18" s="413"/>
      <c r="E18" s="1028"/>
      <c r="F18" s="1028"/>
      <c r="G18" s="1028"/>
      <c r="I18" s="416"/>
      <c r="L18" s="416"/>
      <c r="O18" s="417"/>
      <c r="P18" s="417"/>
    </row>
    <row r="19" spans="1:16" s="418" customFormat="1" ht="41.25" hidden="1" customHeight="1">
      <c r="A19" s="1026" t="s">
        <v>856</v>
      </c>
      <c r="B19" s="1027"/>
      <c r="C19" s="412"/>
      <c r="D19" s="413"/>
      <c r="E19" s="1028"/>
      <c r="F19" s="1028"/>
      <c r="G19" s="1028"/>
      <c r="I19" s="419"/>
      <c r="L19" s="419"/>
      <c r="O19" s="403"/>
      <c r="P19" s="403"/>
    </row>
    <row r="20" spans="1:16" s="415" customFormat="1" ht="29.25" hidden="1" customHeight="1">
      <c r="A20" s="1026" t="s">
        <v>934</v>
      </c>
      <c r="B20" s="1027"/>
      <c r="C20" s="412"/>
      <c r="D20" s="413"/>
      <c r="E20" s="1028"/>
      <c r="F20" s="1028"/>
      <c r="G20" s="1028"/>
      <c r="I20" s="416"/>
      <c r="K20" s="420"/>
      <c r="L20" s="416"/>
      <c r="O20" s="417"/>
      <c r="P20" s="417"/>
    </row>
    <row r="21" spans="1:16" s="415" customFormat="1" ht="29.25" hidden="1" customHeight="1">
      <c r="A21" s="1029" t="s">
        <v>863</v>
      </c>
      <c r="B21" s="1030"/>
      <c r="C21" s="412"/>
      <c r="D21" s="421"/>
      <c r="E21" s="1031"/>
      <c r="F21" s="1031"/>
      <c r="G21" s="1031"/>
      <c r="I21" s="416"/>
      <c r="K21" s="420"/>
      <c r="L21" s="416"/>
      <c r="O21" s="417"/>
      <c r="P21" s="417"/>
    </row>
    <row r="22" spans="1:16" s="415" customFormat="1" ht="48" hidden="1" customHeight="1">
      <c r="A22" s="1020" t="s">
        <v>935</v>
      </c>
      <c r="B22" s="1020"/>
      <c r="C22" s="422"/>
      <c r="D22" s="413"/>
      <c r="E22" s="1021"/>
      <c r="F22" s="1021"/>
      <c r="G22" s="1021"/>
      <c r="I22" s="416"/>
      <c r="K22" s="420"/>
      <c r="L22" s="416"/>
      <c r="O22" s="417"/>
      <c r="P22" s="417"/>
    </row>
    <row r="23" spans="1:16" s="415" customFormat="1" ht="29.25" hidden="1" customHeight="1">
      <c r="A23" s="1022" t="s">
        <v>112</v>
      </c>
      <c r="B23" s="1023"/>
      <c r="C23" s="412"/>
      <c r="D23" s="423">
        <f>SUM(D17:D22)</f>
        <v>0</v>
      </c>
      <c r="E23" s="1024"/>
      <c r="F23" s="1024"/>
      <c r="G23" s="1024"/>
      <c r="I23" s="416"/>
      <c r="K23" s="420"/>
      <c r="L23" s="416"/>
      <c r="O23" s="417"/>
      <c r="P23" s="417"/>
    </row>
    <row r="24" spans="1:16" s="415" customFormat="1" ht="29.25" hidden="1" customHeight="1">
      <c r="A24" s="424"/>
      <c r="B24" s="424"/>
      <c r="C24" s="425"/>
      <c r="D24" s="426"/>
      <c r="E24" s="427"/>
      <c r="F24" s="427"/>
      <c r="G24" s="427"/>
      <c r="I24" s="416"/>
      <c r="K24" s="420"/>
      <c r="L24" s="416"/>
      <c r="O24" s="417"/>
      <c r="P24" s="417"/>
    </row>
    <row r="25" spans="1:16" s="415" customFormat="1" ht="29.25" hidden="1" customHeight="1">
      <c r="A25" s="1025" t="s">
        <v>936</v>
      </c>
      <c r="B25" s="1025"/>
      <c r="C25" s="428"/>
      <c r="D25" s="428" t="s">
        <v>931</v>
      </c>
      <c r="E25" s="425"/>
      <c r="F25" s="425"/>
      <c r="G25" s="425"/>
      <c r="I25" s="416"/>
      <c r="K25" s="420"/>
      <c r="L25" s="416"/>
      <c r="O25" s="417"/>
      <c r="P25" s="417"/>
    </row>
    <row r="26" spans="1:16" s="418" customFormat="1" ht="46.5" hidden="1" customHeight="1">
      <c r="A26" s="1015" t="s">
        <v>937</v>
      </c>
      <c r="B26" s="1016"/>
      <c r="C26" s="429"/>
      <c r="D26" s="430"/>
      <c r="E26" s="984"/>
      <c r="F26" s="419"/>
      <c r="H26" s="431"/>
      <c r="I26" s="419"/>
      <c r="L26" s="419"/>
      <c r="O26" s="403"/>
      <c r="P26" s="403"/>
    </row>
    <row r="27" spans="1:16" s="418" customFormat="1" ht="46.5" hidden="1" customHeight="1">
      <c r="A27" s="1015" t="s">
        <v>938</v>
      </c>
      <c r="B27" s="1016"/>
      <c r="C27" s="429"/>
      <c r="D27" s="430"/>
      <c r="F27" s="419"/>
      <c r="H27" s="431"/>
      <c r="I27" s="419"/>
      <c r="L27" s="419"/>
      <c r="O27" s="403"/>
      <c r="P27" s="403"/>
    </row>
    <row r="28" spans="1:16" s="418" customFormat="1" ht="46.5" hidden="1" customHeight="1">
      <c r="A28" s="1015" t="s">
        <v>939</v>
      </c>
      <c r="B28" s="1016"/>
      <c r="C28" s="429"/>
      <c r="D28" s="430"/>
      <c r="F28" s="419"/>
      <c r="H28" s="431"/>
      <c r="I28" s="419"/>
      <c r="L28" s="419"/>
      <c r="O28" s="403"/>
      <c r="P28" s="403"/>
    </row>
    <row r="29" spans="1:16" s="433" customFormat="1" ht="57.75" hidden="1" customHeight="1">
      <c r="A29" s="1017" t="s">
        <v>940</v>
      </c>
      <c r="B29" s="1018"/>
      <c r="C29" s="432"/>
      <c r="D29" s="430"/>
      <c r="F29" s="434"/>
      <c r="I29" s="434"/>
      <c r="L29" s="434"/>
      <c r="O29" s="435"/>
      <c r="P29" s="435"/>
    </row>
    <row r="30" spans="1:16" ht="95.25" hidden="1" customHeight="1">
      <c r="A30" s="1019" t="s">
        <v>112</v>
      </c>
      <c r="B30" s="1019"/>
      <c r="C30" s="436"/>
      <c r="D30" s="430">
        <f>SUM(D26:D29)</f>
        <v>0</v>
      </c>
      <c r="F30" s="414"/>
      <c r="I30" s="414"/>
      <c r="L30" s="414"/>
      <c r="O30" s="403"/>
      <c r="P30" s="403"/>
    </row>
    <row r="31" spans="1:16" ht="20.25" customHeight="1">
      <c r="A31" s="404"/>
      <c r="C31" s="414"/>
      <c r="F31" s="414"/>
      <c r="I31" s="414"/>
      <c r="L31" s="414"/>
      <c r="O31" s="403"/>
      <c r="P31" s="403"/>
    </row>
    <row r="32" spans="1:16" ht="20.25" customHeight="1">
      <c r="A32" s="404"/>
      <c r="C32" s="414"/>
      <c r="F32" s="414"/>
      <c r="I32" s="414"/>
      <c r="L32" s="414"/>
      <c r="O32" s="403"/>
      <c r="P32" s="403"/>
    </row>
    <row r="33" spans="1:16" ht="20.25" hidden="1" customHeight="1">
      <c r="A33" s="404"/>
      <c r="B33" s="437">
        <v>48914232</v>
      </c>
      <c r="C33" s="438"/>
      <c r="D33" s="439">
        <f>B33/100000</f>
        <v>489.14231999999998</v>
      </c>
      <c r="F33" s="414"/>
      <c r="I33" s="414"/>
      <c r="L33" s="414"/>
      <c r="O33" s="403"/>
      <c r="P33" s="403"/>
    </row>
    <row r="34" spans="1:16" ht="20.25" customHeight="1">
      <c r="A34" s="404"/>
      <c r="C34" s="414"/>
      <c r="E34" s="440"/>
      <c r="F34" s="414"/>
      <c r="I34" s="414"/>
      <c r="L34" s="414"/>
      <c r="O34" s="403"/>
      <c r="P34" s="403"/>
    </row>
    <row r="35" spans="1:16" ht="20.25" customHeight="1">
      <c r="A35" s="404"/>
      <c r="C35" s="414"/>
      <c r="F35" s="414"/>
      <c r="I35" s="414"/>
      <c r="L35" s="414"/>
      <c r="O35" s="403"/>
      <c r="P35" s="403"/>
    </row>
    <row r="36" spans="1:16" ht="20.25" customHeight="1">
      <c r="A36" s="404"/>
      <c r="C36" s="401"/>
      <c r="F36" s="401"/>
      <c r="I36" s="401"/>
      <c r="L36" s="401"/>
      <c r="O36" s="402"/>
      <c r="P36" s="403"/>
    </row>
    <row r="37" spans="1:16" ht="20.25" customHeight="1">
      <c r="A37" s="404"/>
      <c r="C37" s="401"/>
      <c r="F37" s="401"/>
      <c r="I37" s="401"/>
      <c r="L37" s="401"/>
      <c r="O37" s="402"/>
      <c r="P37" s="403"/>
    </row>
    <row r="38" spans="1:16" ht="20.25" customHeight="1">
      <c r="A38" s="404"/>
      <c r="C38" s="401"/>
      <c r="F38" s="401"/>
      <c r="I38" s="401"/>
      <c r="L38" s="401"/>
      <c r="O38" s="402"/>
      <c r="P38" s="403"/>
    </row>
    <row r="39" spans="1:16" ht="20.25" customHeight="1">
      <c r="A39" s="404"/>
      <c r="C39" s="401"/>
      <c r="F39" s="401"/>
      <c r="I39" s="401"/>
      <c r="L39" s="401"/>
      <c r="O39" s="402"/>
      <c r="P39" s="403"/>
    </row>
    <row r="40" spans="1:16" ht="20.25" customHeight="1">
      <c r="A40" s="404"/>
      <c r="C40" s="401"/>
      <c r="F40" s="401"/>
      <c r="I40" s="401"/>
      <c r="L40" s="401"/>
      <c r="O40" s="402"/>
      <c r="P40" s="403"/>
    </row>
    <row r="41" spans="1:16" ht="20.25" customHeight="1">
      <c r="A41" s="404"/>
      <c r="C41" s="401"/>
      <c r="F41" s="401"/>
      <c r="I41" s="401"/>
      <c r="L41" s="401"/>
      <c r="O41" s="402"/>
      <c r="P41" s="403"/>
    </row>
    <row r="42" spans="1:16" ht="20.25" customHeight="1">
      <c r="A42" s="404"/>
      <c r="C42" s="401"/>
      <c r="F42" s="401"/>
      <c r="I42" s="401"/>
      <c r="L42" s="401"/>
      <c r="O42" s="402"/>
      <c r="P42" s="403"/>
    </row>
    <row r="43" spans="1:16" ht="20.25" customHeight="1">
      <c r="A43" s="404"/>
      <c r="C43" s="401"/>
      <c r="F43" s="401"/>
      <c r="I43" s="401"/>
      <c r="L43" s="401"/>
      <c r="O43" s="402"/>
      <c r="P43" s="403"/>
    </row>
    <row r="44" spans="1:16" ht="20.25" customHeight="1">
      <c r="A44" s="404"/>
      <c r="C44" s="401"/>
      <c r="F44" s="401"/>
      <c r="I44" s="401"/>
      <c r="L44" s="401"/>
      <c r="O44" s="402"/>
      <c r="P44" s="403"/>
    </row>
    <row r="45" spans="1:16" ht="20.25" customHeight="1">
      <c r="A45" s="404"/>
      <c r="C45" s="401"/>
      <c r="F45" s="401"/>
      <c r="I45" s="401"/>
      <c r="L45" s="401"/>
      <c r="O45" s="402"/>
      <c r="P45" s="403"/>
    </row>
    <row r="46" spans="1:16" ht="20.25" customHeight="1">
      <c r="A46" s="404"/>
      <c r="C46" s="401"/>
      <c r="F46" s="401"/>
      <c r="I46" s="401"/>
      <c r="L46" s="401"/>
      <c r="O46" s="402"/>
      <c r="P46" s="403"/>
    </row>
    <row r="47" spans="1:16" ht="20.25" customHeight="1">
      <c r="A47" s="404"/>
      <c r="C47" s="401"/>
      <c r="F47" s="401"/>
      <c r="I47" s="401"/>
      <c r="L47" s="401"/>
      <c r="O47" s="402"/>
      <c r="P47" s="403"/>
    </row>
    <row r="48" spans="1:16" ht="20.25" customHeight="1">
      <c r="A48" s="404"/>
      <c r="C48" s="401"/>
      <c r="F48" s="401"/>
      <c r="I48" s="401"/>
      <c r="L48" s="401"/>
      <c r="O48" s="402"/>
      <c r="P48" s="403"/>
    </row>
    <row r="49" spans="1:16" ht="20.25" customHeight="1">
      <c r="A49" s="404"/>
      <c r="C49" s="401"/>
      <c r="F49" s="401"/>
      <c r="I49" s="401"/>
      <c r="L49" s="401"/>
      <c r="O49" s="402"/>
      <c r="P49" s="403"/>
    </row>
    <row r="50" spans="1:16" ht="20.25" customHeight="1">
      <c r="A50" s="404"/>
      <c r="C50" s="401"/>
      <c r="F50" s="401"/>
      <c r="I50" s="401"/>
      <c r="L50" s="401"/>
      <c r="O50" s="402"/>
      <c r="P50" s="403"/>
    </row>
    <row r="51" spans="1:16" ht="20.25" customHeight="1">
      <c r="A51" s="404"/>
      <c r="C51" s="401"/>
      <c r="F51" s="401"/>
      <c r="I51" s="401"/>
      <c r="L51" s="401"/>
      <c r="O51" s="402"/>
      <c r="P51" s="403"/>
    </row>
    <row r="52" spans="1:16" ht="20.25" customHeight="1">
      <c r="A52" s="404"/>
      <c r="C52" s="401"/>
      <c r="F52" s="401"/>
      <c r="I52" s="401"/>
      <c r="L52" s="401"/>
      <c r="O52" s="402"/>
      <c r="P52" s="403"/>
    </row>
    <row r="53" spans="1:16" ht="20.25" customHeight="1">
      <c r="A53" s="404"/>
      <c r="C53" s="401"/>
      <c r="F53" s="401"/>
      <c r="I53" s="401"/>
      <c r="L53" s="401"/>
      <c r="O53" s="402"/>
      <c r="P53" s="403"/>
    </row>
    <row r="54" spans="1:16" ht="20.25" customHeight="1">
      <c r="A54" s="404"/>
      <c r="C54" s="401"/>
      <c r="F54" s="401"/>
      <c r="I54" s="401"/>
      <c r="L54" s="401"/>
      <c r="O54" s="402"/>
      <c r="P54" s="403"/>
    </row>
    <row r="55" spans="1:16" ht="20.25" customHeight="1">
      <c r="A55" s="404"/>
      <c r="C55" s="401"/>
      <c r="F55" s="401"/>
      <c r="I55" s="401"/>
      <c r="L55" s="401"/>
      <c r="O55" s="402"/>
      <c r="P55" s="403"/>
    </row>
    <row r="56" spans="1:16" ht="20.25" customHeight="1">
      <c r="A56" s="404"/>
      <c r="C56" s="401"/>
      <c r="F56" s="401"/>
      <c r="I56" s="401"/>
      <c r="L56" s="401"/>
      <c r="O56" s="402"/>
      <c r="P56" s="403"/>
    </row>
    <row r="57" spans="1:16" ht="20.25" customHeight="1">
      <c r="A57" s="404"/>
      <c r="C57" s="401"/>
      <c r="F57" s="401"/>
      <c r="I57" s="401"/>
      <c r="L57" s="401"/>
      <c r="O57" s="402"/>
      <c r="P57" s="403"/>
    </row>
    <row r="58" spans="1:16" ht="20.25" customHeight="1">
      <c r="A58" s="404"/>
      <c r="C58" s="401"/>
      <c r="F58" s="401"/>
      <c r="I58" s="401"/>
      <c r="L58" s="401"/>
      <c r="O58" s="402"/>
      <c r="P58" s="403"/>
    </row>
    <row r="59" spans="1:16" ht="20.25" customHeight="1">
      <c r="A59" s="404"/>
      <c r="C59" s="401"/>
      <c r="F59" s="401"/>
      <c r="I59" s="401"/>
      <c r="L59" s="401"/>
      <c r="O59" s="402"/>
      <c r="P59" s="403"/>
    </row>
    <row r="60" spans="1:16" ht="20.25" customHeight="1">
      <c r="A60" s="404"/>
      <c r="C60" s="401"/>
      <c r="F60" s="401"/>
      <c r="I60" s="401"/>
      <c r="L60" s="401"/>
      <c r="O60" s="402"/>
      <c r="P60" s="403"/>
    </row>
    <row r="61" spans="1:16" ht="20.25" customHeight="1">
      <c r="A61" s="404"/>
      <c r="C61" s="401"/>
      <c r="F61" s="401"/>
      <c r="I61" s="401"/>
      <c r="L61" s="401"/>
      <c r="O61" s="402"/>
      <c r="P61" s="403"/>
    </row>
  </sheetData>
  <mergeCells count="54">
    <mergeCell ref="A10:B10"/>
    <mergeCell ref="J5:K5"/>
    <mergeCell ref="M5:N5"/>
    <mergeCell ref="P5:Q5"/>
    <mergeCell ref="A1:W1"/>
    <mergeCell ref="A2:B2"/>
    <mergeCell ref="D2:E2"/>
    <mergeCell ref="G2:H2"/>
    <mergeCell ref="J2:K2"/>
    <mergeCell ref="M2:N2"/>
    <mergeCell ref="P2:Q2"/>
    <mergeCell ref="S2:T2"/>
    <mergeCell ref="V2:W2"/>
    <mergeCell ref="S5:T5"/>
    <mergeCell ref="V5:W5"/>
    <mergeCell ref="A18:B18"/>
    <mergeCell ref="E18:G18"/>
    <mergeCell ref="A3:B3"/>
    <mergeCell ref="A4:B4"/>
    <mergeCell ref="A7:B7"/>
    <mergeCell ref="A8:B8"/>
    <mergeCell ref="A9:B9"/>
    <mergeCell ref="A12:B12"/>
    <mergeCell ref="A13:B13"/>
    <mergeCell ref="A16:B16"/>
    <mergeCell ref="E16:G16"/>
    <mergeCell ref="A17:B17"/>
    <mergeCell ref="E17:G17"/>
    <mergeCell ref="D5:E5"/>
    <mergeCell ref="G5:H5"/>
    <mergeCell ref="A5:B5"/>
    <mergeCell ref="A19:B19"/>
    <mergeCell ref="E19:G19"/>
    <mergeCell ref="A20:B20"/>
    <mergeCell ref="E20:G20"/>
    <mergeCell ref="A21:B21"/>
    <mergeCell ref="E21:G21"/>
    <mergeCell ref="E22:G22"/>
    <mergeCell ref="A23:B23"/>
    <mergeCell ref="E23:G23"/>
    <mergeCell ref="A25:B25"/>
    <mergeCell ref="A26:B26"/>
    <mergeCell ref="A27:B27"/>
    <mergeCell ref="A28:B28"/>
    <mergeCell ref="A29:B29"/>
    <mergeCell ref="A30:B30"/>
    <mergeCell ref="A22:B22"/>
    <mergeCell ref="S13:T13"/>
    <mergeCell ref="V13:W13"/>
    <mergeCell ref="D13:E13"/>
    <mergeCell ref="G13:H13"/>
    <mergeCell ref="J13:K13"/>
    <mergeCell ref="M13:N13"/>
    <mergeCell ref="P13:Q13"/>
  </mergeCells>
  <printOptions gridLines="1"/>
  <pageMargins left="0.73" right="7.874015748031496E-2" top="1.5499999999999998" bottom="0.39370078740157483" header="0" footer="0"/>
  <pageSetup paperSize="9" scale="49" orientation="landscape" r:id="rId1"/>
  <headerFooter>
    <oddFooter>&amp;R&amp;D</oddFooter>
  </headerFooter>
  <ignoredErrors>
    <ignoredError sqref="R12 O12 I12 L12 F12 U12" formula="1"/>
    <ignoredError sqref="D13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F81C-9FA3-474C-BDF3-98D1B6BF6EA3}">
  <dimension ref="A1:F27"/>
  <sheetViews>
    <sheetView zoomScale="130" zoomScaleNormal="130" workbookViewId="0">
      <selection activeCell="A6" sqref="A6:XFD7"/>
    </sheetView>
  </sheetViews>
  <sheetFormatPr defaultRowHeight="12.75"/>
  <cols>
    <col min="1" max="1" width="6.140625" style="619" customWidth="1"/>
    <col min="2" max="2" width="30.140625" style="619" customWidth="1"/>
    <col min="3" max="3" width="13.7109375" style="619" customWidth="1"/>
    <col min="4" max="4" width="21.85546875" style="619" customWidth="1"/>
    <col min="5" max="6" width="13.140625" style="619" customWidth="1"/>
    <col min="7" max="7" width="9.140625" style="619"/>
    <col min="8" max="8" width="14.85546875" style="619" customWidth="1"/>
    <col min="9" max="16384" width="9.140625" style="619"/>
  </cols>
  <sheetData>
    <row r="1" spans="1:6" ht="31.35" customHeight="1">
      <c r="A1" s="1059" t="s">
        <v>941</v>
      </c>
      <c r="B1" s="1060"/>
      <c r="C1" s="1060"/>
      <c r="D1" s="1060"/>
      <c r="E1" s="1060"/>
      <c r="F1" s="1060"/>
    </row>
    <row r="2" spans="1:6" ht="31.35" customHeight="1">
      <c r="A2" s="1061" t="s">
        <v>942</v>
      </c>
      <c r="B2" s="1062"/>
      <c r="C2" s="1062"/>
      <c r="D2" s="1062"/>
      <c r="E2" s="1062"/>
      <c r="F2" s="1062"/>
    </row>
    <row r="3" spans="1:6" ht="31.35" customHeight="1">
      <c r="A3" s="620" t="s">
        <v>943</v>
      </c>
      <c r="B3" s="620" t="s">
        <v>944</v>
      </c>
      <c r="C3" s="621" t="s">
        <v>945</v>
      </c>
      <c r="D3" s="763" t="s">
        <v>946</v>
      </c>
      <c r="E3" s="620" t="s">
        <v>947</v>
      </c>
      <c r="F3" s="764" t="s">
        <v>948</v>
      </c>
    </row>
    <row r="4" spans="1:6" ht="31.35" customHeight="1">
      <c r="A4" s="622">
        <v>1</v>
      </c>
      <c r="B4" s="623" t="s">
        <v>949</v>
      </c>
      <c r="C4" s="624" t="s">
        <v>950</v>
      </c>
      <c r="D4" s="623" t="s">
        <v>951</v>
      </c>
      <c r="E4" s="625">
        <v>46023</v>
      </c>
      <c r="F4" s="626">
        <v>1320000</v>
      </c>
    </row>
    <row r="5" spans="1:6" ht="31.35" customHeight="1">
      <c r="A5" s="622">
        <v>2</v>
      </c>
      <c r="B5" s="623" t="s">
        <v>952</v>
      </c>
      <c r="C5" s="624" t="s">
        <v>953</v>
      </c>
      <c r="D5" s="623" t="s">
        <v>954</v>
      </c>
      <c r="E5" s="625">
        <v>46023</v>
      </c>
      <c r="F5" s="626">
        <v>1081920</v>
      </c>
    </row>
    <row r="6" spans="1:6" ht="31.35" customHeight="1">
      <c r="A6" s="622">
        <v>3</v>
      </c>
      <c r="B6" s="623" t="s">
        <v>955</v>
      </c>
      <c r="C6" s="624" t="s">
        <v>950</v>
      </c>
      <c r="D6" s="623" t="s">
        <v>956</v>
      </c>
      <c r="E6" s="625">
        <v>46006</v>
      </c>
      <c r="F6" s="626">
        <v>2888000</v>
      </c>
    </row>
    <row r="7" spans="1:6" ht="31.35" customHeight="1">
      <c r="A7" s="622">
        <v>4</v>
      </c>
      <c r="B7" s="623" t="s">
        <v>957</v>
      </c>
      <c r="C7" s="624" t="s">
        <v>950</v>
      </c>
      <c r="D7" s="623" t="s">
        <v>958</v>
      </c>
      <c r="E7" s="625">
        <v>46003</v>
      </c>
      <c r="F7" s="626">
        <v>2094000</v>
      </c>
    </row>
    <row r="8" spans="1:6" ht="31.35" customHeight="1">
      <c r="A8" s="622">
        <v>5</v>
      </c>
      <c r="B8" s="623" t="s">
        <v>959</v>
      </c>
      <c r="C8" s="624" t="s">
        <v>960</v>
      </c>
      <c r="D8" s="623" t="s">
        <v>961</v>
      </c>
      <c r="E8" s="625">
        <v>45948</v>
      </c>
      <c r="F8" s="626">
        <v>5242500</v>
      </c>
    </row>
    <row r="9" spans="1:6" ht="31.35" customHeight="1">
      <c r="A9" s="622">
        <v>6</v>
      </c>
      <c r="B9" s="765" t="s">
        <v>962</v>
      </c>
      <c r="C9" s="624" t="s">
        <v>45</v>
      </c>
      <c r="D9" s="623" t="s">
        <v>963</v>
      </c>
      <c r="E9" s="627">
        <v>46027</v>
      </c>
      <c r="F9" s="626">
        <v>1109000</v>
      </c>
    </row>
    <row r="10" spans="1:6" ht="31.35" customHeight="1">
      <c r="A10" s="622">
        <v>7</v>
      </c>
      <c r="B10" s="623" t="s">
        <v>702</v>
      </c>
      <c r="C10" s="624" t="s">
        <v>45</v>
      </c>
      <c r="D10" s="623" t="s">
        <v>964</v>
      </c>
      <c r="E10" s="627">
        <v>46027</v>
      </c>
      <c r="F10" s="626">
        <v>1698000</v>
      </c>
    </row>
    <row r="11" spans="1:6" ht="31.35" customHeight="1">
      <c r="A11" s="622">
        <v>8</v>
      </c>
      <c r="B11" s="623" t="s">
        <v>762</v>
      </c>
      <c r="C11" s="624" t="s">
        <v>39</v>
      </c>
      <c r="D11" s="623" t="s">
        <v>965</v>
      </c>
      <c r="E11" s="628">
        <v>46029</v>
      </c>
      <c r="F11" s="626">
        <v>1890000</v>
      </c>
    </row>
    <row r="12" spans="1:6" ht="31.35" hidden="1" customHeight="1">
      <c r="A12" s="622">
        <v>9</v>
      </c>
      <c r="B12" s="623" t="s">
        <v>966</v>
      </c>
      <c r="C12" s="624" t="s">
        <v>45</v>
      </c>
      <c r="D12" s="623"/>
      <c r="E12" s="623"/>
      <c r="F12" s="626">
        <v>530000</v>
      </c>
    </row>
    <row r="13" spans="1:6" ht="31.35" hidden="1" customHeight="1">
      <c r="A13" s="622">
        <v>10</v>
      </c>
      <c r="B13" s="623" t="s">
        <v>967</v>
      </c>
      <c r="C13" s="624" t="s">
        <v>45</v>
      </c>
      <c r="D13" s="623"/>
      <c r="E13" s="623"/>
      <c r="F13" s="626">
        <v>783000</v>
      </c>
    </row>
    <row r="14" spans="1:6" ht="31.35" hidden="1" customHeight="1">
      <c r="A14" s="622">
        <v>11</v>
      </c>
      <c r="B14" s="623" t="s">
        <v>968</v>
      </c>
      <c r="C14" s="624" t="s">
        <v>45</v>
      </c>
      <c r="D14" s="623"/>
      <c r="E14" s="623"/>
      <c r="F14" s="626">
        <v>999000</v>
      </c>
    </row>
    <row r="15" spans="1:6" ht="31.35" hidden="1" customHeight="1">
      <c r="A15" s="622">
        <v>12</v>
      </c>
      <c r="B15" s="623" t="s">
        <v>969</v>
      </c>
      <c r="C15" s="624" t="s">
        <v>45</v>
      </c>
      <c r="D15" s="623"/>
      <c r="E15" s="623"/>
      <c r="F15" s="626">
        <v>764000</v>
      </c>
    </row>
    <row r="16" spans="1:6" ht="31.35" hidden="1" customHeight="1">
      <c r="A16" s="622">
        <v>13</v>
      </c>
      <c r="B16" s="623" t="s">
        <v>970</v>
      </c>
      <c r="C16" s="624" t="s">
        <v>45</v>
      </c>
      <c r="D16" s="623"/>
      <c r="E16" s="623"/>
      <c r="F16" s="626">
        <v>637410</v>
      </c>
    </row>
    <row r="17" spans="1:6" ht="20.25" customHeight="1">
      <c r="A17" s="629"/>
      <c r="B17" s="629"/>
      <c r="C17" s="629"/>
      <c r="E17" s="630" t="s">
        <v>112</v>
      </c>
      <c r="F17" s="766">
        <f>SUM(F4:F11)</f>
        <v>17323420</v>
      </c>
    </row>
    <row r="18" spans="1:6" ht="24.75" customHeight="1">
      <c r="A18" s="1063" t="s">
        <v>971</v>
      </c>
      <c r="B18" s="1063"/>
      <c r="C18" s="1063"/>
      <c r="D18" s="1063"/>
      <c r="E18" s="1063"/>
      <c r="F18" s="1062"/>
    </row>
    <row r="19" spans="1:6" ht="27.75" customHeight="1">
      <c r="A19" s="632">
        <v>1</v>
      </c>
      <c r="B19" s="623" t="s">
        <v>972</v>
      </c>
      <c r="C19" s="633" t="s">
        <v>52</v>
      </c>
      <c r="D19" s="634" t="s">
        <v>973</v>
      </c>
      <c r="E19" s="627">
        <v>45979</v>
      </c>
      <c r="F19" s="635">
        <v>4985010</v>
      </c>
    </row>
    <row r="20" spans="1:6" ht="27.75" customHeight="1">
      <c r="A20" s="632">
        <v>2</v>
      </c>
      <c r="B20" s="623" t="s">
        <v>974</v>
      </c>
      <c r="C20" s="633" t="s">
        <v>52</v>
      </c>
      <c r="D20" s="634" t="s">
        <v>975</v>
      </c>
      <c r="E20" s="627">
        <v>45982</v>
      </c>
      <c r="F20" s="635">
        <v>6120000</v>
      </c>
    </row>
    <row r="21" spans="1:6" ht="28.5" customHeight="1">
      <c r="A21" s="632">
        <v>3</v>
      </c>
      <c r="B21" s="623" t="s">
        <v>976</v>
      </c>
      <c r="C21" s="633" t="s">
        <v>52</v>
      </c>
      <c r="D21" s="634" t="s">
        <v>977</v>
      </c>
      <c r="E21" s="627">
        <v>45972</v>
      </c>
      <c r="F21" s="635">
        <v>3997700</v>
      </c>
    </row>
    <row r="22" spans="1:6" ht="31.5" customHeight="1">
      <c r="A22" s="632">
        <v>4</v>
      </c>
      <c r="B22" s="623" t="s">
        <v>978</v>
      </c>
      <c r="C22" s="633" t="s">
        <v>52</v>
      </c>
      <c r="D22" s="634" t="s">
        <v>979</v>
      </c>
      <c r="E22" s="627">
        <v>45972</v>
      </c>
      <c r="F22" s="635">
        <v>7000000</v>
      </c>
    </row>
    <row r="23" spans="1:6" ht="31.5" customHeight="1">
      <c r="A23" s="632">
        <v>5</v>
      </c>
      <c r="B23" s="623" t="s">
        <v>980</v>
      </c>
      <c r="C23" s="633" t="s">
        <v>52</v>
      </c>
      <c r="D23" s="634" t="s">
        <v>981</v>
      </c>
      <c r="E23" s="627">
        <v>45972</v>
      </c>
      <c r="F23" s="635">
        <v>6800000</v>
      </c>
    </row>
    <row r="24" spans="1:6" ht="30" customHeight="1">
      <c r="A24" s="632">
        <v>6</v>
      </c>
      <c r="B24" s="623" t="s">
        <v>982</v>
      </c>
      <c r="C24" s="633" t="s">
        <v>52</v>
      </c>
      <c r="D24" s="634" t="s">
        <v>983</v>
      </c>
      <c r="E24" s="627">
        <v>45972</v>
      </c>
      <c r="F24" s="635">
        <v>4985000</v>
      </c>
    </row>
    <row r="25" spans="1:6" ht="30" customHeight="1">
      <c r="A25" s="632">
        <v>7</v>
      </c>
      <c r="B25" s="623" t="s">
        <v>984</v>
      </c>
      <c r="C25" s="633" t="s">
        <v>52</v>
      </c>
      <c r="D25" s="634" t="s">
        <v>985</v>
      </c>
      <c r="E25" s="627">
        <v>45972</v>
      </c>
      <c r="F25" s="635">
        <v>1985000</v>
      </c>
    </row>
    <row r="26" spans="1:6" ht="25.5" customHeight="1">
      <c r="A26" s="636"/>
      <c r="B26" s="636"/>
      <c r="C26" s="636"/>
      <c r="D26" s="636"/>
      <c r="E26" s="637" t="s">
        <v>986</v>
      </c>
      <c r="F26" s="638">
        <f>SUM(F19:F25)</f>
        <v>35872710</v>
      </c>
    </row>
    <row r="27" spans="1:6" ht="20.25" customHeight="1">
      <c r="A27" s="1064" t="s">
        <v>987</v>
      </c>
      <c r="B27" s="1064"/>
      <c r="C27" s="1064"/>
      <c r="D27" s="1064"/>
      <c r="E27" s="1064"/>
      <c r="F27" s="631">
        <f>F17+F26</f>
        <v>53196130</v>
      </c>
    </row>
  </sheetData>
  <mergeCells count="4">
    <mergeCell ref="A1:F1"/>
    <mergeCell ref="A2:F2"/>
    <mergeCell ref="A18:F18"/>
    <mergeCell ref="A27:E27"/>
  </mergeCells>
  <pageMargins left="0.63" right="0.70866141732283472" top="0.39370078740157483" bottom="0.23622047244094491" header="0.31496062992125984" footer="0.15748031496062992"/>
  <pageSetup paperSize="9" scale="90" orientation="portrait" r:id="rId1"/>
  <ignoredErrors>
    <ignoredError sqref="F17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8B51-E85A-459D-8CE3-71A5F6BEE654}">
  <dimension ref="A1:M46"/>
  <sheetViews>
    <sheetView view="pageBreakPreview" topLeftCell="A19" zoomScale="85" zoomScaleNormal="100" zoomScaleSheetLayoutView="85" workbookViewId="0">
      <selection activeCell="E37" sqref="E37"/>
    </sheetView>
  </sheetViews>
  <sheetFormatPr defaultRowHeight="12.75"/>
  <cols>
    <col min="2" max="2" width="45.85546875" customWidth="1"/>
    <col min="3" max="3" width="24.28515625" customWidth="1"/>
    <col min="4" max="4" width="27.5703125" customWidth="1"/>
    <col min="5" max="5" width="21.7109375" customWidth="1"/>
    <col min="6" max="6" width="13.85546875" customWidth="1"/>
    <col min="8" max="8" width="26.42578125" customWidth="1"/>
    <col min="9" max="9" width="22.5703125" customWidth="1"/>
    <col min="10" max="10" width="15.7109375" bestFit="1" customWidth="1"/>
    <col min="11" max="11" width="11.5703125" customWidth="1"/>
    <col min="12" max="12" width="20.140625" customWidth="1"/>
  </cols>
  <sheetData>
    <row r="1" spans="1:10" ht="24" customHeight="1">
      <c r="A1" s="560" t="s">
        <v>813</v>
      </c>
      <c r="B1" s="560" t="s">
        <v>57</v>
      </c>
      <c r="C1" s="561" t="s">
        <v>59</v>
      </c>
      <c r="D1" s="562" t="s">
        <v>892</v>
      </c>
      <c r="E1" s="562" t="s">
        <v>893</v>
      </c>
      <c r="F1" s="562" t="s">
        <v>35</v>
      </c>
      <c r="G1" s="562" t="s">
        <v>868</v>
      </c>
      <c r="H1" s="559" t="s">
        <v>988</v>
      </c>
      <c r="I1" s="559" t="s">
        <v>989</v>
      </c>
      <c r="J1" s="559" t="s">
        <v>990</v>
      </c>
    </row>
    <row r="2" spans="1:10" ht="24.95" customHeight="1">
      <c r="A2" s="563">
        <v>1</v>
      </c>
      <c r="B2" s="563" t="s">
        <v>894</v>
      </c>
      <c r="C2" s="564" t="s">
        <v>897</v>
      </c>
      <c r="D2" s="563" t="s">
        <v>898</v>
      </c>
      <c r="E2" s="565">
        <v>45904</v>
      </c>
      <c r="F2" s="563">
        <v>123960</v>
      </c>
      <c r="G2" s="563">
        <v>12</v>
      </c>
      <c r="H2" s="560"/>
      <c r="I2" s="560"/>
      <c r="J2" s="560"/>
    </row>
    <row r="3" spans="1:10" ht="24.95" customHeight="1">
      <c r="A3" s="563">
        <v>2</v>
      </c>
      <c r="B3" s="564" t="s">
        <v>899</v>
      </c>
      <c r="C3" s="564" t="s">
        <v>900</v>
      </c>
      <c r="D3" s="563" t="s">
        <v>901</v>
      </c>
      <c r="E3" s="565">
        <v>45919</v>
      </c>
      <c r="F3" s="563">
        <v>130164</v>
      </c>
      <c r="G3" s="563">
        <v>12</v>
      </c>
      <c r="H3" s="560"/>
      <c r="I3" s="560"/>
      <c r="J3" s="560"/>
    </row>
    <row r="4" spans="1:10" ht="24.95" customHeight="1">
      <c r="A4" s="563">
        <v>3</v>
      </c>
      <c r="B4" s="564" t="s">
        <v>902</v>
      </c>
      <c r="C4" s="564" t="s">
        <v>900</v>
      </c>
      <c r="D4" s="563" t="s">
        <v>903</v>
      </c>
      <c r="E4" s="565">
        <v>45938</v>
      </c>
      <c r="F4" s="563">
        <v>28360</v>
      </c>
      <c r="G4" s="563">
        <v>2</v>
      </c>
      <c r="H4" s="560"/>
      <c r="I4" s="560"/>
      <c r="J4" s="560"/>
    </row>
    <row r="5" spans="1:10" ht="24.95" customHeight="1">
      <c r="A5" s="563">
        <v>4</v>
      </c>
      <c r="B5" s="566" t="s">
        <v>904</v>
      </c>
      <c r="C5" s="566" t="s">
        <v>991</v>
      </c>
      <c r="D5" s="563" t="s">
        <v>905</v>
      </c>
      <c r="E5" s="565">
        <v>45923</v>
      </c>
      <c r="F5" s="563">
        <v>3718.8</v>
      </c>
      <c r="G5" s="563">
        <v>12</v>
      </c>
      <c r="H5" s="560"/>
      <c r="I5" s="560"/>
      <c r="J5" s="560"/>
    </row>
    <row r="6" spans="1:10" ht="24.95" customHeight="1">
      <c r="A6" s="563">
        <v>5</v>
      </c>
      <c r="B6" s="566" t="s">
        <v>906</v>
      </c>
      <c r="C6" s="566" t="s">
        <v>991</v>
      </c>
      <c r="D6" s="563" t="s">
        <v>907</v>
      </c>
      <c r="E6" s="565">
        <v>45933</v>
      </c>
      <c r="F6" s="563">
        <v>3905</v>
      </c>
      <c r="G6" s="563">
        <v>12</v>
      </c>
      <c r="H6" s="560"/>
      <c r="I6" s="560"/>
      <c r="J6" s="560"/>
    </row>
    <row r="7" spans="1:10" ht="24.95" customHeight="1">
      <c r="A7" s="563">
        <v>6</v>
      </c>
      <c r="B7" s="566" t="s">
        <v>992</v>
      </c>
      <c r="C7" s="566" t="s">
        <v>991</v>
      </c>
      <c r="D7" s="563" t="s">
        <v>908</v>
      </c>
      <c r="E7" s="565">
        <v>45958</v>
      </c>
      <c r="F7" s="563">
        <v>851</v>
      </c>
      <c r="G7" s="563">
        <v>2</v>
      </c>
      <c r="H7" s="560"/>
      <c r="I7" s="560"/>
      <c r="J7" s="560"/>
    </row>
    <row r="8" spans="1:10" ht="23.25" customHeight="1">
      <c r="A8" s="563">
        <v>7</v>
      </c>
      <c r="B8" s="563" t="s">
        <v>993</v>
      </c>
      <c r="C8" s="564" t="s">
        <v>897</v>
      </c>
      <c r="D8" s="563" t="s">
        <v>994</v>
      </c>
      <c r="E8" s="565">
        <v>45924</v>
      </c>
      <c r="F8" s="563">
        <v>51650</v>
      </c>
      <c r="G8" s="563">
        <v>5</v>
      </c>
      <c r="H8" s="560"/>
      <c r="I8" s="560"/>
      <c r="J8" s="560"/>
    </row>
    <row r="9" spans="1:10" ht="24.95" customHeight="1">
      <c r="A9" s="563">
        <v>8</v>
      </c>
      <c r="B9" s="566" t="s">
        <v>995</v>
      </c>
      <c r="C9" s="566" t="s">
        <v>991</v>
      </c>
      <c r="D9" s="563" t="s">
        <v>996</v>
      </c>
      <c r="E9" s="565">
        <v>45933</v>
      </c>
      <c r="F9" s="563">
        <v>1549.03</v>
      </c>
      <c r="G9" s="563">
        <v>5</v>
      </c>
      <c r="H9" s="560"/>
      <c r="I9" s="560"/>
      <c r="J9" s="560"/>
    </row>
    <row r="21" spans="1:13">
      <c r="A21" s="997" t="s">
        <v>997</v>
      </c>
      <c r="B21" s="997"/>
      <c r="C21" s="997"/>
      <c r="D21" s="165"/>
      <c r="E21" s="165"/>
      <c r="F21" s="306"/>
    </row>
    <row r="22" spans="1:13" ht="27" customHeight="1">
      <c r="B22" s="344" t="s">
        <v>57</v>
      </c>
      <c r="C22" s="310" t="s">
        <v>58</v>
      </c>
      <c r="D22" s="310" t="s">
        <v>59</v>
      </c>
      <c r="E22" s="344" t="s">
        <v>25</v>
      </c>
      <c r="F22" s="164"/>
      <c r="H22" s="306" t="s">
        <v>77</v>
      </c>
      <c r="I22" s="332">
        <v>5242500</v>
      </c>
      <c r="J22" s="306" t="s">
        <v>78</v>
      </c>
      <c r="K22" s="306" t="s">
        <v>79</v>
      </c>
      <c r="L22" s="308" t="s">
        <v>331</v>
      </c>
    </row>
    <row r="23" spans="1:13" ht="27.75" customHeight="1">
      <c r="B23" s="308" t="s">
        <v>61</v>
      </c>
      <c r="C23" s="332">
        <v>3068600</v>
      </c>
      <c r="D23" s="345" t="s">
        <v>62</v>
      </c>
      <c r="E23" s="308" t="s">
        <v>63</v>
      </c>
      <c r="F23" s="164"/>
      <c r="H23" s="306" t="s">
        <v>998</v>
      </c>
      <c r="I23" s="332">
        <v>1081920</v>
      </c>
      <c r="J23" s="306" t="s">
        <v>999</v>
      </c>
      <c r="K23" s="306" t="s">
        <v>36</v>
      </c>
      <c r="L23" s="308" t="s">
        <v>331</v>
      </c>
    </row>
    <row r="24" spans="1:13" ht="31.5" customHeight="1">
      <c r="B24" s="308" t="s">
        <v>65</v>
      </c>
      <c r="C24" s="332">
        <v>1189220</v>
      </c>
      <c r="D24" s="345" t="s">
        <v>66</v>
      </c>
      <c r="E24" s="308" t="s">
        <v>52</v>
      </c>
      <c r="F24" s="518"/>
      <c r="H24" s="306" t="s">
        <v>1000</v>
      </c>
      <c r="I24" s="332">
        <v>1320000</v>
      </c>
      <c r="J24" s="306" t="s">
        <v>1001</v>
      </c>
      <c r="K24" s="306" t="s">
        <v>63</v>
      </c>
      <c r="L24" s="308" t="s">
        <v>331</v>
      </c>
    </row>
    <row r="25" spans="1:13" ht="36.75" customHeight="1">
      <c r="B25" s="306" t="s">
        <v>68</v>
      </c>
      <c r="C25" s="332">
        <v>1235789</v>
      </c>
      <c r="D25" s="345" t="s">
        <v>66</v>
      </c>
      <c r="E25" s="308" t="s">
        <v>69</v>
      </c>
      <c r="F25" s="518"/>
    </row>
    <row r="26" spans="1:13" ht="38.25" customHeight="1">
      <c r="B26" s="306" t="s">
        <v>71</v>
      </c>
      <c r="C26" s="332">
        <v>1686000</v>
      </c>
      <c r="D26" s="346" t="s">
        <v>72</v>
      </c>
      <c r="E26" s="516" t="s">
        <v>73</v>
      </c>
      <c r="F26" s="164"/>
    </row>
    <row r="27" spans="1:13" ht="27" customHeight="1">
      <c r="B27" s="517" t="s">
        <v>112</v>
      </c>
      <c r="C27" s="311">
        <f>SUM(C23:C26)</f>
        <v>7179609</v>
      </c>
      <c r="D27" s="346"/>
      <c r="E27" s="306"/>
      <c r="F27" s="164"/>
    </row>
    <row r="29" spans="1:13" ht="27" customHeight="1">
      <c r="A29" s="997" t="s">
        <v>56</v>
      </c>
      <c r="B29" s="997"/>
      <c r="C29" s="997"/>
    </row>
    <row r="30" spans="1:13" ht="20.25" customHeight="1">
      <c r="B30" s="309" t="s">
        <v>60</v>
      </c>
      <c r="C30" s="310" t="s">
        <v>58</v>
      </c>
    </row>
    <row r="31" spans="1:13" ht="20.25" customHeight="1">
      <c r="B31" s="306" t="s">
        <v>64</v>
      </c>
      <c r="C31" s="167">
        <v>2345000</v>
      </c>
      <c r="E31" s="164"/>
      <c r="F31" s="164"/>
      <c r="G31" s="167"/>
      <c r="J31" s="588"/>
      <c r="K31" s="306"/>
      <c r="L31" s="306"/>
      <c r="M31" s="332"/>
    </row>
    <row r="32" spans="1:13" ht="24.75" customHeight="1">
      <c r="B32" s="306" t="s">
        <v>67</v>
      </c>
      <c r="C32" s="332">
        <v>164880</v>
      </c>
      <c r="E32" s="293"/>
      <c r="F32" s="164"/>
      <c r="G32" s="293"/>
      <c r="J32" s="589"/>
      <c r="K32" s="164"/>
      <c r="L32" s="164"/>
      <c r="M32" s="164"/>
    </row>
    <row r="33" spans="1:13" ht="20.25" customHeight="1">
      <c r="B33" s="308" t="s">
        <v>70</v>
      </c>
      <c r="C33" s="167">
        <v>9908765</v>
      </c>
      <c r="E33" s="293"/>
      <c r="F33" s="164"/>
      <c r="G33" s="164"/>
      <c r="J33" s="590"/>
      <c r="K33" s="311">
        <v>3600000</v>
      </c>
      <c r="L33" s="1065" t="s">
        <v>1002</v>
      </c>
      <c r="M33" s="1065"/>
    </row>
    <row r="34" spans="1:13" ht="23.25" customHeight="1">
      <c r="B34" s="306" t="s">
        <v>74</v>
      </c>
      <c r="C34" s="167">
        <v>4565977</v>
      </c>
      <c r="E34" s="164"/>
      <c r="F34" s="164"/>
      <c r="G34" s="164"/>
      <c r="J34" s="587"/>
      <c r="K34" s="164"/>
      <c r="L34" s="550"/>
      <c r="M34" s="550"/>
    </row>
    <row r="35" spans="1:13" ht="21.75" customHeight="1">
      <c r="B35" s="557" t="s">
        <v>1003</v>
      </c>
      <c r="C35" s="167">
        <v>235950</v>
      </c>
      <c r="E35" s="164"/>
      <c r="F35" s="164"/>
      <c r="G35" s="164"/>
      <c r="J35" s="587"/>
      <c r="K35" s="164"/>
      <c r="L35" s="164"/>
      <c r="M35" s="164"/>
    </row>
    <row r="36" spans="1:13" ht="21" customHeight="1">
      <c r="B36" s="306" t="s">
        <v>1004</v>
      </c>
      <c r="C36" s="332">
        <v>6479737</v>
      </c>
      <c r="E36" s="164"/>
      <c r="F36" s="164"/>
      <c r="G36" s="164"/>
      <c r="J36" s="587"/>
      <c r="K36" s="311">
        <v>30250000</v>
      </c>
      <c r="L36" s="1066" t="s">
        <v>1005</v>
      </c>
      <c r="M36" s="1066"/>
    </row>
    <row r="37" spans="1:13" ht="21" customHeight="1">
      <c r="A37" s="448"/>
      <c r="B37" s="308" t="s">
        <v>1006</v>
      </c>
      <c r="C37" s="332">
        <v>199999</v>
      </c>
      <c r="E37" s="164"/>
      <c r="F37" s="164"/>
      <c r="G37" s="164"/>
      <c r="J37" s="587"/>
      <c r="K37" s="311"/>
      <c r="L37" s="557"/>
      <c r="M37" s="557"/>
    </row>
    <row r="38" spans="1:13" ht="21" customHeight="1">
      <c r="A38" s="448"/>
      <c r="B38" s="308" t="s">
        <v>1007</v>
      </c>
      <c r="C38" s="332">
        <v>430260</v>
      </c>
      <c r="E38" s="164"/>
      <c r="F38" s="164"/>
      <c r="G38" s="164"/>
      <c r="J38" s="587"/>
      <c r="K38" s="311"/>
      <c r="L38" s="557"/>
      <c r="M38" s="557"/>
    </row>
    <row r="39" spans="1:13" ht="21" customHeight="1">
      <c r="A39" s="448"/>
      <c r="B39" s="308" t="s">
        <v>1008</v>
      </c>
      <c r="C39" s="332">
        <v>1320000</v>
      </c>
      <c r="E39" s="164"/>
      <c r="F39" s="164"/>
      <c r="G39" s="164"/>
      <c r="J39" s="587"/>
      <c r="K39" s="311"/>
      <c r="L39" s="557"/>
      <c r="M39" s="557"/>
    </row>
    <row r="40" spans="1:13" ht="23.25" customHeight="1">
      <c r="B40" s="517" t="s">
        <v>112</v>
      </c>
      <c r="C40" s="311">
        <f>SUM(C31:C39)</f>
        <v>25650568</v>
      </c>
      <c r="E40" s="306"/>
      <c r="F40" s="306"/>
      <c r="G40" s="306"/>
      <c r="J40" s="590"/>
      <c r="K40" s="306"/>
      <c r="L40" s="306"/>
      <c r="M40" s="306"/>
    </row>
    <row r="41" spans="1:13">
      <c r="B41" s="306"/>
      <c r="C41" s="306"/>
      <c r="D41" s="306"/>
      <c r="E41" s="306"/>
      <c r="F41" s="306"/>
      <c r="G41" s="306"/>
      <c r="J41" s="590"/>
      <c r="K41" s="306"/>
      <c r="L41" s="306"/>
      <c r="M41" s="306"/>
    </row>
    <row r="42" spans="1:13" ht="27.75" customHeight="1">
      <c r="A42" s="1067" t="s">
        <v>1009</v>
      </c>
      <c r="B42" s="1067"/>
      <c r="C42" s="1067"/>
      <c r="D42" s="639"/>
    </row>
    <row r="43" spans="1:13">
      <c r="B43" s="618"/>
      <c r="C43" s="310" t="s">
        <v>58</v>
      </c>
      <c r="D43" s="618"/>
    </row>
    <row r="44" spans="1:13" ht="26.25" customHeight="1">
      <c r="B44" s="306" t="s">
        <v>1010</v>
      </c>
      <c r="C44" s="332">
        <v>81000</v>
      </c>
      <c r="D44" s="518" t="s">
        <v>857</v>
      </c>
    </row>
    <row r="45" spans="1:13" ht="23.25" customHeight="1">
      <c r="B45" s="308" t="s">
        <v>1011</v>
      </c>
      <c r="C45" s="332">
        <v>108000</v>
      </c>
      <c r="D45" s="518" t="s">
        <v>1012</v>
      </c>
    </row>
    <row r="46" spans="1:13">
      <c r="B46" s="517" t="s">
        <v>112</v>
      </c>
      <c r="C46" s="444">
        <f>SUM(C44:C45)</f>
        <v>189000</v>
      </c>
    </row>
  </sheetData>
  <mergeCells count="5">
    <mergeCell ref="L33:M33"/>
    <mergeCell ref="L36:M36"/>
    <mergeCell ref="A21:C21"/>
    <mergeCell ref="A29:C29"/>
    <mergeCell ref="A42:C42"/>
  </mergeCells>
  <printOptions gridLines="1"/>
  <pageMargins left="0.34" right="0.17" top="0.74803149606299213" bottom="0.74803149606299213" header="0.31496062992125984" footer="0.31496062992125984"/>
  <pageSetup paperSize="9" scale="11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9C47-A388-48F2-8512-947CED63B3CC}">
  <dimension ref="A1:F25"/>
  <sheetViews>
    <sheetView zoomScale="130" zoomScaleNormal="130" workbookViewId="0">
      <selection activeCell="I19" sqref="I19"/>
    </sheetView>
  </sheetViews>
  <sheetFormatPr defaultRowHeight="12.75"/>
  <cols>
    <col min="1" max="1" width="6.140625" style="619" customWidth="1"/>
    <col min="2" max="2" width="30.140625" style="619" customWidth="1"/>
    <col min="3" max="3" width="13.7109375" style="619" customWidth="1"/>
    <col min="4" max="4" width="21.85546875" style="619" customWidth="1"/>
    <col min="5" max="6" width="13.140625" style="619" customWidth="1"/>
    <col min="7" max="7" width="9.140625" style="619"/>
    <col min="8" max="8" width="14.85546875" style="619" customWidth="1"/>
    <col min="9" max="16384" width="9.140625" style="619"/>
  </cols>
  <sheetData>
    <row r="1" spans="1:6" ht="31.35" customHeight="1">
      <c r="A1" s="1059" t="s">
        <v>941</v>
      </c>
      <c r="B1" s="1060"/>
      <c r="C1" s="1060"/>
      <c r="D1" s="1060"/>
      <c r="E1" s="1060"/>
      <c r="F1" s="1060"/>
    </row>
    <row r="2" spans="1:6" ht="31.35" customHeight="1">
      <c r="A2" s="1061" t="s">
        <v>942</v>
      </c>
      <c r="B2" s="1062"/>
      <c r="C2" s="1062"/>
      <c r="D2" s="1062"/>
      <c r="E2" s="1062"/>
      <c r="F2" s="1062"/>
    </row>
    <row r="3" spans="1:6" ht="31.35" customHeight="1">
      <c r="A3" s="620" t="s">
        <v>943</v>
      </c>
      <c r="B3" s="620" t="s">
        <v>944</v>
      </c>
      <c r="C3" s="621" t="s">
        <v>945</v>
      </c>
      <c r="D3" s="763" t="s">
        <v>946</v>
      </c>
      <c r="E3" s="620" t="s">
        <v>947</v>
      </c>
      <c r="F3" s="764" t="s">
        <v>948</v>
      </c>
    </row>
    <row r="4" spans="1:6" ht="31.35" customHeight="1">
      <c r="A4" s="622">
        <v>1</v>
      </c>
      <c r="B4" s="623" t="s">
        <v>949</v>
      </c>
      <c r="C4" s="624" t="s">
        <v>950</v>
      </c>
      <c r="D4" s="623" t="s">
        <v>951</v>
      </c>
      <c r="E4" s="625">
        <v>46023</v>
      </c>
      <c r="F4" s="626">
        <v>1320000</v>
      </c>
    </row>
    <row r="5" spans="1:6" ht="31.35" customHeight="1">
      <c r="A5" s="622">
        <v>2</v>
      </c>
      <c r="B5" s="623" t="s">
        <v>952</v>
      </c>
      <c r="C5" s="624" t="s">
        <v>953</v>
      </c>
      <c r="D5" s="623" t="s">
        <v>954</v>
      </c>
      <c r="E5" s="625">
        <v>46023</v>
      </c>
      <c r="F5" s="626">
        <v>1081920</v>
      </c>
    </row>
    <row r="6" spans="1:6" ht="31.35" customHeight="1">
      <c r="A6" s="622">
        <v>5</v>
      </c>
      <c r="B6" s="623" t="s">
        <v>959</v>
      </c>
      <c r="C6" s="624" t="s">
        <v>960</v>
      </c>
      <c r="D6" s="623" t="s">
        <v>961</v>
      </c>
      <c r="E6" s="625">
        <v>45948</v>
      </c>
      <c r="F6" s="626">
        <v>5242500</v>
      </c>
    </row>
    <row r="7" spans="1:6" ht="31.35" customHeight="1">
      <c r="A7" s="622">
        <v>6</v>
      </c>
      <c r="B7" s="765" t="s">
        <v>962</v>
      </c>
      <c r="C7" s="624" t="s">
        <v>45</v>
      </c>
      <c r="D7" s="623" t="s">
        <v>963</v>
      </c>
      <c r="E7" s="627">
        <v>46027</v>
      </c>
      <c r="F7" s="626">
        <v>1109000</v>
      </c>
    </row>
    <row r="8" spans="1:6" ht="31.35" customHeight="1">
      <c r="A8" s="622">
        <v>7</v>
      </c>
      <c r="B8" s="623" t="s">
        <v>702</v>
      </c>
      <c r="C8" s="624" t="s">
        <v>45</v>
      </c>
      <c r="D8" s="623" t="s">
        <v>964</v>
      </c>
      <c r="E8" s="627">
        <v>46027</v>
      </c>
      <c r="F8" s="626">
        <v>1698000</v>
      </c>
    </row>
    <row r="9" spans="1:6" ht="31.35" customHeight="1">
      <c r="A9" s="622">
        <v>8</v>
      </c>
      <c r="B9" s="623" t="s">
        <v>762</v>
      </c>
      <c r="C9" s="624" t="s">
        <v>39</v>
      </c>
      <c r="D9" s="623" t="s">
        <v>965</v>
      </c>
      <c r="E9" s="628">
        <v>46029</v>
      </c>
      <c r="F9" s="626">
        <v>1890000</v>
      </c>
    </row>
    <row r="10" spans="1:6" ht="31.35" hidden="1" customHeight="1">
      <c r="A10" s="622">
        <v>9</v>
      </c>
      <c r="B10" s="623" t="s">
        <v>966</v>
      </c>
      <c r="C10" s="624" t="s">
        <v>45</v>
      </c>
      <c r="D10" s="623"/>
      <c r="E10" s="623"/>
      <c r="F10" s="626">
        <v>530000</v>
      </c>
    </row>
    <row r="11" spans="1:6" ht="31.35" hidden="1" customHeight="1">
      <c r="A11" s="622">
        <v>10</v>
      </c>
      <c r="B11" s="623" t="s">
        <v>967</v>
      </c>
      <c r="C11" s="624" t="s">
        <v>45</v>
      </c>
      <c r="D11" s="623"/>
      <c r="E11" s="623"/>
      <c r="F11" s="626">
        <v>783000</v>
      </c>
    </row>
    <row r="12" spans="1:6" ht="31.35" hidden="1" customHeight="1">
      <c r="A12" s="622">
        <v>11</v>
      </c>
      <c r="B12" s="623" t="s">
        <v>968</v>
      </c>
      <c r="C12" s="624" t="s">
        <v>45</v>
      </c>
      <c r="D12" s="623"/>
      <c r="E12" s="623"/>
      <c r="F12" s="626">
        <v>999000</v>
      </c>
    </row>
    <row r="13" spans="1:6" ht="31.35" hidden="1" customHeight="1">
      <c r="A13" s="622">
        <v>12</v>
      </c>
      <c r="B13" s="623" t="s">
        <v>969</v>
      </c>
      <c r="C13" s="624" t="s">
        <v>45</v>
      </c>
      <c r="D13" s="623"/>
      <c r="E13" s="623"/>
      <c r="F13" s="626">
        <v>764000</v>
      </c>
    </row>
    <row r="14" spans="1:6" ht="31.35" hidden="1" customHeight="1">
      <c r="A14" s="622">
        <v>13</v>
      </c>
      <c r="B14" s="623" t="s">
        <v>970</v>
      </c>
      <c r="C14" s="624" t="s">
        <v>45</v>
      </c>
      <c r="D14" s="623"/>
      <c r="E14" s="623"/>
      <c r="F14" s="626">
        <v>637410</v>
      </c>
    </row>
    <row r="15" spans="1:6" ht="20.25" customHeight="1">
      <c r="A15" s="629"/>
      <c r="B15" s="629"/>
      <c r="C15" s="629"/>
      <c r="E15" s="630" t="s">
        <v>112</v>
      </c>
      <c r="F15" s="766">
        <f>SUM(F4:F9)</f>
        <v>12341420</v>
      </c>
    </row>
    <row r="16" spans="1:6" ht="24.75" customHeight="1">
      <c r="A16" s="1063" t="s">
        <v>971</v>
      </c>
      <c r="B16" s="1063"/>
      <c r="C16" s="1063"/>
      <c r="D16" s="1063"/>
      <c r="E16" s="1063"/>
      <c r="F16" s="1062"/>
    </row>
    <row r="17" spans="1:6" ht="27.75" customHeight="1">
      <c r="A17" s="632">
        <v>1</v>
      </c>
      <c r="B17" s="623" t="s">
        <v>972</v>
      </c>
      <c r="C17" s="633" t="s">
        <v>52</v>
      </c>
      <c r="D17" s="634" t="s">
        <v>973</v>
      </c>
      <c r="E17" s="627">
        <v>45979</v>
      </c>
      <c r="F17" s="635">
        <v>4985010</v>
      </c>
    </row>
    <row r="18" spans="1:6" ht="27.75" customHeight="1">
      <c r="A18" s="632">
        <v>2</v>
      </c>
      <c r="B18" s="623" t="s">
        <v>974</v>
      </c>
      <c r="C18" s="633" t="s">
        <v>52</v>
      </c>
      <c r="D18" s="634" t="s">
        <v>975</v>
      </c>
      <c r="E18" s="627">
        <v>45982</v>
      </c>
      <c r="F18" s="635">
        <v>6120000</v>
      </c>
    </row>
    <row r="19" spans="1:6" ht="28.5" customHeight="1">
      <c r="A19" s="632">
        <v>3</v>
      </c>
      <c r="B19" s="623" t="s">
        <v>976</v>
      </c>
      <c r="C19" s="633" t="s">
        <v>52</v>
      </c>
      <c r="D19" s="634" t="s">
        <v>977</v>
      </c>
      <c r="E19" s="627">
        <v>45972</v>
      </c>
      <c r="F19" s="635">
        <v>3997700</v>
      </c>
    </row>
    <row r="20" spans="1:6" ht="31.5" customHeight="1">
      <c r="A20" s="632">
        <v>4</v>
      </c>
      <c r="B20" s="623" t="s">
        <v>978</v>
      </c>
      <c r="C20" s="633" t="s">
        <v>52</v>
      </c>
      <c r="D20" s="634" t="s">
        <v>979</v>
      </c>
      <c r="E20" s="627">
        <v>45972</v>
      </c>
      <c r="F20" s="635">
        <v>7000000</v>
      </c>
    </row>
    <row r="21" spans="1:6" ht="31.5" customHeight="1">
      <c r="A21" s="632">
        <v>5</v>
      </c>
      <c r="B21" s="623" t="s">
        <v>980</v>
      </c>
      <c r="C21" s="633" t="s">
        <v>52</v>
      </c>
      <c r="D21" s="634" t="s">
        <v>981</v>
      </c>
      <c r="E21" s="627">
        <v>45972</v>
      </c>
      <c r="F21" s="635">
        <v>6800000</v>
      </c>
    </row>
    <row r="22" spans="1:6" ht="30" customHeight="1">
      <c r="A22" s="632">
        <v>6</v>
      </c>
      <c r="B22" s="623" t="s">
        <v>982</v>
      </c>
      <c r="C22" s="633" t="s">
        <v>52</v>
      </c>
      <c r="D22" s="634" t="s">
        <v>983</v>
      </c>
      <c r="E22" s="627">
        <v>45972</v>
      </c>
      <c r="F22" s="635">
        <v>4985000</v>
      </c>
    </row>
    <row r="23" spans="1:6" ht="30" customHeight="1">
      <c r="A23" s="632">
        <v>7</v>
      </c>
      <c r="B23" s="623" t="s">
        <v>984</v>
      </c>
      <c r="C23" s="633" t="s">
        <v>52</v>
      </c>
      <c r="D23" s="634" t="s">
        <v>985</v>
      </c>
      <c r="E23" s="627">
        <v>45972</v>
      </c>
      <c r="F23" s="635">
        <v>1985000</v>
      </c>
    </row>
    <row r="24" spans="1:6" ht="25.5" customHeight="1">
      <c r="A24" s="636"/>
      <c r="B24" s="636"/>
      <c r="C24" s="636"/>
      <c r="D24" s="636"/>
      <c r="E24" s="637" t="s">
        <v>986</v>
      </c>
      <c r="F24" s="638">
        <f>SUM(F17:F23)</f>
        <v>35872710</v>
      </c>
    </row>
    <row r="25" spans="1:6" ht="20.25" customHeight="1">
      <c r="A25" s="1064" t="s">
        <v>987</v>
      </c>
      <c r="B25" s="1064"/>
      <c r="C25" s="1064"/>
      <c r="D25" s="1064"/>
      <c r="E25" s="1064"/>
      <c r="F25" s="631">
        <f>F15+F24</f>
        <v>48214130</v>
      </c>
    </row>
  </sheetData>
  <mergeCells count="4">
    <mergeCell ref="A1:F1"/>
    <mergeCell ref="A2:F2"/>
    <mergeCell ref="A16:F16"/>
    <mergeCell ref="A25:E25"/>
  </mergeCells>
  <pageMargins left="0.63" right="0.70866141732283472" top="0.39370078740157483" bottom="0.23622047244094491" header="0.31496062992125984" footer="0.15748031496062992"/>
  <pageSetup paperSize="9" scale="90" orientation="portrait" r:id="rId1"/>
  <ignoredErrors>
    <ignoredError sqref="F1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37A5-24F9-4A40-B843-DE615862542A}">
  <dimension ref="A1:K8"/>
  <sheetViews>
    <sheetView workbookViewId="0">
      <selection activeCell="E18" sqref="E18"/>
    </sheetView>
  </sheetViews>
  <sheetFormatPr defaultRowHeight="14.25"/>
  <cols>
    <col min="1" max="1" width="7.5703125" style="673" customWidth="1"/>
    <col min="2" max="2" width="52.42578125" style="673" bestFit="1" customWidth="1"/>
    <col min="3" max="3" width="9.85546875" style="675" customWidth="1"/>
    <col min="4" max="4" width="17.42578125" style="673" customWidth="1"/>
    <col min="5" max="5" width="23.42578125" style="673" customWidth="1"/>
    <col min="6" max="6" width="19.5703125" style="673" customWidth="1"/>
    <col min="7" max="7" width="36.28515625" style="673" customWidth="1"/>
    <col min="8" max="8" width="28.85546875" style="673" bestFit="1" customWidth="1"/>
    <col min="9" max="9" width="31.5703125" style="673" bestFit="1" customWidth="1"/>
    <col min="10" max="10" width="14.85546875" style="673" bestFit="1" customWidth="1"/>
    <col min="11" max="11" width="22.42578125" style="673" customWidth="1"/>
    <col min="12" max="16384" width="9.140625" style="673"/>
  </cols>
  <sheetData>
    <row r="1" spans="1:11">
      <c r="A1" s="673" t="s">
        <v>813</v>
      </c>
      <c r="B1" s="673" t="s">
        <v>1013</v>
      </c>
      <c r="C1" s="675" t="s">
        <v>868</v>
      </c>
      <c r="D1" s="673" t="s">
        <v>1014</v>
      </c>
      <c r="E1" s="673" t="s">
        <v>1015</v>
      </c>
      <c r="F1" s="673" t="s">
        <v>1016</v>
      </c>
      <c r="G1" s="673" t="s">
        <v>1017</v>
      </c>
      <c r="H1" s="673" t="s">
        <v>1018</v>
      </c>
      <c r="I1" s="673" t="s">
        <v>1019</v>
      </c>
      <c r="J1" s="673" t="s">
        <v>1020</v>
      </c>
      <c r="K1" s="675" t="s">
        <v>25</v>
      </c>
    </row>
    <row r="2" spans="1:11" ht="36.75" customHeight="1">
      <c r="A2" s="675">
        <v>1</v>
      </c>
      <c r="B2" s="673" t="s">
        <v>749</v>
      </c>
      <c r="C2" s="675">
        <v>1</v>
      </c>
      <c r="D2" s="674">
        <v>2000000</v>
      </c>
      <c r="E2" s="674">
        <f>C2*D2</f>
        <v>2000000</v>
      </c>
      <c r="F2" s="674">
        <v>1896000</v>
      </c>
      <c r="G2" s="673" t="s">
        <v>1021</v>
      </c>
      <c r="H2" s="675" t="s">
        <v>83</v>
      </c>
      <c r="I2" s="671" t="s">
        <v>1022</v>
      </c>
      <c r="J2" s="672">
        <v>46060</v>
      </c>
      <c r="K2" s="675" t="s">
        <v>48</v>
      </c>
    </row>
    <row r="3" spans="1:11" ht="40.5" customHeight="1">
      <c r="A3" s="675">
        <v>3</v>
      </c>
      <c r="B3" s="673" t="s">
        <v>1023</v>
      </c>
      <c r="C3" s="675">
        <v>1</v>
      </c>
      <c r="D3" s="674">
        <v>600000</v>
      </c>
      <c r="E3" s="674">
        <f>C3*D3</f>
        <v>600000</v>
      </c>
      <c r="F3" s="674">
        <v>596250</v>
      </c>
      <c r="G3" s="673" t="s">
        <v>1024</v>
      </c>
      <c r="H3" s="675" t="s">
        <v>83</v>
      </c>
      <c r="I3" s="671" t="s">
        <v>1025</v>
      </c>
      <c r="J3" s="672">
        <v>46069</v>
      </c>
      <c r="K3" s="675" t="s">
        <v>40</v>
      </c>
    </row>
    <row r="4" spans="1:11" ht="37.5" customHeight="1">
      <c r="A4" s="675">
        <v>2</v>
      </c>
      <c r="B4" s="673" t="s">
        <v>1026</v>
      </c>
      <c r="C4" s="675">
        <v>3</v>
      </c>
      <c r="D4" s="674">
        <v>2000000</v>
      </c>
      <c r="E4" s="674">
        <f>C4*D4</f>
        <v>6000000</v>
      </c>
      <c r="F4" s="674">
        <v>953016</v>
      </c>
      <c r="G4" s="673" t="s">
        <v>1027</v>
      </c>
      <c r="H4" s="675" t="s">
        <v>856</v>
      </c>
      <c r="I4" s="671" t="s">
        <v>1028</v>
      </c>
      <c r="J4" s="672">
        <v>46069</v>
      </c>
      <c r="K4" s="675" t="s">
        <v>63</v>
      </c>
    </row>
    <row r="5" spans="1:11" ht="43.5" customHeight="1">
      <c r="A5" s="675">
        <v>4</v>
      </c>
      <c r="B5" s="673" t="s">
        <v>1029</v>
      </c>
      <c r="C5" s="675">
        <f>40+40</f>
        <v>80</v>
      </c>
      <c r="D5" s="675" t="s">
        <v>1030</v>
      </c>
      <c r="E5" s="674">
        <v>915000</v>
      </c>
      <c r="F5" s="674">
        <v>652000</v>
      </c>
      <c r="G5" s="673" t="s">
        <v>1031</v>
      </c>
      <c r="H5" s="675" t="s">
        <v>856</v>
      </c>
      <c r="I5" s="671" t="s">
        <v>1032</v>
      </c>
      <c r="J5" s="676">
        <v>46070</v>
      </c>
      <c r="K5" s="675" t="s">
        <v>63</v>
      </c>
    </row>
    <row r="6" spans="1:11" ht="43.5" customHeight="1">
      <c r="A6" s="675">
        <v>5</v>
      </c>
      <c r="B6" s="673" t="s">
        <v>1033</v>
      </c>
      <c r="C6" s="675" t="s">
        <v>1030</v>
      </c>
      <c r="D6" s="675" t="s">
        <v>1030</v>
      </c>
      <c r="E6" s="702" t="s">
        <v>1030</v>
      </c>
      <c r="F6" s="674">
        <v>72000</v>
      </c>
      <c r="G6" s="673" t="s">
        <v>1034</v>
      </c>
      <c r="H6" s="673" t="s">
        <v>1035</v>
      </c>
      <c r="I6" s="671" t="s">
        <v>1036</v>
      </c>
      <c r="J6" s="676">
        <v>46072</v>
      </c>
      <c r="K6" s="675" t="s">
        <v>36</v>
      </c>
    </row>
    <row r="7" spans="1:11" ht="30.75" customHeight="1">
      <c r="A7" s="675">
        <v>6</v>
      </c>
      <c r="B7" s="748" t="s">
        <v>722</v>
      </c>
      <c r="C7" s="675">
        <v>1</v>
      </c>
      <c r="D7" s="674">
        <v>520000</v>
      </c>
      <c r="E7" s="674">
        <f>C7*D7</f>
        <v>520000</v>
      </c>
      <c r="F7" s="674">
        <v>570000</v>
      </c>
      <c r="G7" s="673" t="s">
        <v>723</v>
      </c>
      <c r="H7" s="675" t="s">
        <v>83</v>
      </c>
      <c r="K7" s="673" t="s">
        <v>1037</v>
      </c>
    </row>
    <row r="8" spans="1:11" ht="29.25" customHeight="1">
      <c r="A8" s="675">
        <v>9</v>
      </c>
      <c r="B8" s="673" t="s">
        <v>1038</v>
      </c>
      <c r="C8" s="675">
        <v>1</v>
      </c>
      <c r="D8" s="674">
        <v>1250000</v>
      </c>
      <c r="E8" s="674">
        <f>C8*D8</f>
        <v>1250000</v>
      </c>
      <c r="F8" s="673">
        <v>1330000</v>
      </c>
      <c r="G8" s="673" t="s">
        <v>723</v>
      </c>
      <c r="H8" s="675" t="s">
        <v>83</v>
      </c>
      <c r="K8" s="673" t="s">
        <v>1037</v>
      </c>
    </row>
  </sheetData>
  <hyperlinks>
    <hyperlink ref="I5" r:id="rId1" display="https://esarkar.gujarat.gov.in/office.jsp" xr:uid="{4DA6D9CB-F6B0-43E7-845D-D576EC9C17E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B57A-C11E-4BA3-A6B9-8F37FFB69F27}">
  <dimension ref="A1:D32"/>
  <sheetViews>
    <sheetView workbookViewId="0">
      <selection activeCell="I29" sqref="I29"/>
    </sheetView>
  </sheetViews>
  <sheetFormatPr defaultRowHeight="12.75"/>
  <cols>
    <col min="2" max="2" width="69" bestFit="1" customWidth="1"/>
    <col min="3" max="3" width="12" customWidth="1"/>
    <col min="4" max="4" width="9.42578125" bestFit="1" customWidth="1"/>
  </cols>
  <sheetData>
    <row r="1" spans="1:4">
      <c r="A1" s="442" t="s">
        <v>813</v>
      </c>
      <c r="B1" s="442" t="s">
        <v>1013</v>
      </c>
      <c r="C1" s="442" t="s">
        <v>868</v>
      </c>
      <c r="D1" s="442" t="s">
        <v>1039</v>
      </c>
    </row>
    <row r="2" spans="1:4">
      <c r="A2">
        <v>1</v>
      </c>
      <c r="B2" s="442" t="s">
        <v>1040</v>
      </c>
      <c r="C2">
        <v>4</v>
      </c>
      <c r="D2" s="170">
        <v>23760</v>
      </c>
    </row>
    <row r="3" spans="1:4">
      <c r="A3">
        <v>2</v>
      </c>
      <c r="B3" s="442" t="s">
        <v>1041</v>
      </c>
      <c r="C3">
        <v>350</v>
      </c>
      <c r="D3" s="170">
        <v>23828</v>
      </c>
    </row>
    <row r="4" spans="1:4">
      <c r="A4">
        <v>3</v>
      </c>
      <c r="B4" s="442" t="s">
        <v>1042</v>
      </c>
      <c r="C4">
        <v>576</v>
      </c>
      <c r="D4" s="170">
        <v>23194</v>
      </c>
    </row>
    <row r="5" spans="1:4">
      <c r="A5">
        <v>4</v>
      </c>
      <c r="B5" s="442" t="s">
        <v>1043</v>
      </c>
      <c r="C5">
        <v>1</v>
      </c>
      <c r="D5" s="170">
        <v>1500</v>
      </c>
    </row>
    <row r="6" spans="1:4">
      <c r="A6">
        <v>5</v>
      </c>
      <c r="B6" s="442" t="s">
        <v>1044</v>
      </c>
      <c r="C6">
        <v>8</v>
      </c>
      <c r="D6" s="170">
        <v>6095</v>
      </c>
    </row>
    <row r="7" spans="1:4">
      <c r="A7">
        <v>6</v>
      </c>
      <c r="B7" s="442" t="s">
        <v>1045</v>
      </c>
      <c r="C7">
        <v>5</v>
      </c>
      <c r="D7" s="170">
        <v>1070</v>
      </c>
    </row>
    <row r="8" spans="1:4">
      <c r="A8">
        <v>16</v>
      </c>
      <c r="B8" s="442" t="s">
        <v>1046</v>
      </c>
      <c r="C8">
        <v>37</v>
      </c>
      <c r="D8" s="170">
        <v>24568</v>
      </c>
    </row>
    <row r="9" spans="1:4">
      <c r="A9">
        <v>17</v>
      </c>
      <c r="B9" s="442" t="s">
        <v>1047</v>
      </c>
      <c r="C9">
        <v>147</v>
      </c>
      <c r="D9" s="170">
        <v>24255</v>
      </c>
    </row>
    <row r="10" spans="1:4">
      <c r="A10">
        <v>18</v>
      </c>
      <c r="B10" s="442" t="s">
        <v>1048</v>
      </c>
      <c r="C10">
        <v>4</v>
      </c>
      <c r="D10" s="170">
        <v>24800</v>
      </c>
    </row>
    <row r="11" spans="1:4">
      <c r="A11">
        <v>19</v>
      </c>
      <c r="B11" s="442" t="s">
        <v>1049</v>
      </c>
      <c r="C11">
        <v>16</v>
      </c>
      <c r="D11" s="170">
        <v>24480</v>
      </c>
    </row>
    <row r="12" spans="1:4">
      <c r="A12">
        <v>20</v>
      </c>
      <c r="B12" s="442" t="s">
        <v>1050</v>
      </c>
      <c r="C12">
        <v>16</v>
      </c>
      <c r="D12" s="170">
        <v>24480</v>
      </c>
    </row>
    <row r="13" spans="1:4">
      <c r="A13">
        <v>21</v>
      </c>
      <c r="B13" s="442" t="s">
        <v>1051</v>
      </c>
      <c r="C13">
        <v>8</v>
      </c>
      <c r="D13" s="170">
        <v>22400</v>
      </c>
    </row>
    <row r="14" spans="1:4">
      <c r="A14">
        <v>22</v>
      </c>
      <c r="B14" s="442" t="s">
        <v>1052</v>
      </c>
      <c r="C14">
        <v>60</v>
      </c>
      <c r="D14" s="170">
        <v>23034</v>
      </c>
    </row>
    <row r="15" spans="1:4">
      <c r="A15">
        <v>23</v>
      </c>
      <c r="B15" s="442" t="s">
        <v>1053</v>
      </c>
      <c r="C15">
        <v>61</v>
      </c>
      <c r="D15" s="170">
        <v>23418</v>
      </c>
    </row>
    <row r="16" spans="1:4">
      <c r="A16">
        <v>24</v>
      </c>
      <c r="B16" s="442" t="s">
        <v>1054</v>
      </c>
      <c r="C16">
        <v>24</v>
      </c>
      <c r="D16" s="170">
        <v>24000</v>
      </c>
    </row>
    <row r="17" spans="1:4">
      <c r="A17">
        <v>25</v>
      </c>
      <c r="B17" s="442" t="s">
        <v>1055</v>
      </c>
      <c r="C17">
        <v>2</v>
      </c>
      <c r="D17" s="170">
        <v>850</v>
      </c>
    </row>
    <row r="18" spans="1:4">
      <c r="A18">
        <v>34</v>
      </c>
      <c r="B18" s="442" t="s">
        <v>1056</v>
      </c>
      <c r="C18">
        <v>4</v>
      </c>
      <c r="D18" s="170">
        <v>3200</v>
      </c>
    </row>
    <row r="19" spans="1:4">
      <c r="A19">
        <v>37</v>
      </c>
      <c r="B19" s="442" t="s">
        <v>1057</v>
      </c>
      <c r="C19">
        <f>25+25</f>
        <v>50</v>
      </c>
      <c r="D19" s="170">
        <v>19750</v>
      </c>
    </row>
    <row r="20" spans="1:4">
      <c r="A20">
        <v>38</v>
      </c>
      <c r="B20" s="442" t="s">
        <v>1058</v>
      </c>
      <c r="C20">
        <v>22</v>
      </c>
      <c r="D20" s="170">
        <v>21998</v>
      </c>
    </row>
    <row r="21" spans="1:4">
      <c r="A21">
        <v>39</v>
      </c>
      <c r="B21" s="442" t="s">
        <v>1059</v>
      </c>
      <c r="C21">
        <v>22</v>
      </c>
      <c r="D21" s="170">
        <v>21890</v>
      </c>
    </row>
    <row r="22" spans="1:4">
      <c r="A22">
        <v>52</v>
      </c>
      <c r="B22" s="442" t="s">
        <v>1060</v>
      </c>
      <c r="C22">
        <v>7</v>
      </c>
      <c r="D22" s="170">
        <v>7550</v>
      </c>
    </row>
    <row r="23" spans="1:4">
      <c r="A23">
        <v>53</v>
      </c>
      <c r="B23" s="442" t="s">
        <v>1061</v>
      </c>
      <c r="C23">
        <v>1000</v>
      </c>
      <c r="D23" s="170">
        <v>81000</v>
      </c>
    </row>
    <row r="24" spans="1:4">
      <c r="A24">
        <v>61</v>
      </c>
      <c r="B24" s="442" t="s">
        <v>1062</v>
      </c>
      <c r="C24">
        <f>100+40</f>
        <v>140</v>
      </c>
      <c r="D24" s="170">
        <v>9412</v>
      </c>
    </row>
    <row r="25" spans="1:4">
      <c r="A25">
        <v>62</v>
      </c>
      <c r="B25" s="442" t="s">
        <v>1063</v>
      </c>
      <c r="C25">
        <v>4</v>
      </c>
      <c r="D25" s="170">
        <v>6962</v>
      </c>
    </row>
    <row r="26" spans="1:4">
      <c r="A26">
        <v>89</v>
      </c>
      <c r="B26" s="442" t="s">
        <v>1064</v>
      </c>
      <c r="C26">
        <v>1</v>
      </c>
      <c r="D26" s="170">
        <v>108000</v>
      </c>
    </row>
    <row r="27" spans="1:4">
      <c r="A27">
        <v>100</v>
      </c>
      <c r="B27" s="442" t="s">
        <v>1065</v>
      </c>
      <c r="C27" s="926" t="s">
        <v>1030</v>
      </c>
      <c r="D27" s="170">
        <v>54655</v>
      </c>
    </row>
    <row r="28" spans="1:4">
      <c r="A28">
        <v>115</v>
      </c>
      <c r="B28" s="442" t="s">
        <v>1066</v>
      </c>
      <c r="C28">
        <v>256</v>
      </c>
      <c r="D28" s="170">
        <v>17408</v>
      </c>
    </row>
    <row r="29" spans="1:4">
      <c r="A29">
        <v>116</v>
      </c>
      <c r="B29" s="442" t="s">
        <v>1067</v>
      </c>
      <c r="C29">
        <f>29+1183</f>
        <v>1212</v>
      </c>
      <c r="D29" s="170">
        <v>16768</v>
      </c>
    </row>
    <row r="30" spans="1:4">
      <c r="A30">
        <v>117</v>
      </c>
      <c r="B30" s="442" t="s">
        <v>1068</v>
      </c>
      <c r="C30">
        <v>1</v>
      </c>
      <c r="D30" s="170">
        <v>423720</v>
      </c>
    </row>
    <row r="31" spans="1:4">
      <c r="A31">
        <v>129</v>
      </c>
      <c r="B31" s="442" t="s">
        <v>1069</v>
      </c>
      <c r="C31" s="442" t="s">
        <v>1030</v>
      </c>
      <c r="D31" s="170">
        <v>69800</v>
      </c>
    </row>
    <row r="32" spans="1:4">
      <c r="B32" s="927" t="s">
        <v>1070</v>
      </c>
      <c r="C32" s="927" t="s">
        <v>112</v>
      </c>
      <c r="D32" s="444">
        <f>SUM(D2:D31)</f>
        <v>1157845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view="pageBreakPreview" topLeftCell="A2" zoomScaleSheetLayoutView="100" workbookViewId="0">
      <selection activeCell="F24" sqref="F24"/>
    </sheetView>
  </sheetViews>
  <sheetFormatPr defaultRowHeight="12.75"/>
  <cols>
    <col min="1" max="1" width="4.7109375" style="74" customWidth="1"/>
    <col min="2" max="2" width="41" style="74" customWidth="1"/>
    <col min="3" max="3" width="20.5703125" style="74" customWidth="1"/>
    <col min="4" max="4" width="12.5703125" style="74" customWidth="1"/>
    <col min="5" max="5" width="17.5703125" style="74" customWidth="1"/>
    <col min="6" max="6" width="17.85546875" style="74" bestFit="1" customWidth="1"/>
    <col min="7" max="7" width="23.7109375" style="95" customWidth="1"/>
    <col min="8" max="8" width="15.85546875" style="74" customWidth="1"/>
    <col min="9" max="9" width="32.85546875" style="127" customWidth="1"/>
    <col min="10" max="256" width="9.140625" style="74"/>
    <col min="257" max="257" width="4.7109375" style="74" customWidth="1"/>
    <col min="258" max="258" width="22.140625" style="74" customWidth="1"/>
    <col min="259" max="259" width="20.5703125" style="74" customWidth="1"/>
    <col min="260" max="260" width="12.5703125" style="74" customWidth="1"/>
    <col min="261" max="261" width="17.5703125" style="74" customWidth="1"/>
    <col min="262" max="262" width="17.85546875" style="74" bestFit="1" customWidth="1"/>
    <col min="263" max="263" width="18.42578125" style="74" customWidth="1"/>
    <col min="264" max="264" width="14.42578125" style="74" customWidth="1"/>
    <col min="265" max="265" width="25.7109375" style="74" customWidth="1"/>
    <col min="266" max="512" width="9.140625" style="74"/>
    <col min="513" max="513" width="4.7109375" style="74" customWidth="1"/>
    <col min="514" max="514" width="22.140625" style="74" customWidth="1"/>
    <col min="515" max="515" width="20.5703125" style="74" customWidth="1"/>
    <col min="516" max="516" width="12.5703125" style="74" customWidth="1"/>
    <col min="517" max="517" width="17.5703125" style="74" customWidth="1"/>
    <col min="518" max="518" width="17.85546875" style="74" bestFit="1" customWidth="1"/>
    <col min="519" max="519" width="18.42578125" style="74" customWidth="1"/>
    <col min="520" max="520" width="14.42578125" style="74" customWidth="1"/>
    <col min="521" max="521" width="25.7109375" style="74" customWidth="1"/>
    <col min="522" max="768" width="9.140625" style="74"/>
    <col min="769" max="769" width="4.7109375" style="74" customWidth="1"/>
    <col min="770" max="770" width="22.140625" style="74" customWidth="1"/>
    <col min="771" max="771" width="20.5703125" style="74" customWidth="1"/>
    <col min="772" max="772" width="12.5703125" style="74" customWidth="1"/>
    <col min="773" max="773" width="17.5703125" style="74" customWidth="1"/>
    <col min="774" max="774" width="17.85546875" style="74" bestFit="1" customWidth="1"/>
    <col min="775" max="775" width="18.42578125" style="74" customWidth="1"/>
    <col min="776" max="776" width="14.42578125" style="74" customWidth="1"/>
    <col min="777" max="777" width="25.7109375" style="74" customWidth="1"/>
    <col min="778" max="1024" width="9.140625" style="74"/>
    <col min="1025" max="1025" width="4.7109375" style="74" customWidth="1"/>
    <col min="1026" max="1026" width="22.140625" style="74" customWidth="1"/>
    <col min="1027" max="1027" width="20.5703125" style="74" customWidth="1"/>
    <col min="1028" max="1028" width="12.5703125" style="74" customWidth="1"/>
    <col min="1029" max="1029" width="17.5703125" style="74" customWidth="1"/>
    <col min="1030" max="1030" width="17.85546875" style="74" bestFit="1" customWidth="1"/>
    <col min="1031" max="1031" width="18.42578125" style="74" customWidth="1"/>
    <col min="1032" max="1032" width="14.42578125" style="74" customWidth="1"/>
    <col min="1033" max="1033" width="25.7109375" style="74" customWidth="1"/>
    <col min="1034" max="1280" width="9.140625" style="74"/>
    <col min="1281" max="1281" width="4.7109375" style="74" customWidth="1"/>
    <col min="1282" max="1282" width="22.140625" style="74" customWidth="1"/>
    <col min="1283" max="1283" width="20.5703125" style="74" customWidth="1"/>
    <col min="1284" max="1284" width="12.5703125" style="74" customWidth="1"/>
    <col min="1285" max="1285" width="17.5703125" style="74" customWidth="1"/>
    <col min="1286" max="1286" width="17.85546875" style="74" bestFit="1" customWidth="1"/>
    <col min="1287" max="1287" width="18.42578125" style="74" customWidth="1"/>
    <col min="1288" max="1288" width="14.42578125" style="74" customWidth="1"/>
    <col min="1289" max="1289" width="25.7109375" style="74" customWidth="1"/>
    <col min="1290" max="1536" width="9.140625" style="74"/>
    <col min="1537" max="1537" width="4.7109375" style="74" customWidth="1"/>
    <col min="1538" max="1538" width="22.140625" style="74" customWidth="1"/>
    <col min="1539" max="1539" width="20.5703125" style="74" customWidth="1"/>
    <col min="1540" max="1540" width="12.5703125" style="74" customWidth="1"/>
    <col min="1541" max="1541" width="17.5703125" style="74" customWidth="1"/>
    <col min="1542" max="1542" width="17.85546875" style="74" bestFit="1" customWidth="1"/>
    <col min="1543" max="1543" width="18.42578125" style="74" customWidth="1"/>
    <col min="1544" max="1544" width="14.42578125" style="74" customWidth="1"/>
    <col min="1545" max="1545" width="25.7109375" style="74" customWidth="1"/>
    <col min="1546" max="1792" width="9.140625" style="74"/>
    <col min="1793" max="1793" width="4.7109375" style="74" customWidth="1"/>
    <col min="1794" max="1794" width="22.140625" style="74" customWidth="1"/>
    <col min="1795" max="1795" width="20.5703125" style="74" customWidth="1"/>
    <col min="1796" max="1796" width="12.5703125" style="74" customWidth="1"/>
    <col min="1797" max="1797" width="17.5703125" style="74" customWidth="1"/>
    <col min="1798" max="1798" width="17.85546875" style="74" bestFit="1" customWidth="1"/>
    <col min="1799" max="1799" width="18.42578125" style="74" customWidth="1"/>
    <col min="1800" max="1800" width="14.42578125" style="74" customWidth="1"/>
    <col min="1801" max="1801" width="25.7109375" style="74" customWidth="1"/>
    <col min="1802" max="2048" width="9.140625" style="74"/>
    <col min="2049" max="2049" width="4.7109375" style="74" customWidth="1"/>
    <col min="2050" max="2050" width="22.140625" style="74" customWidth="1"/>
    <col min="2051" max="2051" width="20.5703125" style="74" customWidth="1"/>
    <col min="2052" max="2052" width="12.5703125" style="74" customWidth="1"/>
    <col min="2053" max="2053" width="17.5703125" style="74" customWidth="1"/>
    <col min="2054" max="2054" width="17.85546875" style="74" bestFit="1" customWidth="1"/>
    <col min="2055" max="2055" width="18.42578125" style="74" customWidth="1"/>
    <col min="2056" max="2056" width="14.42578125" style="74" customWidth="1"/>
    <col min="2057" max="2057" width="25.7109375" style="74" customWidth="1"/>
    <col min="2058" max="2304" width="9.140625" style="74"/>
    <col min="2305" max="2305" width="4.7109375" style="74" customWidth="1"/>
    <col min="2306" max="2306" width="22.140625" style="74" customWidth="1"/>
    <col min="2307" max="2307" width="20.5703125" style="74" customWidth="1"/>
    <col min="2308" max="2308" width="12.5703125" style="74" customWidth="1"/>
    <col min="2309" max="2309" width="17.5703125" style="74" customWidth="1"/>
    <col min="2310" max="2310" width="17.85546875" style="74" bestFit="1" customWidth="1"/>
    <col min="2311" max="2311" width="18.42578125" style="74" customWidth="1"/>
    <col min="2312" max="2312" width="14.42578125" style="74" customWidth="1"/>
    <col min="2313" max="2313" width="25.7109375" style="74" customWidth="1"/>
    <col min="2314" max="2560" width="9.140625" style="74"/>
    <col min="2561" max="2561" width="4.7109375" style="74" customWidth="1"/>
    <col min="2562" max="2562" width="22.140625" style="74" customWidth="1"/>
    <col min="2563" max="2563" width="20.5703125" style="74" customWidth="1"/>
    <col min="2564" max="2564" width="12.5703125" style="74" customWidth="1"/>
    <col min="2565" max="2565" width="17.5703125" style="74" customWidth="1"/>
    <col min="2566" max="2566" width="17.85546875" style="74" bestFit="1" customWidth="1"/>
    <col min="2567" max="2567" width="18.42578125" style="74" customWidth="1"/>
    <col min="2568" max="2568" width="14.42578125" style="74" customWidth="1"/>
    <col min="2569" max="2569" width="25.7109375" style="74" customWidth="1"/>
    <col min="2570" max="2816" width="9.140625" style="74"/>
    <col min="2817" max="2817" width="4.7109375" style="74" customWidth="1"/>
    <col min="2818" max="2818" width="22.140625" style="74" customWidth="1"/>
    <col min="2819" max="2819" width="20.5703125" style="74" customWidth="1"/>
    <col min="2820" max="2820" width="12.5703125" style="74" customWidth="1"/>
    <col min="2821" max="2821" width="17.5703125" style="74" customWidth="1"/>
    <col min="2822" max="2822" width="17.85546875" style="74" bestFit="1" customWidth="1"/>
    <col min="2823" max="2823" width="18.42578125" style="74" customWidth="1"/>
    <col min="2824" max="2824" width="14.42578125" style="74" customWidth="1"/>
    <col min="2825" max="2825" width="25.7109375" style="74" customWidth="1"/>
    <col min="2826" max="3072" width="9.140625" style="74"/>
    <col min="3073" max="3073" width="4.7109375" style="74" customWidth="1"/>
    <col min="3074" max="3074" width="22.140625" style="74" customWidth="1"/>
    <col min="3075" max="3075" width="20.5703125" style="74" customWidth="1"/>
    <col min="3076" max="3076" width="12.5703125" style="74" customWidth="1"/>
    <col min="3077" max="3077" width="17.5703125" style="74" customWidth="1"/>
    <col min="3078" max="3078" width="17.85546875" style="74" bestFit="1" customWidth="1"/>
    <col min="3079" max="3079" width="18.42578125" style="74" customWidth="1"/>
    <col min="3080" max="3080" width="14.42578125" style="74" customWidth="1"/>
    <col min="3081" max="3081" width="25.7109375" style="74" customWidth="1"/>
    <col min="3082" max="3328" width="9.140625" style="74"/>
    <col min="3329" max="3329" width="4.7109375" style="74" customWidth="1"/>
    <col min="3330" max="3330" width="22.140625" style="74" customWidth="1"/>
    <col min="3331" max="3331" width="20.5703125" style="74" customWidth="1"/>
    <col min="3332" max="3332" width="12.5703125" style="74" customWidth="1"/>
    <col min="3333" max="3333" width="17.5703125" style="74" customWidth="1"/>
    <col min="3334" max="3334" width="17.85546875" style="74" bestFit="1" customWidth="1"/>
    <col min="3335" max="3335" width="18.42578125" style="74" customWidth="1"/>
    <col min="3336" max="3336" width="14.42578125" style="74" customWidth="1"/>
    <col min="3337" max="3337" width="25.7109375" style="74" customWidth="1"/>
    <col min="3338" max="3584" width="9.140625" style="74"/>
    <col min="3585" max="3585" width="4.7109375" style="74" customWidth="1"/>
    <col min="3586" max="3586" width="22.140625" style="74" customWidth="1"/>
    <col min="3587" max="3587" width="20.5703125" style="74" customWidth="1"/>
    <col min="3588" max="3588" width="12.5703125" style="74" customWidth="1"/>
    <col min="3589" max="3589" width="17.5703125" style="74" customWidth="1"/>
    <col min="3590" max="3590" width="17.85546875" style="74" bestFit="1" customWidth="1"/>
    <col min="3591" max="3591" width="18.42578125" style="74" customWidth="1"/>
    <col min="3592" max="3592" width="14.42578125" style="74" customWidth="1"/>
    <col min="3593" max="3593" width="25.7109375" style="74" customWidth="1"/>
    <col min="3594" max="3840" width="9.140625" style="74"/>
    <col min="3841" max="3841" width="4.7109375" style="74" customWidth="1"/>
    <col min="3842" max="3842" width="22.140625" style="74" customWidth="1"/>
    <col min="3843" max="3843" width="20.5703125" style="74" customWidth="1"/>
    <col min="3844" max="3844" width="12.5703125" style="74" customWidth="1"/>
    <col min="3845" max="3845" width="17.5703125" style="74" customWidth="1"/>
    <col min="3846" max="3846" width="17.85546875" style="74" bestFit="1" customWidth="1"/>
    <col min="3847" max="3847" width="18.42578125" style="74" customWidth="1"/>
    <col min="3848" max="3848" width="14.42578125" style="74" customWidth="1"/>
    <col min="3849" max="3849" width="25.7109375" style="74" customWidth="1"/>
    <col min="3850" max="4096" width="9.140625" style="74"/>
    <col min="4097" max="4097" width="4.7109375" style="74" customWidth="1"/>
    <col min="4098" max="4098" width="22.140625" style="74" customWidth="1"/>
    <col min="4099" max="4099" width="20.5703125" style="74" customWidth="1"/>
    <col min="4100" max="4100" width="12.5703125" style="74" customWidth="1"/>
    <col min="4101" max="4101" width="17.5703125" style="74" customWidth="1"/>
    <col min="4102" max="4102" width="17.85546875" style="74" bestFit="1" customWidth="1"/>
    <col min="4103" max="4103" width="18.42578125" style="74" customWidth="1"/>
    <col min="4104" max="4104" width="14.42578125" style="74" customWidth="1"/>
    <col min="4105" max="4105" width="25.7109375" style="74" customWidth="1"/>
    <col min="4106" max="4352" width="9.140625" style="74"/>
    <col min="4353" max="4353" width="4.7109375" style="74" customWidth="1"/>
    <col min="4354" max="4354" width="22.140625" style="74" customWidth="1"/>
    <col min="4355" max="4355" width="20.5703125" style="74" customWidth="1"/>
    <col min="4356" max="4356" width="12.5703125" style="74" customWidth="1"/>
    <col min="4357" max="4357" width="17.5703125" style="74" customWidth="1"/>
    <col min="4358" max="4358" width="17.85546875" style="74" bestFit="1" customWidth="1"/>
    <col min="4359" max="4359" width="18.42578125" style="74" customWidth="1"/>
    <col min="4360" max="4360" width="14.42578125" style="74" customWidth="1"/>
    <col min="4361" max="4361" width="25.7109375" style="74" customWidth="1"/>
    <col min="4362" max="4608" width="9.140625" style="74"/>
    <col min="4609" max="4609" width="4.7109375" style="74" customWidth="1"/>
    <col min="4610" max="4610" width="22.140625" style="74" customWidth="1"/>
    <col min="4611" max="4611" width="20.5703125" style="74" customWidth="1"/>
    <col min="4612" max="4612" width="12.5703125" style="74" customWidth="1"/>
    <col min="4613" max="4613" width="17.5703125" style="74" customWidth="1"/>
    <col min="4614" max="4614" width="17.85546875" style="74" bestFit="1" customWidth="1"/>
    <col min="4615" max="4615" width="18.42578125" style="74" customWidth="1"/>
    <col min="4616" max="4616" width="14.42578125" style="74" customWidth="1"/>
    <col min="4617" max="4617" width="25.7109375" style="74" customWidth="1"/>
    <col min="4618" max="4864" width="9.140625" style="74"/>
    <col min="4865" max="4865" width="4.7109375" style="74" customWidth="1"/>
    <col min="4866" max="4866" width="22.140625" style="74" customWidth="1"/>
    <col min="4867" max="4867" width="20.5703125" style="74" customWidth="1"/>
    <col min="4868" max="4868" width="12.5703125" style="74" customWidth="1"/>
    <col min="4869" max="4869" width="17.5703125" style="74" customWidth="1"/>
    <col min="4870" max="4870" width="17.85546875" style="74" bestFit="1" customWidth="1"/>
    <col min="4871" max="4871" width="18.42578125" style="74" customWidth="1"/>
    <col min="4872" max="4872" width="14.42578125" style="74" customWidth="1"/>
    <col min="4873" max="4873" width="25.7109375" style="74" customWidth="1"/>
    <col min="4874" max="5120" width="9.140625" style="74"/>
    <col min="5121" max="5121" width="4.7109375" style="74" customWidth="1"/>
    <col min="5122" max="5122" width="22.140625" style="74" customWidth="1"/>
    <col min="5123" max="5123" width="20.5703125" style="74" customWidth="1"/>
    <col min="5124" max="5124" width="12.5703125" style="74" customWidth="1"/>
    <col min="5125" max="5125" width="17.5703125" style="74" customWidth="1"/>
    <col min="5126" max="5126" width="17.85546875" style="74" bestFit="1" customWidth="1"/>
    <col min="5127" max="5127" width="18.42578125" style="74" customWidth="1"/>
    <col min="5128" max="5128" width="14.42578125" style="74" customWidth="1"/>
    <col min="5129" max="5129" width="25.7109375" style="74" customWidth="1"/>
    <col min="5130" max="5376" width="9.140625" style="74"/>
    <col min="5377" max="5377" width="4.7109375" style="74" customWidth="1"/>
    <col min="5378" max="5378" width="22.140625" style="74" customWidth="1"/>
    <col min="5379" max="5379" width="20.5703125" style="74" customWidth="1"/>
    <col min="5380" max="5380" width="12.5703125" style="74" customWidth="1"/>
    <col min="5381" max="5381" width="17.5703125" style="74" customWidth="1"/>
    <col min="5382" max="5382" width="17.85546875" style="74" bestFit="1" customWidth="1"/>
    <col min="5383" max="5383" width="18.42578125" style="74" customWidth="1"/>
    <col min="5384" max="5384" width="14.42578125" style="74" customWidth="1"/>
    <col min="5385" max="5385" width="25.7109375" style="74" customWidth="1"/>
    <col min="5386" max="5632" width="9.140625" style="74"/>
    <col min="5633" max="5633" width="4.7109375" style="74" customWidth="1"/>
    <col min="5634" max="5634" width="22.140625" style="74" customWidth="1"/>
    <col min="5635" max="5635" width="20.5703125" style="74" customWidth="1"/>
    <col min="5636" max="5636" width="12.5703125" style="74" customWidth="1"/>
    <col min="5637" max="5637" width="17.5703125" style="74" customWidth="1"/>
    <col min="5638" max="5638" width="17.85546875" style="74" bestFit="1" customWidth="1"/>
    <col min="5639" max="5639" width="18.42578125" style="74" customWidth="1"/>
    <col min="5640" max="5640" width="14.42578125" style="74" customWidth="1"/>
    <col min="5641" max="5641" width="25.7109375" style="74" customWidth="1"/>
    <col min="5642" max="5888" width="9.140625" style="74"/>
    <col min="5889" max="5889" width="4.7109375" style="74" customWidth="1"/>
    <col min="5890" max="5890" width="22.140625" style="74" customWidth="1"/>
    <col min="5891" max="5891" width="20.5703125" style="74" customWidth="1"/>
    <col min="5892" max="5892" width="12.5703125" style="74" customWidth="1"/>
    <col min="5893" max="5893" width="17.5703125" style="74" customWidth="1"/>
    <col min="5894" max="5894" width="17.85546875" style="74" bestFit="1" customWidth="1"/>
    <col min="5895" max="5895" width="18.42578125" style="74" customWidth="1"/>
    <col min="5896" max="5896" width="14.42578125" style="74" customWidth="1"/>
    <col min="5897" max="5897" width="25.7109375" style="74" customWidth="1"/>
    <col min="5898" max="6144" width="9.140625" style="74"/>
    <col min="6145" max="6145" width="4.7109375" style="74" customWidth="1"/>
    <col min="6146" max="6146" width="22.140625" style="74" customWidth="1"/>
    <col min="6147" max="6147" width="20.5703125" style="74" customWidth="1"/>
    <col min="6148" max="6148" width="12.5703125" style="74" customWidth="1"/>
    <col min="6149" max="6149" width="17.5703125" style="74" customWidth="1"/>
    <col min="6150" max="6150" width="17.85546875" style="74" bestFit="1" customWidth="1"/>
    <col min="6151" max="6151" width="18.42578125" style="74" customWidth="1"/>
    <col min="6152" max="6152" width="14.42578125" style="74" customWidth="1"/>
    <col min="6153" max="6153" width="25.7109375" style="74" customWidth="1"/>
    <col min="6154" max="6400" width="9.140625" style="74"/>
    <col min="6401" max="6401" width="4.7109375" style="74" customWidth="1"/>
    <col min="6402" max="6402" width="22.140625" style="74" customWidth="1"/>
    <col min="6403" max="6403" width="20.5703125" style="74" customWidth="1"/>
    <col min="6404" max="6404" width="12.5703125" style="74" customWidth="1"/>
    <col min="6405" max="6405" width="17.5703125" style="74" customWidth="1"/>
    <col min="6406" max="6406" width="17.85546875" style="74" bestFit="1" customWidth="1"/>
    <col min="6407" max="6407" width="18.42578125" style="74" customWidth="1"/>
    <col min="6408" max="6408" width="14.42578125" style="74" customWidth="1"/>
    <col min="6409" max="6409" width="25.7109375" style="74" customWidth="1"/>
    <col min="6410" max="6656" width="9.140625" style="74"/>
    <col min="6657" max="6657" width="4.7109375" style="74" customWidth="1"/>
    <col min="6658" max="6658" width="22.140625" style="74" customWidth="1"/>
    <col min="6659" max="6659" width="20.5703125" style="74" customWidth="1"/>
    <col min="6660" max="6660" width="12.5703125" style="74" customWidth="1"/>
    <col min="6661" max="6661" width="17.5703125" style="74" customWidth="1"/>
    <col min="6662" max="6662" width="17.85546875" style="74" bestFit="1" customWidth="1"/>
    <col min="6663" max="6663" width="18.42578125" style="74" customWidth="1"/>
    <col min="6664" max="6664" width="14.42578125" style="74" customWidth="1"/>
    <col min="6665" max="6665" width="25.7109375" style="74" customWidth="1"/>
    <col min="6666" max="6912" width="9.140625" style="74"/>
    <col min="6913" max="6913" width="4.7109375" style="74" customWidth="1"/>
    <col min="6914" max="6914" width="22.140625" style="74" customWidth="1"/>
    <col min="6915" max="6915" width="20.5703125" style="74" customWidth="1"/>
    <col min="6916" max="6916" width="12.5703125" style="74" customWidth="1"/>
    <col min="6917" max="6917" width="17.5703125" style="74" customWidth="1"/>
    <col min="6918" max="6918" width="17.85546875" style="74" bestFit="1" customWidth="1"/>
    <col min="6919" max="6919" width="18.42578125" style="74" customWidth="1"/>
    <col min="6920" max="6920" width="14.42578125" style="74" customWidth="1"/>
    <col min="6921" max="6921" width="25.7109375" style="74" customWidth="1"/>
    <col min="6922" max="7168" width="9.140625" style="74"/>
    <col min="7169" max="7169" width="4.7109375" style="74" customWidth="1"/>
    <col min="7170" max="7170" width="22.140625" style="74" customWidth="1"/>
    <col min="7171" max="7171" width="20.5703125" style="74" customWidth="1"/>
    <col min="7172" max="7172" width="12.5703125" style="74" customWidth="1"/>
    <col min="7173" max="7173" width="17.5703125" style="74" customWidth="1"/>
    <col min="7174" max="7174" width="17.85546875" style="74" bestFit="1" customWidth="1"/>
    <col min="7175" max="7175" width="18.42578125" style="74" customWidth="1"/>
    <col min="7176" max="7176" width="14.42578125" style="74" customWidth="1"/>
    <col min="7177" max="7177" width="25.7109375" style="74" customWidth="1"/>
    <col min="7178" max="7424" width="9.140625" style="74"/>
    <col min="7425" max="7425" width="4.7109375" style="74" customWidth="1"/>
    <col min="7426" max="7426" width="22.140625" style="74" customWidth="1"/>
    <col min="7427" max="7427" width="20.5703125" style="74" customWidth="1"/>
    <col min="7428" max="7428" width="12.5703125" style="74" customWidth="1"/>
    <col min="7429" max="7429" width="17.5703125" style="74" customWidth="1"/>
    <col min="7430" max="7430" width="17.85546875" style="74" bestFit="1" customWidth="1"/>
    <col min="7431" max="7431" width="18.42578125" style="74" customWidth="1"/>
    <col min="7432" max="7432" width="14.42578125" style="74" customWidth="1"/>
    <col min="7433" max="7433" width="25.7109375" style="74" customWidth="1"/>
    <col min="7434" max="7680" width="9.140625" style="74"/>
    <col min="7681" max="7681" width="4.7109375" style="74" customWidth="1"/>
    <col min="7682" max="7682" width="22.140625" style="74" customWidth="1"/>
    <col min="7683" max="7683" width="20.5703125" style="74" customWidth="1"/>
    <col min="7684" max="7684" width="12.5703125" style="74" customWidth="1"/>
    <col min="7685" max="7685" width="17.5703125" style="74" customWidth="1"/>
    <col min="7686" max="7686" width="17.85546875" style="74" bestFit="1" customWidth="1"/>
    <col min="7687" max="7687" width="18.42578125" style="74" customWidth="1"/>
    <col min="7688" max="7688" width="14.42578125" style="74" customWidth="1"/>
    <col min="7689" max="7689" width="25.7109375" style="74" customWidth="1"/>
    <col min="7690" max="7936" width="9.140625" style="74"/>
    <col min="7937" max="7937" width="4.7109375" style="74" customWidth="1"/>
    <col min="7938" max="7938" width="22.140625" style="74" customWidth="1"/>
    <col min="7939" max="7939" width="20.5703125" style="74" customWidth="1"/>
    <col min="7940" max="7940" width="12.5703125" style="74" customWidth="1"/>
    <col min="7941" max="7941" width="17.5703125" style="74" customWidth="1"/>
    <col min="7942" max="7942" width="17.85546875" style="74" bestFit="1" customWidth="1"/>
    <col min="7943" max="7943" width="18.42578125" style="74" customWidth="1"/>
    <col min="7944" max="7944" width="14.42578125" style="74" customWidth="1"/>
    <col min="7945" max="7945" width="25.7109375" style="74" customWidth="1"/>
    <col min="7946" max="8192" width="9.140625" style="74"/>
    <col min="8193" max="8193" width="4.7109375" style="74" customWidth="1"/>
    <col min="8194" max="8194" width="22.140625" style="74" customWidth="1"/>
    <col min="8195" max="8195" width="20.5703125" style="74" customWidth="1"/>
    <col min="8196" max="8196" width="12.5703125" style="74" customWidth="1"/>
    <col min="8197" max="8197" width="17.5703125" style="74" customWidth="1"/>
    <col min="8198" max="8198" width="17.85546875" style="74" bestFit="1" customWidth="1"/>
    <col min="8199" max="8199" width="18.42578125" style="74" customWidth="1"/>
    <col min="8200" max="8200" width="14.42578125" style="74" customWidth="1"/>
    <col min="8201" max="8201" width="25.7109375" style="74" customWidth="1"/>
    <col min="8202" max="8448" width="9.140625" style="74"/>
    <col min="8449" max="8449" width="4.7109375" style="74" customWidth="1"/>
    <col min="8450" max="8450" width="22.140625" style="74" customWidth="1"/>
    <col min="8451" max="8451" width="20.5703125" style="74" customWidth="1"/>
    <col min="8452" max="8452" width="12.5703125" style="74" customWidth="1"/>
    <col min="8453" max="8453" width="17.5703125" style="74" customWidth="1"/>
    <col min="8454" max="8454" width="17.85546875" style="74" bestFit="1" customWidth="1"/>
    <col min="8455" max="8455" width="18.42578125" style="74" customWidth="1"/>
    <col min="8456" max="8456" width="14.42578125" style="74" customWidth="1"/>
    <col min="8457" max="8457" width="25.7109375" style="74" customWidth="1"/>
    <col min="8458" max="8704" width="9.140625" style="74"/>
    <col min="8705" max="8705" width="4.7109375" style="74" customWidth="1"/>
    <col min="8706" max="8706" width="22.140625" style="74" customWidth="1"/>
    <col min="8707" max="8707" width="20.5703125" style="74" customWidth="1"/>
    <col min="8708" max="8708" width="12.5703125" style="74" customWidth="1"/>
    <col min="8709" max="8709" width="17.5703125" style="74" customWidth="1"/>
    <col min="8710" max="8710" width="17.85546875" style="74" bestFit="1" customWidth="1"/>
    <col min="8711" max="8711" width="18.42578125" style="74" customWidth="1"/>
    <col min="8712" max="8712" width="14.42578125" style="74" customWidth="1"/>
    <col min="8713" max="8713" width="25.7109375" style="74" customWidth="1"/>
    <col min="8714" max="8960" width="9.140625" style="74"/>
    <col min="8961" max="8961" width="4.7109375" style="74" customWidth="1"/>
    <col min="8962" max="8962" width="22.140625" style="74" customWidth="1"/>
    <col min="8963" max="8963" width="20.5703125" style="74" customWidth="1"/>
    <col min="8964" max="8964" width="12.5703125" style="74" customWidth="1"/>
    <col min="8965" max="8965" width="17.5703125" style="74" customWidth="1"/>
    <col min="8966" max="8966" width="17.85546875" style="74" bestFit="1" customWidth="1"/>
    <col min="8967" max="8967" width="18.42578125" style="74" customWidth="1"/>
    <col min="8968" max="8968" width="14.42578125" style="74" customWidth="1"/>
    <col min="8969" max="8969" width="25.7109375" style="74" customWidth="1"/>
    <col min="8970" max="9216" width="9.140625" style="74"/>
    <col min="9217" max="9217" width="4.7109375" style="74" customWidth="1"/>
    <col min="9218" max="9218" width="22.140625" style="74" customWidth="1"/>
    <col min="9219" max="9219" width="20.5703125" style="74" customWidth="1"/>
    <col min="9220" max="9220" width="12.5703125" style="74" customWidth="1"/>
    <col min="9221" max="9221" width="17.5703125" style="74" customWidth="1"/>
    <col min="9222" max="9222" width="17.85546875" style="74" bestFit="1" customWidth="1"/>
    <col min="9223" max="9223" width="18.42578125" style="74" customWidth="1"/>
    <col min="9224" max="9224" width="14.42578125" style="74" customWidth="1"/>
    <col min="9225" max="9225" width="25.7109375" style="74" customWidth="1"/>
    <col min="9226" max="9472" width="9.140625" style="74"/>
    <col min="9473" max="9473" width="4.7109375" style="74" customWidth="1"/>
    <col min="9474" max="9474" width="22.140625" style="74" customWidth="1"/>
    <col min="9475" max="9475" width="20.5703125" style="74" customWidth="1"/>
    <col min="9476" max="9476" width="12.5703125" style="74" customWidth="1"/>
    <col min="9477" max="9477" width="17.5703125" style="74" customWidth="1"/>
    <col min="9478" max="9478" width="17.85546875" style="74" bestFit="1" customWidth="1"/>
    <col min="9479" max="9479" width="18.42578125" style="74" customWidth="1"/>
    <col min="9480" max="9480" width="14.42578125" style="74" customWidth="1"/>
    <col min="9481" max="9481" width="25.7109375" style="74" customWidth="1"/>
    <col min="9482" max="9728" width="9.140625" style="74"/>
    <col min="9729" max="9729" width="4.7109375" style="74" customWidth="1"/>
    <col min="9730" max="9730" width="22.140625" style="74" customWidth="1"/>
    <col min="9731" max="9731" width="20.5703125" style="74" customWidth="1"/>
    <col min="9732" max="9732" width="12.5703125" style="74" customWidth="1"/>
    <col min="9733" max="9733" width="17.5703125" style="74" customWidth="1"/>
    <col min="9734" max="9734" width="17.85546875" style="74" bestFit="1" customWidth="1"/>
    <col min="9735" max="9735" width="18.42578125" style="74" customWidth="1"/>
    <col min="9736" max="9736" width="14.42578125" style="74" customWidth="1"/>
    <col min="9737" max="9737" width="25.7109375" style="74" customWidth="1"/>
    <col min="9738" max="9984" width="9.140625" style="74"/>
    <col min="9985" max="9985" width="4.7109375" style="74" customWidth="1"/>
    <col min="9986" max="9986" width="22.140625" style="74" customWidth="1"/>
    <col min="9987" max="9987" width="20.5703125" style="74" customWidth="1"/>
    <col min="9988" max="9988" width="12.5703125" style="74" customWidth="1"/>
    <col min="9989" max="9989" width="17.5703125" style="74" customWidth="1"/>
    <col min="9990" max="9990" width="17.85546875" style="74" bestFit="1" customWidth="1"/>
    <col min="9991" max="9991" width="18.42578125" style="74" customWidth="1"/>
    <col min="9992" max="9992" width="14.42578125" style="74" customWidth="1"/>
    <col min="9993" max="9993" width="25.7109375" style="74" customWidth="1"/>
    <col min="9994" max="10240" width="9.140625" style="74"/>
    <col min="10241" max="10241" width="4.7109375" style="74" customWidth="1"/>
    <col min="10242" max="10242" width="22.140625" style="74" customWidth="1"/>
    <col min="10243" max="10243" width="20.5703125" style="74" customWidth="1"/>
    <col min="10244" max="10244" width="12.5703125" style="74" customWidth="1"/>
    <col min="10245" max="10245" width="17.5703125" style="74" customWidth="1"/>
    <col min="10246" max="10246" width="17.85546875" style="74" bestFit="1" customWidth="1"/>
    <col min="10247" max="10247" width="18.42578125" style="74" customWidth="1"/>
    <col min="10248" max="10248" width="14.42578125" style="74" customWidth="1"/>
    <col min="10249" max="10249" width="25.7109375" style="74" customWidth="1"/>
    <col min="10250" max="10496" width="9.140625" style="74"/>
    <col min="10497" max="10497" width="4.7109375" style="74" customWidth="1"/>
    <col min="10498" max="10498" width="22.140625" style="74" customWidth="1"/>
    <col min="10499" max="10499" width="20.5703125" style="74" customWidth="1"/>
    <col min="10500" max="10500" width="12.5703125" style="74" customWidth="1"/>
    <col min="10501" max="10501" width="17.5703125" style="74" customWidth="1"/>
    <col min="10502" max="10502" width="17.85546875" style="74" bestFit="1" customWidth="1"/>
    <col min="10503" max="10503" width="18.42578125" style="74" customWidth="1"/>
    <col min="10504" max="10504" width="14.42578125" style="74" customWidth="1"/>
    <col min="10505" max="10505" width="25.7109375" style="74" customWidth="1"/>
    <col min="10506" max="10752" width="9.140625" style="74"/>
    <col min="10753" max="10753" width="4.7109375" style="74" customWidth="1"/>
    <col min="10754" max="10754" width="22.140625" style="74" customWidth="1"/>
    <col min="10755" max="10755" width="20.5703125" style="74" customWidth="1"/>
    <col min="10756" max="10756" width="12.5703125" style="74" customWidth="1"/>
    <col min="10757" max="10757" width="17.5703125" style="74" customWidth="1"/>
    <col min="10758" max="10758" width="17.85546875" style="74" bestFit="1" customWidth="1"/>
    <col min="10759" max="10759" width="18.42578125" style="74" customWidth="1"/>
    <col min="10760" max="10760" width="14.42578125" style="74" customWidth="1"/>
    <col min="10761" max="10761" width="25.7109375" style="74" customWidth="1"/>
    <col min="10762" max="11008" width="9.140625" style="74"/>
    <col min="11009" max="11009" width="4.7109375" style="74" customWidth="1"/>
    <col min="11010" max="11010" width="22.140625" style="74" customWidth="1"/>
    <col min="11011" max="11011" width="20.5703125" style="74" customWidth="1"/>
    <col min="11012" max="11012" width="12.5703125" style="74" customWidth="1"/>
    <col min="11013" max="11013" width="17.5703125" style="74" customWidth="1"/>
    <col min="11014" max="11014" width="17.85546875" style="74" bestFit="1" customWidth="1"/>
    <col min="11015" max="11015" width="18.42578125" style="74" customWidth="1"/>
    <col min="11016" max="11016" width="14.42578125" style="74" customWidth="1"/>
    <col min="11017" max="11017" width="25.7109375" style="74" customWidth="1"/>
    <col min="11018" max="11264" width="9.140625" style="74"/>
    <col min="11265" max="11265" width="4.7109375" style="74" customWidth="1"/>
    <col min="11266" max="11266" width="22.140625" style="74" customWidth="1"/>
    <col min="11267" max="11267" width="20.5703125" style="74" customWidth="1"/>
    <col min="11268" max="11268" width="12.5703125" style="74" customWidth="1"/>
    <col min="11269" max="11269" width="17.5703125" style="74" customWidth="1"/>
    <col min="11270" max="11270" width="17.85546875" style="74" bestFit="1" customWidth="1"/>
    <col min="11271" max="11271" width="18.42578125" style="74" customWidth="1"/>
    <col min="11272" max="11272" width="14.42578125" style="74" customWidth="1"/>
    <col min="11273" max="11273" width="25.7109375" style="74" customWidth="1"/>
    <col min="11274" max="11520" width="9.140625" style="74"/>
    <col min="11521" max="11521" width="4.7109375" style="74" customWidth="1"/>
    <col min="11522" max="11522" width="22.140625" style="74" customWidth="1"/>
    <col min="11523" max="11523" width="20.5703125" style="74" customWidth="1"/>
    <col min="11524" max="11524" width="12.5703125" style="74" customWidth="1"/>
    <col min="11525" max="11525" width="17.5703125" style="74" customWidth="1"/>
    <col min="11526" max="11526" width="17.85546875" style="74" bestFit="1" customWidth="1"/>
    <col min="11527" max="11527" width="18.42578125" style="74" customWidth="1"/>
    <col min="11528" max="11528" width="14.42578125" style="74" customWidth="1"/>
    <col min="11529" max="11529" width="25.7109375" style="74" customWidth="1"/>
    <col min="11530" max="11776" width="9.140625" style="74"/>
    <col min="11777" max="11777" width="4.7109375" style="74" customWidth="1"/>
    <col min="11778" max="11778" width="22.140625" style="74" customWidth="1"/>
    <col min="11779" max="11779" width="20.5703125" style="74" customWidth="1"/>
    <col min="11780" max="11780" width="12.5703125" style="74" customWidth="1"/>
    <col min="11781" max="11781" width="17.5703125" style="74" customWidth="1"/>
    <col min="11782" max="11782" width="17.85546875" style="74" bestFit="1" customWidth="1"/>
    <col min="11783" max="11783" width="18.42578125" style="74" customWidth="1"/>
    <col min="11784" max="11784" width="14.42578125" style="74" customWidth="1"/>
    <col min="11785" max="11785" width="25.7109375" style="74" customWidth="1"/>
    <col min="11786" max="12032" width="9.140625" style="74"/>
    <col min="12033" max="12033" width="4.7109375" style="74" customWidth="1"/>
    <col min="12034" max="12034" width="22.140625" style="74" customWidth="1"/>
    <col min="12035" max="12035" width="20.5703125" style="74" customWidth="1"/>
    <col min="12036" max="12036" width="12.5703125" style="74" customWidth="1"/>
    <col min="12037" max="12037" width="17.5703125" style="74" customWidth="1"/>
    <col min="12038" max="12038" width="17.85546875" style="74" bestFit="1" customWidth="1"/>
    <col min="12039" max="12039" width="18.42578125" style="74" customWidth="1"/>
    <col min="12040" max="12040" width="14.42578125" style="74" customWidth="1"/>
    <col min="12041" max="12041" width="25.7109375" style="74" customWidth="1"/>
    <col min="12042" max="12288" width="9.140625" style="74"/>
    <col min="12289" max="12289" width="4.7109375" style="74" customWidth="1"/>
    <col min="12290" max="12290" width="22.140625" style="74" customWidth="1"/>
    <col min="12291" max="12291" width="20.5703125" style="74" customWidth="1"/>
    <col min="12292" max="12292" width="12.5703125" style="74" customWidth="1"/>
    <col min="12293" max="12293" width="17.5703125" style="74" customWidth="1"/>
    <col min="12294" max="12294" width="17.85546875" style="74" bestFit="1" customWidth="1"/>
    <col min="12295" max="12295" width="18.42578125" style="74" customWidth="1"/>
    <col min="12296" max="12296" width="14.42578125" style="74" customWidth="1"/>
    <col min="12297" max="12297" width="25.7109375" style="74" customWidth="1"/>
    <col min="12298" max="12544" width="9.140625" style="74"/>
    <col min="12545" max="12545" width="4.7109375" style="74" customWidth="1"/>
    <col min="12546" max="12546" width="22.140625" style="74" customWidth="1"/>
    <col min="12547" max="12547" width="20.5703125" style="74" customWidth="1"/>
    <col min="12548" max="12548" width="12.5703125" style="74" customWidth="1"/>
    <col min="12549" max="12549" width="17.5703125" style="74" customWidth="1"/>
    <col min="12550" max="12550" width="17.85546875" style="74" bestFit="1" customWidth="1"/>
    <col min="12551" max="12551" width="18.42578125" style="74" customWidth="1"/>
    <col min="12552" max="12552" width="14.42578125" style="74" customWidth="1"/>
    <col min="12553" max="12553" width="25.7109375" style="74" customWidth="1"/>
    <col min="12554" max="12800" width="9.140625" style="74"/>
    <col min="12801" max="12801" width="4.7109375" style="74" customWidth="1"/>
    <col min="12802" max="12802" width="22.140625" style="74" customWidth="1"/>
    <col min="12803" max="12803" width="20.5703125" style="74" customWidth="1"/>
    <col min="12804" max="12804" width="12.5703125" style="74" customWidth="1"/>
    <col min="12805" max="12805" width="17.5703125" style="74" customWidth="1"/>
    <col min="12806" max="12806" width="17.85546875" style="74" bestFit="1" customWidth="1"/>
    <col min="12807" max="12807" width="18.42578125" style="74" customWidth="1"/>
    <col min="12808" max="12808" width="14.42578125" style="74" customWidth="1"/>
    <col min="12809" max="12809" width="25.7109375" style="74" customWidth="1"/>
    <col min="12810" max="13056" width="9.140625" style="74"/>
    <col min="13057" max="13057" width="4.7109375" style="74" customWidth="1"/>
    <col min="13058" max="13058" width="22.140625" style="74" customWidth="1"/>
    <col min="13059" max="13059" width="20.5703125" style="74" customWidth="1"/>
    <col min="13060" max="13060" width="12.5703125" style="74" customWidth="1"/>
    <col min="13061" max="13061" width="17.5703125" style="74" customWidth="1"/>
    <col min="13062" max="13062" width="17.85546875" style="74" bestFit="1" customWidth="1"/>
    <col min="13063" max="13063" width="18.42578125" style="74" customWidth="1"/>
    <col min="13064" max="13064" width="14.42578125" style="74" customWidth="1"/>
    <col min="13065" max="13065" width="25.7109375" style="74" customWidth="1"/>
    <col min="13066" max="13312" width="9.140625" style="74"/>
    <col min="13313" max="13313" width="4.7109375" style="74" customWidth="1"/>
    <col min="13314" max="13314" width="22.140625" style="74" customWidth="1"/>
    <col min="13315" max="13315" width="20.5703125" style="74" customWidth="1"/>
    <col min="13316" max="13316" width="12.5703125" style="74" customWidth="1"/>
    <col min="13317" max="13317" width="17.5703125" style="74" customWidth="1"/>
    <col min="13318" max="13318" width="17.85546875" style="74" bestFit="1" customWidth="1"/>
    <col min="13319" max="13319" width="18.42578125" style="74" customWidth="1"/>
    <col min="13320" max="13320" width="14.42578125" style="74" customWidth="1"/>
    <col min="13321" max="13321" width="25.7109375" style="74" customWidth="1"/>
    <col min="13322" max="13568" width="9.140625" style="74"/>
    <col min="13569" max="13569" width="4.7109375" style="74" customWidth="1"/>
    <col min="13570" max="13570" width="22.140625" style="74" customWidth="1"/>
    <col min="13571" max="13571" width="20.5703125" style="74" customWidth="1"/>
    <col min="13572" max="13572" width="12.5703125" style="74" customWidth="1"/>
    <col min="13573" max="13573" width="17.5703125" style="74" customWidth="1"/>
    <col min="13574" max="13574" width="17.85546875" style="74" bestFit="1" customWidth="1"/>
    <col min="13575" max="13575" width="18.42578125" style="74" customWidth="1"/>
    <col min="13576" max="13576" width="14.42578125" style="74" customWidth="1"/>
    <col min="13577" max="13577" width="25.7109375" style="74" customWidth="1"/>
    <col min="13578" max="13824" width="9.140625" style="74"/>
    <col min="13825" max="13825" width="4.7109375" style="74" customWidth="1"/>
    <col min="13826" max="13826" width="22.140625" style="74" customWidth="1"/>
    <col min="13827" max="13827" width="20.5703125" style="74" customWidth="1"/>
    <col min="13828" max="13828" width="12.5703125" style="74" customWidth="1"/>
    <col min="13829" max="13829" width="17.5703125" style="74" customWidth="1"/>
    <col min="13830" max="13830" width="17.85546875" style="74" bestFit="1" customWidth="1"/>
    <col min="13831" max="13831" width="18.42578125" style="74" customWidth="1"/>
    <col min="13832" max="13832" width="14.42578125" style="74" customWidth="1"/>
    <col min="13833" max="13833" width="25.7109375" style="74" customWidth="1"/>
    <col min="13834" max="14080" width="9.140625" style="74"/>
    <col min="14081" max="14081" width="4.7109375" style="74" customWidth="1"/>
    <col min="14082" max="14082" width="22.140625" style="74" customWidth="1"/>
    <col min="14083" max="14083" width="20.5703125" style="74" customWidth="1"/>
    <col min="14084" max="14084" width="12.5703125" style="74" customWidth="1"/>
    <col min="14085" max="14085" width="17.5703125" style="74" customWidth="1"/>
    <col min="14086" max="14086" width="17.85546875" style="74" bestFit="1" customWidth="1"/>
    <col min="14087" max="14087" width="18.42578125" style="74" customWidth="1"/>
    <col min="14088" max="14088" width="14.42578125" style="74" customWidth="1"/>
    <col min="14089" max="14089" width="25.7109375" style="74" customWidth="1"/>
    <col min="14090" max="14336" width="9.140625" style="74"/>
    <col min="14337" max="14337" width="4.7109375" style="74" customWidth="1"/>
    <col min="14338" max="14338" width="22.140625" style="74" customWidth="1"/>
    <col min="14339" max="14339" width="20.5703125" style="74" customWidth="1"/>
    <col min="14340" max="14340" width="12.5703125" style="74" customWidth="1"/>
    <col min="14341" max="14341" width="17.5703125" style="74" customWidth="1"/>
    <col min="14342" max="14342" width="17.85546875" style="74" bestFit="1" customWidth="1"/>
    <col min="14343" max="14343" width="18.42578125" style="74" customWidth="1"/>
    <col min="14344" max="14344" width="14.42578125" style="74" customWidth="1"/>
    <col min="14345" max="14345" width="25.7109375" style="74" customWidth="1"/>
    <col min="14346" max="14592" width="9.140625" style="74"/>
    <col min="14593" max="14593" width="4.7109375" style="74" customWidth="1"/>
    <col min="14594" max="14594" width="22.140625" style="74" customWidth="1"/>
    <col min="14595" max="14595" width="20.5703125" style="74" customWidth="1"/>
    <col min="14596" max="14596" width="12.5703125" style="74" customWidth="1"/>
    <col min="14597" max="14597" width="17.5703125" style="74" customWidth="1"/>
    <col min="14598" max="14598" width="17.85546875" style="74" bestFit="1" customWidth="1"/>
    <col min="14599" max="14599" width="18.42578125" style="74" customWidth="1"/>
    <col min="14600" max="14600" width="14.42578125" style="74" customWidth="1"/>
    <col min="14601" max="14601" width="25.7109375" style="74" customWidth="1"/>
    <col min="14602" max="14848" width="9.140625" style="74"/>
    <col min="14849" max="14849" width="4.7109375" style="74" customWidth="1"/>
    <col min="14850" max="14850" width="22.140625" style="74" customWidth="1"/>
    <col min="14851" max="14851" width="20.5703125" style="74" customWidth="1"/>
    <col min="14852" max="14852" width="12.5703125" style="74" customWidth="1"/>
    <col min="14853" max="14853" width="17.5703125" style="74" customWidth="1"/>
    <col min="14854" max="14854" width="17.85546875" style="74" bestFit="1" customWidth="1"/>
    <col min="14855" max="14855" width="18.42578125" style="74" customWidth="1"/>
    <col min="14856" max="14856" width="14.42578125" style="74" customWidth="1"/>
    <col min="14857" max="14857" width="25.7109375" style="74" customWidth="1"/>
    <col min="14858" max="15104" width="9.140625" style="74"/>
    <col min="15105" max="15105" width="4.7109375" style="74" customWidth="1"/>
    <col min="15106" max="15106" width="22.140625" style="74" customWidth="1"/>
    <col min="15107" max="15107" width="20.5703125" style="74" customWidth="1"/>
    <col min="15108" max="15108" width="12.5703125" style="74" customWidth="1"/>
    <col min="15109" max="15109" width="17.5703125" style="74" customWidth="1"/>
    <col min="15110" max="15110" width="17.85546875" style="74" bestFit="1" customWidth="1"/>
    <col min="15111" max="15111" width="18.42578125" style="74" customWidth="1"/>
    <col min="15112" max="15112" width="14.42578125" style="74" customWidth="1"/>
    <col min="15113" max="15113" width="25.7109375" style="74" customWidth="1"/>
    <col min="15114" max="15360" width="9.140625" style="74"/>
    <col min="15361" max="15361" width="4.7109375" style="74" customWidth="1"/>
    <col min="15362" max="15362" width="22.140625" style="74" customWidth="1"/>
    <col min="15363" max="15363" width="20.5703125" style="74" customWidth="1"/>
    <col min="15364" max="15364" width="12.5703125" style="74" customWidth="1"/>
    <col min="15365" max="15365" width="17.5703125" style="74" customWidth="1"/>
    <col min="15366" max="15366" width="17.85546875" style="74" bestFit="1" customWidth="1"/>
    <col min="15367" max="15367" width="18.42578125" style="74" customWidth="1"/>
    <col min="15368" max="15368" width="14.42578125" style="74" customWidth="1"/>
    <col min="15369" max="15369" width="25.7109375" style="74" customWidth="1"/>
    <col min="15370" max="15616" width="9.140625" style="74"/>
    <col min="15617" max="15617" width="4.7109375" style="74" customWidth="1"/>
    <col min="15618" max="15618" width="22.140625" style="74" customWidth="1"/>
    <col min="15619" max="15619" width="20.5703125" style="74" customWidth="1"/>
    <col min="15620" max="15620" width="12.5703125" style="74" customWidth="1"/>
    <col min="15621" max="15621" width="17.5703125" style="74" customWidth="1"/>
    <col min="15622" max="15622" width="17.85546875" style="74" bestFit="1" customWidth="1"/>
    <col min="15623" max="15623" width="18.42578125" style="74" customWidth="1"/>
    <col min="15624" max="15624" width="14.42578125" style="74" customWidth="1"/>
    <col min="15625" max="15625" width="25.7109375" style="74" customWidth="1"/>
    <col min="15626" max="15872" width="9.140625" style="74"/>
    <col min="15873" max="15873" width="4.7109375" style="74" customWidth="1"/>
    <col min="15874" max="15874" width="22.140625" style="74" customWidth="1"/>
    <col min="15875" max="15875" width="20.5703125" style="74" customWidth="1"/>
    <col min="15876" max="15876" width="12.5703125" style="74" customWidth="1"/>
    <col min="15877" max="15877" width="17.5703125" style="74" customWidth="1"/>
    <col min="15878" max="15878" width="17.85546875" style="74" bestFit="1" customWidth="1"/>
    <col min="15879" max="15879" width="18.42578125" style="74" customWidth="1"/>
    <col min="15880" max="15880" width="14.42578125" style="74" customWidth="1"/>
    <col min="15881" max="15881" width="25.7109375" style="74" customWidth="1"/>
    <col min="15882" max="16128" width="9.140625" style="74"/>
    <col min="16129" max="16129" width="4.7109375" style="74" customWidth="1"/>
    <col min="16130" max="16130" width="22.140625" style="74" customWidth="1"/>
    <col min="16131" max="16131" width="20.5703125" style="74" customWidth="1"/>
    <col min="16132" max="16132" width="12.5703125" style="74" customWidth="1"/>
    <col min="16133" max="16133" width="17.5703125" style="74" customWidth="1"/>
    <col min="16134" max="16134" width="17.85546875" style="74" bestFit="1" customWidth="1"/>
    <col min="16135" max="16135" width="18.42578125" style="74" customWidth="1"/>
    <col min="16136" max="16136" width="14.42578125" style="74" customWidth="1"/>
    <col min="16137" max="16137" width="25.7109375" style="74" customWidth="1"/>
    <col min="16138" max="16384" width="9.140625" style="74"/>
  </cols>
  <sheetData>
    <row r="1" spans="1:13" ht="20.100000000000001" customHeight="1">
      <c r="A1" s="1068" t="s">
        <v>1071</v>
      </c>
      <c r="B1" s="1068"/>
      <c r="C1" s="1068"/>
      <c r="D1" s="1068"/>
      <c r="E1" s="1068"/>
      <c r="F1" s="1068"/>
      <c r="G1" s="1068"/>
      <c r="H1" s="1068"/>
      <c r="I1" s="1068"/>
    </row>
    <row r="2" spans="1:13" ht="20.100000000000001" customHeight="1">
      <c r="A2" s="1068" t="s">
        <v>0</v>
      </c>
      <c r="B2" s="1068"/>
      <c r="C2" s="1068"/>
      <c r="D2" s="1068"/>
      <c r="E2" s="1068"/>
      <c r="F2" s="1068"/>
      <c r="G2" s="1068"/>
      <c r="H2" s="1068"/>
      <c r="I2" s="1068"/>
    </row>
    <row r="3" spans="1:13" ht="20.100000000000001" customHeight="1">
      <c r="A3" s="1068" t="s">
        <v>1072</v>
      </c>
      <c r="B3" s="1068"/>
      <c r="C3" s="1068"/>
      <c r="D3" s="1068"/>
      <c r="E3" s="1068"/>
      <c r="F3" s="1068"/>
      <c r="G3" s="1068"/>
      <c r="H3" s="1068"/>
      <c r="I3" s="1068"/>
    </row>
    <row r="4" spans="1:13" ht="20.100000000000001" customHeight="1">
      <c r="A4" s="1068" t="s">
        <v>1073</v>
      </c>
      <c r="B4" s="1068"/>
      <c r="C4" s="1068"/>
      <c r="D4" s="1068"/>
      <c r="E4" s="1068"/>
      <c r="F4" s="1068"/>
      <c r="G4" s="1068"/>
      <c r="H4" s="1068"/>
      <c r="I4" s="1068"/>
    </row>
    <row r="5" spans="1:13" ht="35.1" customHeight="1">
      <c r="A5" s="1069" t="s">
        <v>1074</v>
      </c>
      <c r="B5" s="1069"/>
      <c r="C5" s="1069"/>
      <c r="D5" s="1069"/>
      <c r="E5" s="1069"/>
      <c r="F5" s="1069" t="s">
        <v>1075</v>
      </c>
      <c r="G5" s="1069"/>
      <c r="H5" s="1069"/>
      <c r="I5" s="1069"/>
    </row>
    <row r="6" spans="1:13" s="78" customFormat="1" ht="18.600000000000001" customHeight="1">
      <c r="A6" s="75"/>
      <c r="B6" s="75"/>
      <c r="C6" s="75"/>
      <c r="D6" s="75"/>
      <c r="E6" s="75"/>
      <c r="F6" s="75"/>
      <c r="G6" s="76"/>
      <c r="H6" s="77" t="s">
        <v>8</v>
      </c>
      <c r="I6" s="102">
        <f>F24</f>
        <v>73110000</v>
      </c>
    </row>
    <row r="7" spans="1:13" s="78" customFormat="1" ht="42.75">
      <c r="A7" s="79" t="s">
        <v>95</v>
      </c>
      <c r="B7" s="79" t="s">
        <v>96</v>
      </c>
      <c r="C7" s="79" t="s">
        <v>1076</v>
      </c>
      <c r="D7" s="79" t="s">
        <v>97</v>
      </c>
      <c r="E7" s="79" t="s">
        <v>98</v>
      </c>
      <c r="F7" s="79" t="s">
        <v>1077</v>
      </c>
      <c r="G7" s="79" t="s">
        <v>100</v>
      </c>
      <c r="H7" s="79" t="s">
        <v>101</v>
      </c>
      <c r="I7" s="125" t="s">
        <v>102</v>
      </c>
    </row>
    <row r="8" spans="1:13" s="78" customFormat="1" ht="20.100000000000001" customHeight="1">
      <c r="A8" s="80">
        <v>1</v>
      </c>
      <c r="B8" s="80">
        <v>2</v>
      </c>
      <c r="C8" s="80">
        <v>3</v>
      </c>
      <c r="D8" s="80">
        <v>4</v>
      </c>
      <c r="E8" s="80">
        <v>5</v>
      </c>
      <c r="F8" s="80">
        <v>6</v>
      </c>
      <c r="G8" s="80">
        <v>7</v>
      </c>
      <c r="H8" s="80">
        <v>8</v>
      </c>
      <c r="I8" s="80">
        <v>10</v>
      </c>
    </row>
    <row r="9" spans="1:13" ht="39.950000000000003" customHeight="1">
      <c r="A9" s="81">
        <v>1</v>
      </c>
      <c r="B9" s="82" t="s">
        <v>1078</v>
      </c>
      <c r="C9" s="83" t="s">
        <v>1079</v>
      </c>
      <c r="D9" s="83">
        <v>400</v>
      </c>
      <c r="E9" s="84">
        <v>65000</v>
      </c>
      <c r="F9" s="128">
        <f>D9*E9</f>
        <v>26000000</v>
      </c>
      <c r="G9" s="83" t="s">
        <v>319</v>
      </c>
      <c r="H9" s="151">
        <v>555</v>
      </c>
      <c r="I9" s="86" t="s">
        <v>1080</v>
      </c>
      <c r="M9" s="87"/>
    </row>
    <row r="10" spans="1:13" ht="39.950000000000003" customHeight="1">
      <c r="A10" s="81">
        <v>2</v>
      </c>
      <c r="B10" s="82" t="s">
        <v>1081</v>
      </c>
      <c r="C10" s="83" t="s">
        <v>1079</v>
      </c>
      <c r="D10" s="83">
        <v>200</v>
      </c>
      <c r="E10" s="84">
        <v>78000</v>
      </c>
      <c r="F10" s="128">
        <f t="shared" ref="F10:F18" si="0">D10*E10</f>
        <v>15600000</v>
      </c>
      <c r="G10" s="83" t="s">
        <v>319</v>
      </c>
      <c r="H10" s="151">
        <v>0</v>
      </c>
      <c r="I10" s="86" t="s">
        <v>1080</v>
      </c>
    </row>
    <row r="11" spans="1:13" ht="39.950000000000003" customHeight="1">
      <c r="A11" s="81">
        <v>3</v>
      </c>
      <c r="B11" s="82" t="s">
        <v>1082</v>
      </c>
      <c r="C11" s="83" t="s">
        <v>1079</v>
      </c>
      <c r="D11" s="83">
        <v>94</v>
      </c>
      <c r="E11" s="84">
        <v>60000</v>
      </c>
      <c r="F11" s="128">
        <f t="shared" si="0"/>
        <v>5640000</v>
      </c>
      <c r="G11" s="83" t="s">
        <v>319</v>
      </c>
      <c r="H11" s="151">
        <v>35</v>
      </c>
      <c r="I11" s="86" t="s">
        <v>1080</v>
      </c>
    </row>
    <row r="12" spans="1:13" ht="39.950000000000003" customHeight="1">
      <c r="A12" s="81">
        <v>4</v>
      </c>
      <c r="B12" s="82" t="s">
        <v>1083</v>
      </c>
      <c r="C12" s="83" t="s">
        <v>1079</v>
      </c>
      <c r="D12" s="83">
        <v>30</v>
      </c>
      <c r="E12" s="84">
        <v>94000</v>
      </c>
      <c r="F12" s="128">
        <f t="shared" si="0"/>
        <v>2820000</v>
      </c>
      <c r="G12" s="83" t="s">
        <v>319</v>
      </c>
      <c r="H12" s="151">
        <v>0</v>
      </c>
      <c r="I12" s="86" t="s">
        <v>1080</v>
      </c>
    </row>
    <row r="13" spans="1:13" ht="39.950000000000003" customHeight="1">
      <c r="A13" s="81">
        <v>5</v>
      </c>
      <c r="B13" s="82" t="s">
        <v>1084</v>
      </c>
      <c r="C13" s="83" t="s">
        <v>1079</v>
      </c>
      <c r="D13" s="83">
        <v>10</v>
      </c>
      <c r="E13" s="88">
        <v>275000</v>
      </c>
      <c r="F13" s="128">
        <f t="shared" si="0"/>
        <v>2750000</v>
      </c>
      <c r="G13" s="83" t="s">
        <v>319</v>
      </c>
      <c r="H13" s="151">
        <v>2</v>
      </c>
      <c r="I13" s="86" t="s">
        <v>1080</v>
      </c>
    </row>
    <row r="14" spans="1:13" ht="39.950000000000003" customHeight="1">
      <c r="A14" s="81">
        <v>6</v>
      </c>
      <c r="B14" s="82" t="s">
        <v>1085</v>
      </c>
      <c r="C14" s="83" t="s">
        <v>1079</v>
      </c>
      <c r="D14" s="83">
        <v>60</v>
      </c>
      <c r="E14" s="89">
        <v>15000</v>
      </c>
      <c r="F14" s="128">
        <f t="shared" si="0"/>
        <v>900000</v>
      </c>
      <c r="G14" s="83" t="s">
        <v>319</v>
      </c>
      <c r="H14" s="151">
        <v>17</v>
      </c>
      <c r="I14" s="86" t="s">
        <v>1080</v>
      </c>
    </row>
    <row r="15" spans="1:13" ht="39.950000000000003" customHeight="1">
      <c r="A15" s="81">
        <v>7</v>
      </c>
      <c r="B15" s="82" t="s">
        <v>1086</v>
      </c>
      <c r="C15" s="83" t="s">
        <v>1079</v>
      </c>
      <c r="D15" s="83">
        <v>40</v>
      </c>
      <c r="E15" s="84">
        <v>25000</v>
      </c>
      <c r="F15" s="128">
        <f t="shared" si="0"/>
        <v>1000000</v>
      </c>
      <c r="G15" s="83" t="s">
        <v>319</v>
      </c>
      <c r="H15" s="151">
        <v>47</v>
      </c>
      <c r="I15" s="86" t="s">
        <v>1080</v>
      </c>
    </row>
    <row r="16" spans="1:13" ht="39.950000000000003" customHeight="1">
      <c r="A16" s="81">
        <v>8</v>
      </c>
      <c r="B16" s="82" t="s">
        <v>1087</v>
      </c>
      <c r="C16" s="83" t="s">
        <v>1079</v>
      </c>
      <c r="D16" s="83">
        <v>20</v>
      </c>
      <c r="E16" s="84">
        <v>62000</v>
      </c>
      <c r="F16" s="128">
        <f t="shared" si="0"/>
        <v>1240000</v>
      </c>
      <c r="G16" s="83" t="s">
        <v>319</v>
      </c>
      <c r="H16" s="151">
        <v>33</v>
      </c>
      <c r="I16" s="86" t="s">
        <v>1080</v>
      </c>
    </row>
    <row r="17" spans="1:9" ht="39.950000000000003" customHeight="1">
      <c r="A17" s="81">
        <v>9</v>
      </c>
      <c r="B17" s="82" t="s">
        <v>1088</v>
      </c>
      <c r="C17" s="83" t="s">
        <v>1079</v>
      </c>
      <c r="D17" s="83">
        <v>30</v>
      </c>
      <c r="E17" s="84">
        <v>25000</v>
      </c>
      <c r="F17" s="128">
        <f t="shared" si="0"/>
        <v>750000</v>
      </c>
      <c r="G17" s="83" t="s">
        <v>319</v>
      </c>
      <c r="H17" s="151">
        <v>4</v>
      </c>
      <c r="I17" s="86" t="s">
        <v>1080</v>
      </c>
    </row>
    <row r="18" spans="1:9" ht="39.950000000000003" customHeight="1">
      <c r="A18" s="81">
        <v>10</v>
      </c>
      <c r="B18" s="82" t="s">
        <v>1089</v>
      </c>
      <c r="C18" s="83" t="s">
        <v>1079</v>
      </c>
      <c r="D18" s="83">
        <v>20</v>
      </c>
      <c r="E18" s="89">
        <v>20000</v>
      </c>
      <c r="F18" s="128">
        <f t="shared" si="0"/>
        <v>400000</v>
      </c>
      <c r="G18" s="83" t="s">
        <v>319</v>
      </c>
      <c r="H18" s="151">
        <v>0</v>
      </c>
      <c r="I18" s="86" t="s">
        <v>1080</v>
      </c>
    </row>
    <row r="19" spans="1:9" ht="39.950000000000003" customHeight="1">
      <c r="A19" s="81">
        <v>11</v>
      </c>
      <c r="B19" s="82" t="s">
        <v>1090</v>
      </c>
      <c r="C19" s="83" t="s">
        <v>1079</v>
      </c>
      <c r="D19" s="83">
        <v>50</v>
      </c>
      <c r="E19" s="89">
        <v>2000</v>
      </c>
      <c r="F19" s="128">
        <f t="shared" ref="F19:F23" si="1">D19*E19</f>
        <v>100000</v>
      </c>
      <c r="G19" s="83" t="s">
        <v>319</v>
      </c>
      <c r="H19" s="151">
        <v>7</v>
      </c>
      <c r="I19" s="86" t="s">
        <v>1080</v>
      </c>
    </row>
    <row r="20" spans="1:9" ht="39.950000000000003" customHeight="1">
      <c r="A20" s="81">
        <v>12</v>
      </c>
      <c r="B20" s="82" t="s">
        <v>1091</v>
      </c>
      <c r="C20" s="83" t="s">
        <v>1079</v>
      </c>
      <c r="D20" s="83">
        <v>16</v>
      </c>
      <c r="E20" s="89">
        <v>200000</v>
      </c>
      <c r="F20" s="128">
        <f t="shared" si="1"/>
        <v>3200000</v>
      </c>
      <c r="G20" s="83" t="s">
        <v>319</v>
      </c>
      <c r="H20" s="151">
        <v>0</v>
      </c>
      <c r="I20" s="86" t="s">
        <v>1080</v>
      </c>
    </row>
    <row r="21" spans="1:9" ht="39.950000000000003" customHeight="1">
      <c r="A21" s="81">
        <v>13</v>
      </c>
      <c r="B21" s="90" t="s">
        <v>1092</v>
      </c>
      <c r="C21" s="83" t="s">
        <v>1079</v>
      </c>
      <c r="D21" s="83">
        <v>14</v>
      </c>
      <c r="E21" s="89">
        <v>15000</v>
      </c>
      <c r="F21" s="128">
        <f t="shared" si="1"/>
        <v>210000</v>
      </c>
      <c r="G21" s="83" t="s">
        <v>319</v>
      </c>
      <c r="H21" s="151">
        <v>0</v>
      </c>
      <c r="I21" s="86" t="s">
        <v>1080</v>
      </c>
    </row>
    <row r="22" spans="1:9" ht="39.950000000000003" customHeight="1">
      <c r="A22" s="154">
        <v>14</v>
      </c>
      <c r="B22" s="90" t="s">
        <v>1093</v>
      </c>
      <c r="C22" s="91" t="s">
        <v>1079</v>
      </c>
      <c r="D22" s="91">
        <v>31</v>
      </c>
      <c r="E22" s="90">
        <v>300000</v>
      </c>
      <c r="F22" s="155">
        <f t="shared" si="1"/>
        <v>9300000</v>
      </c>
      <c r="G22" s="91" t="s">
        <v>319</v>
      </c>
      <c r="H22" s="152">
        <v>11</v>
      </c>
      <c r="I22" s="126" t="s">
        <v>320</v>
      </c>
    </row>
    <row r="23" spans="1:9" ht="39.950000000000003" customHeight="1">
      <c r="A23" s="81">
        <v>15</v>
      </c>
      <c r="B23" s="92" t="s">
        <v>1094</v>
      </c>
      <c r="C23" s="93" t="s">
        <v>1079</v>
      </c>
      <c r="D23" s="93">
        <v>16</v>
      </c>
      <c r="E23" s="92">
        <v>200000</v>
      </c>
      <c r="F23" s="128">
        <f t="shared" si="1"/>
        <v>3200000</v>
      </c>
      <c r="G23" s="93" t="s">
        <v>319</v>
      </c>
      <c r="H23" s="156">
        <v>2</v>
      </c>
      <c r="I23" s="157" t="s">
        <v>320</v>
      </c>
    </row>
    <row r="24" spans="1:9" ht="45.75" customHeight="1">
      <c r="A24" s="1070" t="s">
        <v>1095</v>
      </c>
      <c r="B24" s="1071"/>
      <c r="C24" s="129"/>
      <c r="D24" s="767">
        <f>SUM(D9:D23)</f>
        <v>1031</v>
      </c>
      <c r="E24" s="129"/>
      <c r="F24" s="768">
        <f>SUM(F9:F23)</f>
        <v>73110000</v>
      </c>
      <c r="G24" s="129"/>
      <c r="H24" s="768">
        <f>SUM(H9:H23)</f>
        <v>713</v>
      </c>
      <c r="I24" s="130"/>
    </row>
    <row r="25" spans="1:9" ht="33.75" customHeight="1">
      <c r="A25" s="1075" t="s">
        <v>23</v>
      </c>
      <c r="B25" s="1076"/>
      <c r="C25" s="1076"/>
      <c r="D25" s="1076"/>
      <c r="E25" s="1076"/>
      <c r="F25" s="1076"/>
      <c r="G25" s="1076"/>
      <c r="H25" s="1076"/>
      <c r="I25" s="124"/>
    </row>
    <row r="26" spans="1:9" ht="28.5" customHeight="1">
      <c r="A26" s="1077" t="s">
        <v>1096</v>
      </c>
      <c r="B26" s="1076"/>
      <c r="C26" s="1076"/>
      <c r="D26" s="1076"/>
      <c r="E26" s="1076"/>
      <c r="F26" s="1076"/>
      <c r="G26" s="1076"/>
      <c r="H26" s="1076"/>
      <c r="I26" s="124"/>
    </row>
    <row r="27" spans="1:9" ht="20.25" customHeight="1">
      <c r="A27" s="1072" t="s">
        <v>1097</v>
      </c>
      <c r="B27" s="1072"/>
      <c r="C27" s="1072"/>
      <c r="D27" s="1072"/>
      <c r="E27" s="1072"/>
      <c r="F27" s="1072"/>
      <c r="G27" s="1072"/>
      <c r="H27" s="1072"/>
      <c r="I27" s="1072"/>
    </row>
    <row r="28" spans="1:9" ht="85.5" customHeight="1">
      <c r="A28" s="1073" t="s">
        <v>1098</v>
      </c>
      <c r="B28" s="1073"/>
      <c r="C28" s="1073"/>
      <c r="D28" s="1073"/>
      <c r="E28" s="1073"/>
      <c r="F28" s="1073"/>
      <c r="G28" s="1073"/>
      <c r="H28" s="1073"/>
      <c r="I28" s="1073"/>
    </row>
    <row r="29" spans="1:9" ht="35.25" customHeight="1">
      <c r="A29" s="96"/>
      <c r="B29" s="97"/>
      <c r="C29" s="98"/>
      <c r="D29" s="98"/>
      <c r="E29" s="98"/>
      <c r="F29" s="98"/>
      <c r="G29" s="98"/>
      <c r="H29" s="98"/>
    </row>
    <row r="30" spans="1:9" ht="20.25" customHeight="1">
      <c r="A30" s="78"/>
      <c r="B30" s="99"/>
      <c r="C30" s="99"/>
      <c r="D30" s="99"/>
      <c r="E30" s="96" t="s">
        <v>21</v>
      </c>
      <c r="F30" s="78"/>
      <c r="G30" s="96"/>
      <c r="H30" s="1074" t="s">
        <v>22</v>
      </c>
      <c r="I30" s="1074"/>
    </row>
    <row r="31" spans="1:9" ht="20.25" customHeight="1">
      <c r="B31" s="94"/>
    </row>
    <row r="32" spans="1:9" ht="20.25" customHeight="1">
      <c r="B32" s="94"/>
    </row>
    <row r="33" spans="2:2" ht="20.25" customHeight="1">
      <c r="B33" s="94"/>
    </row>
    <row r="34" spans="2:2">
      <c r="B34" s="94"/>
    </row>
    <row r="35" spans="2:2">
      <c r="B35" s="94"/>
    </row>
    <row r="36" spans="2:2">
      <c r="B36" s="94"/>
    </row>
    <row r="37" spans="2:2">
      <c r="B37" s="94"/>
    </row>
  </sheetData>
  <autoFilter ref="A7:I28" xr:uid="{00000000-0001-0000-0300-000000000000}"/>
  <mergeCells count="12">
    <mergeCell ref="A24:B24"/>
    <mergeCell ref="A27:I27"/>
    <mergeCell ref="A28:I28"/>
    <mergeCell ref="H30:I30"/>
    <mergeCell ref="A25:H25"/>
    <mergeCell ref="A26:H26"/>
    <mergeCell ref="A1:I1"/>
    <mergeCell ref="A2:I2"/>
    <mergeCell ref="A3:I3"/>
    <mergeCell ref="A4:I4"/>
    <mergeCell ref="A5:E5"/>
    <mergeCell ref="F5:I5"/>
  </mergeCells>
  <printOptions horizontalCentered="1" gridLines="1"/>
  <pageMargins left="0.28000000000000003" right="0.23622047244094491" top="0.36" bottom="0.82677165354330717" header="0.61" footer="0.19685039370078741"/>
  <pageSetup paperSize="9" scale="75" orientation="landscape" r:id="rId1"/>
  <headerFooter alignWithMargins="0">
    <oddFooter>&amp;C&amp;P of &amp;N</oddFooter>
  </headerFooter>
  <ignoredErrors>
    <ignoredError sqref="H24 D24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U60"/>
  <sheetViews>
    <sheetView view="pageBreakPreview" topLeftCell="A29" zoomScaleSheetLayoutView="100" workbookViewId="0">
      <selection activeCell="L47" sqref="L47"/>
    </sheetView>
  </sheetViews>
  <sheetFormatPr defaultRowHeight="12.75"/>
  <cols>
    <col min="1" max="1" width="8.28515625" style="78" customWidth="1"/>
    <col min="2" max="2" width="31.5703125" style="78" customWidth="1"/>
    <col min="3" max="3" width="12.5703125" style="78" customWidth="1"/>
    <col min="4" max="4" width="17.28515625" style="78" customWidth="1"/>
    <col min="5" max="5" width="17.85546875" style="78" bestFit="1" customWidth="1"/>
    <col min="6" max="6" width="20.7109375" style="78" customWidth="1"/>
    <col min="7" max="7" width="17.7109375" style="78" customWidth="1"/>
    <col min="8" max="8" width="43.140625" style="78" customWidth="1"/>
    <col min="9" max="256" width="9.140625" style="78"/>
    <col min="257" max="257" width="4.28515625" style="78" customWidth="1"/>
    <col min="258" max="258" width="31.5703125" style="78" customWidth="1"/>
    <col min="259" max="259" width="12.5703125" style="78" customWidth="1"/>
    <col min="260" max="260" width="17.28515625" style="78" customWidth="1"/>
    <col min="261" max="261" width="17.85546875" style="78" bestFit="1" customWidth="1"/>
    <col min="262" max="262" width="18" style="78" customWidth="1"/>
    <col min="263" max="263" width="17.7109375" style="78" customWidth="1"/>
    <col min="264" max="264" width="34.140625" style="78" customWidth="1"/>
    <col min="265" max="512" width="9.140625" style="78"/>
    <col min="513" max="513" width="4.28515625" style="78" customWidth="1"/>
    <col min="514" max="514" width="31.5703125" style="78" customWidth="1"/>
    <col min="515" max="515" width="12.5703125" style="78" customWidth="1"/>
    <col min="516" max="516" width="17.28515625" style="78" customWidth="1"/>
    <col min="517" max="517" width="17.85546875" style="78" bestFit="1" customWidth="1"/>
    <col min="518" max="518" width="18" style="78" customWidth="1"/>
    <col min="519" max="519" width="17.7109375" style="78" customWidth="1"/>
    <col min="520" max="520" width="34.140625" style="78" customWidth="1"/>
    <col min="521" max="768" width="9.140625" style="78"/>
    <col min="769" max="769" width="4.28515625" style="78" customWidth="1"/>
    <col min="770" max="770" width="31.5703125" style="78" customWidth="1"/>
    <col min="771" max="771" width="12.5703125" style="78" customWidth="1"/>
    <col min="772" max="772" width="17.28515625" style="78" customWidth="1"/>
    <col min="773" max="773" width="17.85546875" style="78" bestFit="1" customWidth="1"/>
    <col min="774" max="774" width="18" style="78" customWidth="1"/>
    <col min="775" max="775" width="17.7109375" style="78" customWidth="1"/>
    <col min="776" max="776" width="34.140625" style="78" customWidth="1"/>
    <col min="777" max="1024" width="9.140625" style="78"/>
    <col min="1025" max="1025" width="4.28515625" style="78" customWidth="1"/>
    <col min="1026" max="1026" width="31.5703125" style="78" customWidth="1"/>
    <col min="1027" max="1027" width="12.5703125" style="78" customWidth="1"/>
    <col min="1028" max="1028" width="17.28515625" style="78" customWidth="1"/>
    <col min="1029" max="1029" width="17.85546875" style="78" bestFit="1" customWidth="1"/>
    <col min="1030" max="1030" width="18" style="78" customWidth="1"/>
    <col min="1031" max="1031" width="17.7109375" style="78" customWidth="1"/>
    <col min="1032" max="1032" width="34.140625" style="78" customWidth="1"/>
    <col min="1033" max="1280" width="9.140625" style="78"/>
    <col min="1281" max="1281" width="4.28515625" style="78" customWidth="1"/>
    <col min="1282" max="1282" width="31.5703125" style="78" customWidth="1"/>
    <col min="1283" max="1283" width="12.5703125" style="78" customWidth="1"/>
    <col min="1284" max="1284" width="17.28515625" style="78" customWidth="1"/>
    <col min="1285" max="1285" width="17.85546875" style="78" bestFit="1" customWidth="1"/>
    <col min="1286" max="1286" width="18" style="78" customWidth="1"/>
    <col min="1287" max="1287" width="17.7109375" style="78" customWidth="1"/>
    <col min="1288" max="1288" width="34.140625" style="78" customWidth="1"/>
    <col min="1289" max="1536" width="9.140625" style="78"/>
    <col min="1537" max="1537" width="4.28515625" style="78" customWidth="1"/>
    <col min="1538" max="1538" width="31.5703125" style="78" customWidth="1"/>
    <col min="1539" max="1539" width="12.5703125" style="78" customWidth="1"/>
    <col min="1540" max="1540" width="17.28515625" style="78" customWidth="1"/>
    <col min="1541" max="1541" width="17.85546875" style="78" bestFit="1" customWidth="1"/>
    <col min="1542" max="1542" width="18" style="78" customWidth="1"/>
    <col min="1543" max="1543" width="17.7109375" style="78" customWidth="1"/>
    <col min="1544" max="1544" width="34.140625" style="78" customWidth="1"/>
    <col min="1545" max="1792" width="9.140625" style="78"/>
    <col min="1793" max="1793" width="4.28515625" style="78" customWidth="1"/>
    <col min="1794" max="1794" width="31.5703125" style="78" customWidth="1"/>
    <col min="1795" max="1795" width="12.5703125" style="78" customWidth="1"/>
    <col min="1796" max="1796" width="17.28515625" style="78" customWidth="1"/>
    <col min="1797" max="1797" width="17.85546875" style="78" bestFit="1" customWidth="1"/>
    <col min="1798" max="1798" width="18" style="78" customWidth="1"/>
    <col min="1799" max="1799" width="17.7109375" style="78" customWidth="1"/>
    <col min="1800" max="1800" width="34.140625" style="78" customWidth="1"/>
    <col min="1801" max="2048" width="9.140625" style="78"/>
    <col min="2049" max="2049" width="4.28515625" style="78" customWidth="1"/>
    <col min="2050" max="2050" width="31.5703125" style="78" customWidth="1"/>
    <col min="2051" max="2051" width="12.5703125" style="78" customWidth="1"/>
    <col min="2052" max="2052" width="17.28515625" style="78" customWidth="1"/>
    <col min="2053" max="2053" width="17.85546875" style="78" bestFit="1" customWidth="1"/>
    <col min="2054" max="2054" width="18" style="78" customWidth="1"/>
    <col min="2055" max="2055" width="17.7109375" style="78" customWidth="1"/>
    <col min="2056" max="2056" width="34.140625" style="78" customWidth="1"/>
    <col min="2057" max="2304" width="9.140625" style="78"/>
    <col min="2305" max="2305" width="4.28515625" style="78" customWidth="1"/>
    <col min="2306" max="2306" width="31.5703125" style="78" customWidth="1"/>
    <col min="2307" max="2307" width="12.5703125" style="78" customWidth="1"/>
    <col min="2308" max="2308" width="17.28515625" style="78" customWidth="1"/>
    <col min="2309" max="2309" width="17.85546875" style="78" bestFit="1" customWidth="1"/>
    <col min="2310" max="2310" width="18" style="78" customWidth="1"/>
    <col min="2311" max="2311" width="17.7109375" style="78" customWidth="1"/>
    <col min="2312" max="2312" width="34.140625" style="78" customWidth="1"/>
    <col min="2313" max="2560" width="9.140625" style="78"/>
    <col min="2561" max="2561" width="4.28515625" style="78" customWidth="1"/>
    <col min="2562" max="2562" width="31.5703125" style="78" customWidth="1"/>
    <col min="2563" max="2563" width="12.5703125" style="78" customWidth="1"/>
    <col min="2564" max="2564" width="17.28515625" style="78" customWidth="1"/>
    <col min="2565" max="2565" width="17.85546875" style="78" bestFit="1" customWidth="1"/>
    <col min="2566" max="2566" width="18" style="78" customWidth="1"/>
    <col min="2567" max="2567" width="17.7109375" style="78" customWidth="1"/>
    <col min="2568" max="2568" width="34.140625" style="78" customWidth="1"/>
    <col min="2569" max="2816" width="9.140625" style="78"/>
    <col min="2817" max="2817" width="4.28515625" style="78" customWidth="1"/>
    <col min="2818" max="2818" width="31.5703125" style="78" customWidth="1"/>
    <col min="2819" max="2819" width="12.5703125" style="78" customWidth="1"/>
    <col min="2820" max="2820" width="17.28515625" style="78" customWidth="1"/>
    <col min="2821" max="2821" width="17.85546875" style="78" bestFit="1" customWidth="1"/>
    <col min="2822" max="2822" width="18" style="78" customWidth="1"/>
    <col min="2823" max="2823" width="17.7109375" style="78" customWidth="1"/>
    <col min="2824" max="2824" width="34.140625" style="78" customWidth="1"/>
    <col min="2825" max="3072" width="9.140625" style="78"/>
    <col min="3073" max="3073" width="4.28515625" style="78" customWidth="1"/>
    <col min="3074" max="3074" width="31.5703125" style="78" customWidth="1"/>
    <col min="3075" max="3075" width="12.5703125" style="78" customWidth="1"/>
    <col min="3076" max="3076" width="17.28515625" style="78" customWidth="1"/>
    <col min="3077" max="3077" width="17.85546875" style="78" bestFit="1" customWidth="1"/>
    <col min="3078" max="3078" width="18" style="78" customWidth="1"/>
    <col min="3079" max="3079" width="17.7109375" style="78" customWidth="1"/>
    <col min="3080" max="3080" width="34.140625" style="78" customWidth="1"/>
    <col min="3081" max="3328" width="9.140625" style="78"/>
    <col min="3329" max="3329" width="4.28515625" style="78" customWidth="1"/>
    <col min="3330" max="3330" width="31.5703125" style="78" customWidth="1"/>
    <col min="3331" max="3331" width="12.5703125" style="78" customWidth="1"/>
    <col min="3332" max="3332" width="17.28515625" style="78" customWidth="1"/>
    <col min="3333" max="3333" width="17.85546875" style="78" bestFit="1" customWidth="1"/>
    <col min="3334" max="3334" width="18" style="78" customWidth="1"/>
    <col min="3335" max="3335" width="17.7109375" style="78" customWidth="1"/>
    <col min="3336" max="3336" width="34.140625" style="78" customWidth="1"/>
    <col min="3337" max="3584" width="9.140625" style="78"/>
    <col min="3585" max="3585" width="4.28515625" style="78" customWidth="1"/>
    <col min="3586" max="3586" width="31.5703125" style="78" customWidth="1"/>
    <col min="3587" max="3587" width="12.5703125" style="78" customWidth="1"/>
    <col min="3588" max="3588" width="17.28515625" style="78" customWidth="1"/>
    <col min="3589" max="3589" width="17.85546875" style="78" bestFit="1" customWidth="1"/>
    <col min="3590" max="3590" width="18" style="78" customWidth="1"/>
    <col min="3591" max="3591" width="17.7109375" style="78" customWidth="1"/>
    <col min="3592" max="3592" width="34.140625" style="78" customWidth="1"/>
    <col min="3593" max="3840" width="9.140625" style="78"/>
    <col min="3841" max="3841" width="4.28515625" style="78" customWidth="1"/>
    <col min="3842" max="3842" width="31.5703125" style="78" customWidth="1"/>
    <col min="3843" max="3843" width="12.5703125" style="78" customWidth="1"/>
    <col min="3844" max="3844" width="17.28515625" style="78" customWidth="1"/>
    <col min="3845" max="3845" width="17.85546875" style="78" bestFit="1" customWidth="1"/>
    <col min="3846" max="3846" width="18" style="78" customWidth="1"/>
    <col min="3847" max="3847" width="17.7109375" style="78" customWidth="1"/>
    <col min="3848" max="3848" width="34.140625" style="78" customWidth="1"/>
    <col min="3849" max="4096" width="9.140625" style="78"/>
    <col min="4097" max="4097" width="4.28515625" style="78" customWidth="1"/>
    <col min="4098" max="4098" width="31.5703125" style="78" customWidth="1"/>
    <col min="4099" max="4099" width="12.5703125" style="78" customWidth="1"/>
    <col min="4100" max="4100" width="17.28515625" style="78" customWidth="1"/>
    <col min="4101" max="4101" width="17.85546875" style="78" bestFit="1" customWidth="1"/>
    <col min="4102" max="4102" width="18" style="78" customWidth="1"/>
    <col min="4103" max="4103" width="17.7109375" style="78" customWidth="1"/>
    <col min="4104" max="4104" width="34.140625" style="78" customWidth="1"/>
    <col min="4105" max="4352" width="9.140625" style="78"/>
    <col min="4353" max="4353" width="4.28515625" style="78" customWidth="1"/>
    <col min="4354" max="4354" width="31.5703125" style="78" customWidth="1"/>
    <col min="4355" max="4355" width="12.5703125" style="78" customWidth="1"/>
    <col min="4356" max="4356" width="17.28515625" style="78" customWidth="1"/>
    <col min="4357" max="4357" width="17.85546875" style="78" bestFit="1" customWidth="1"/>
    <col min="4358" max="4358" width="18" style="78" customWidth="1"/>
    <col min="4359" max="4359" width="17.7109375" style="78" customWidth="1"/>
    <col min="4360" max="4360" width="34.140625" style="78" customWidth="1"/>
    <col min="4361" max="4608" width="9.140625" style="78"/>
    <col min="4609" max="4609" width="4.28515625" style="78" customWidth="1"/>
    <col min="4610" max="4610" width="31.5703125" style="78" customWidth="1"/>
    <col min="4611" max="4611" width="12.5703125" style="78" customWidth="1"/>
    <col min="4612" max="4612" width="17.28515625" style="78" customWidth="1"/>
    <col min="4613" max="4613" width="17.85546875" style="78" bestFit="1" customWidth="1"/>
    <col min="4614" max="4614" width="18" style="78" customWidth="1"/>
    <col min="4615" max="4615" width="17.7109375" style="78" customWidth="1"/>
    <col min="4616" max="4616" width="34.140625" style="78" customWidth="1"/>
    <col min="4617" max="4864" width="9.140625" style="78"/>
    <col min="4865" max="4865" width="4.28515625" style="78" customWidth="1"/>
    <col min="4866" max="4866" width="31.5703125" style="78" customWidth="1"/>
    <col min="4867" max="4867" width="12.5703125" style="78" customWidth="1"/>
    <col min="4868" max="4868" width="17.28515625" style="78" customWidth="1"/>
    <col min="4869" max="4869" width="17.85546875" style="78" bestFit="1" customWidth="1"/>
    <col min="4870" max="4870" width="18" style="78" customWidth="1"/>
    <col min="4871" max="4871" width="17.7109375" style="78" customWidth="1"/>
    <col min="4872" max="4872" width="34.140625" style="78" customWidth="1"/>
    <col min="4873" max="5120" width="9.140625" style="78"/>
    <col min="5121" max="5121" width="4.28515625" style="78" customWidth="1"/>
    <col min="5122" max="5122" width="31.5703125" style="78" customWidth="1"/>
    <col min="5123" max="5123" width="12.5703125" style="78" customWidth="1"/>
    <col min="5124" max="5124" width="17.28515625" style="78" customWidth="1"/>
    <col min="5125" max="5125" width="17.85546875" style="78" bestFit="1" customWidth="1"/>
    <col min="5126" max="5126" width="18" style="78" customWidth="1"/>
    <col min="5127" max="5127" width="17.7109375" style="78" customWidth="1"/>
    <col min="5128" max="5128" width="34.140625" style="78" customWidth="1"/>
    <col min="5129" max="5376" width="9.140625" style="78"/>
    <col min="5377" max="5377" width="4.28515625" style="78" customWidth="1"/>
    <col min="5378" max="5378" width="31.5703125" style="78" customWidth="1"/>
    <col min="5379" max="5379" width="12.5703125" style="78" customWidth="1"/>
    <col min="5380" max="5380" width="17.28515625" style="78" customWidth="1"/>
    <col min="5381" max="5381" width="17.85546875" style="78" bestFit="1" customWidth="1"/>
    <col min="5382" max="5382" width="18" style="78" customWidth="1"/>
    <col min="5383" max="5383" width="17.7109375" style="78" customWidth="1"/>
    <col min="5384" max="5384" width="34.140625" style="78" customWidth="1"/>
    <col min="5385" max="5632" width="9.140625" style="78"/>
    <col min="5633" max="5633" width="4.28515625" style="78" customWidth="1"/>
    <col min="5634" max="5634" width="31.5703125" style="78" customWidth="1"/>
    <col min="5635" max="5635" width="12.5703125" style="78" customWidth="1"/>
    <col min="5636" max="5636" width="17.28515625" style="78" customWidth="1"/>
    <col min="5637" max="5637" width="17.85546875" style="78" bestFit="1" customWidth="1"/>
    <col min="5638" max="5638" width="18" style="78" customWidth="1"/>
    <col min="5639" max="5639" width="17.7109375" style="78" customWidth="1"/>
    <col min="5640" max="5640" width="34.140625" style="78" customWidth="1"/>
    <col min="5641" max="5888" width="9.140625" style="78"/>
    <col min="5889" max="5889" width="4.28515625" style="78" customWidth="1"/>
    <col min="5890" max="5890" width="31.5703125" style="78" customWidth="1"/>
    <col min="5891" max="5891" width="12.5703125" style="78" customWidth="1"/>
    <col min="5892" max="5892" width="17.28515625" style="78" customWidth="1"/>
    <col min="5893" max="5893" width="17.85546875" style="78" bestFit="1" customWidth="1"/>
    <col min="5894" max="5894" width="18" style="78" customWidth="1"/>
    <col min="5895" max="5895" width="17.7109375" style="78" customWidth="1"/>
    <col min="5896" max="5896" width="34.140625" style="78" customWidth="1"/>
    <col min="5897" max="6144" width="9.140625" style="78"/>
    <col min="6145" max="6145" width="4.28515625" style="78" customWidth="1"/>
    <col min="6146" max="6146" width="31.5703125" style="78" customWidth="1"/>
    <col min="6147" max="6147" width="12.5703125" style="78" customWidth="1"/>
    <col min="6148" max="6148" width="17.28515625" style="78" customWidth="1"/>
    <col min="6149" max="6149" width="17.85546875" style="78" bestFit="1" customWidth="1"/>
    <col min="6150" max="6150" width="18" style="78" customWidth="1"/>
    <col min="6151" max="6151" width="17.7109375" style="78" customWidth="1"/>
    <col min="6152" max="6152" width="34.140625" style="78" customWidth="1"/>
    <col min="6153" max="6400" width="9.140625" style="78"/>
    <col min="6401" max="6401" width="4.28515625" style="78" customWidth="1"/>
    <col min="6402" max="6402" width="31.5703125" style="78" customWidth="1"/>
    <col min="6403" max="6403" width="12.5703125" style="78" customWidth="1"/>
    <col min="6404" max="6404" width="17.28515625" style="78" customWidth="1"/>
    <col min="6405" max="6405" width="17.85546875" style="78" bestFit="1" customWidth="1"/>
    <col min="6406" max="6406" width="18" style="78" customWidth="1"/>
    <col min="6407" max="6407" width="17.7109375" style="78" customWidth="1"/>
    <col min="6408" max="6408" width="34.140625" style="78" customWidth="1"/>
    <col min="6409" max="6656" width="9.140625" style="78"/>
    <col min="6657" max="6657" width="4.28515625" style="78" customWidth="1"/>
    <col min="6658" max="6658" width="31.5703125" style="78" customWidth="1"/>
    <col min="6659" max="6659" width="12.5703125" style="78" customWidth="1"/>
    <col min="6660" max="6660" width="17.28515625" style="78" customWidth="1"/>
    <col min="6661" max="6661" width="17.85546875" style="78" bestFit="1" customWidth="1"/>
    <col min="6662" max="6662" width="18" style="78" customWidth="1"/>
    <col min="6663" max="6663" width="17.7109375" style="78" customWidth="1"/>
    <col min="6664" max="6664" width="34.140625" style="78" customWidth="1"/>
    <col min="6665" max="6912" width="9.140625" style="78"/>
    <col min="6913" max="6913" width="4.28515625" style="78" customWidth="1"/>
    <col min="6914" max="6914" width="31.5703125" style="78" customWidth="1"/>
    <col min="6915" max="6915" width="12.5703125" style="78" customWidth="1"/>
    <col min="6916" max="6916" width="17.28515625" style="78" customWidth="1"/>
    <col min="6917" max="6917" width="17.85546875" style="78" bestFit="1" customWidth="1"/>
    <col min="6918" max="6918" width="18" style="78" customWidth="1"/>
    <col min="6919" max="6919" width="17.7109375" style="78" customWidth="1"/>
    <col min="6920" max="6920" width="34.140625" style="78" customWidth="1"/>
    <col min="6921" max="7168" width="9.140625" style="78"/>
    <col min="7169" max="7169" width="4.28515625" style="78" customWidth="1"/>
    <col min="7170" max="7170" width="31.5703125" style="78" customWidth="1"/>
    <col min="7171" max="7171" width="12.5703125" style="78" customWidth="1"/>
    <col min="7172" max="7172" width="17.28515625" style="78" customWidth="1"/>
    <col min="7173" max="7173" width="17.85546875" style="78" bestFit="1" customWidth="1"/>
    <col min="7174" max="7174" width="18" style="78" customWidth="1"/>
    <col min="7175" max="7175" width="17.7109375" style="78" customWidth="1"/>
    <col min="7176" max="7176" width="34.140625" style="78" customWidth="1"/>
    <col min="7177" max="7424" width="9.140625" style="78"/>
    <col min="7425" max="7425" width="4.28515625" style="78" customWidth="1"/>
    <col min="7426" max="7426" width="31.5703125" style="78" customWidth="1"/>
    <col min="7427" max="7427" width="12.5703125" style="78" customWidth="1"/>
    <col min="7428" max="7428" width="17.28515625" style="78" customWidth="1"/>
    <col min="7429" max="7429" width="17.85546875" style="78" bestFit="1" customWidth="1"/>
    <col min="7430" max="7430" width="18" style="78" customWidth="1"/>
    <col min="7431" max="7431" width="17.7109375" style="78" customWidth="1"/>
    <col min="7432" max="7432" width="34.140625" style="78" customWidth="1"/>
    <col min="7433" max="7680" width="9.140625" style="78"/>
    <col min="7681" max="7681" width="4.28515625" style="78" customWidth="1"/>
    <col min="7682" max="7682" width="31.5703125" style="78" customWidth="1"/>
    <col min="7683" max="7683" width="12.5703125" style="78" customWidth="1"/>
    <col min="7684" max="7684" width="17.28515625" style="78" customWidth="1"/>
    <col min="7685" max="7685" width="17.85546875" style="78" bestFit="1" customWidth="1"/>
    <col min="7686" max="7686" width="18" style="78" customWidth="1"/>
    <col min="7687" max="7687" width="17.7109375" style="78" customWidth="1"/>
    <col min="7688" max="7688" width="34.140625" style="78" customWidth="1"/>
    <col min="7689" max="7936" width="9.140625" style="78"/>
    <col min="7937" max="7937" width="4.28515625" style="78" customWidth="1"/>
    <col min="7938" max="7938" width="31.5703125" style="78" customWidth="1"/>
    <col min="7939" max="7939" width="12.5703125" style="78" customWidth="1"/>
    <col min="7940" max="7940" width="17.28515625" style="78" customWidth="1"/>
    <col min="7941" max="7941" width="17.85546875" style="78" bestFit="1" customWidth="1"/>
    <col min="7942" max="7942" width="18" style="78" customWidth="1"/>
    <col min="7943" max="7943" width="17.7109375" style="78" customWidth="1"/>
    <col min="7944" max="7944" width="34.140625" style="78" customWidth="1"/>
    <col min="7945" max="8192" width="9.140625" style="78"/>
    <col min="8193" max="8193" width="4.28515625" style="78" customWidth="1"/>
    <col min="8194" max="8194" width="31.5703125" style="78" customWidth="1"/>
    <col min="8195" max="8195" width="12.5703125" style="78" customWidth="1"/>
    <col min="8196" max="8196" width="17.28515625" style="78" customWidth="1"/>
    <col min="8197" max="8197" width="17.85546875" style="78" bestFit="1" customWidth="1"/>
    <col min="8198" max="8198" width="18" style="78" customWidth="1"/>
    <col min="8199" max="8199" width="17.7109375" style="78" customWidth="1"/>
    <col min="8200" max="8200" width="34.140625" style="78" customWidth="1"/>
    <col min="8201" max="8448" width="9.140625" style="78"/>
    <col min="8449" max="8449" width="4.28515625" style="78" customWidth="1"/>
    <col min="8450" max="8450" width="31.5703125" style="78" customWidth="1"/>
    <col min="8451" max="8451" width="12.5703125" style="78" customWidth="1"/>
    <col min="8452" max="8452" width="17.28515625" style="78" customWidth="1"/>
    <col min="8453" max="8453" width="17.85546875" style="78" bestFit="1" customWidth="1"/>
    <col min="8454" max="8454" width="18" style="78" customWidth="1"/>
    <col min="8455" max="8455" width="17.7109375" style="78" customWidth="1"/>
    <col min="8456" max="8456" width="34.140625" style="78" customWidth="1"/>
    <col min="8457" max="8704" width="9.140625" style="78"/>
    <col min="8705" max="8705" width="4.28515625" style="78" customWidth="1"/>
    <col min="8706" max="8706" width="31.5703125" style="78" customWidth="1"/>
    <col min="8707" max="8707" width="12.5703125" style="78" customWidth="1"/>
    <col min="8708" max="8708" width="17.28515625" style="78" customWidth="1"/>
    <col min="8709" max="8709" width="17.85546875" style="78" bestFit="1" customWidth="1"/>
    <col min="8710" max="8710" width="18" style="78" customWidth="1"/>
    <col min="8711" max="8711" width="17.7109375" style="78" customWidth="1"/>
    <col min="8712" max="8712" width="34.140625" style="78" customWidth="1"/>
    <col min="8713" max="8960" width="9.140625" style="78"/>
    <col min="8961" max="8961" width="4.28515625" style="78" customWidth="1"/>
    <col min="8962" max="8962" width="31.5703125" style="78" customWidth="1"/>
    <col min="8963" max="8963" width="12.5703125" style="78" customWidth="1"/>
    <col min="8964" max="8964" width="17.28515625" style="78" customWidth="1"/>
    <col min="8965" max="8965" width="17.85546875" style="78" bestFit="1" customWidth="1"/>
    <col min="8966" max="8966" width="18" style="78" customWidth="1"/>
    <col min="8967" max="8967" width="17.7109375" style="78" customWidth="1"/>
    <col min="8968" max="8968" width="34.140625" style="78" customWidth="1"/>
    <col min="8969" max="9216" width="9.140625" style="78"/>
    <col min="9217" max="9217" width="4.28515625" style="78" customWidth="1"/>
    <col min="9218" max="9218" width="31.5703125" style="78" customWidth="1"/>
    <col min="9219" max="9219" width="12.5703125" style="78" customWidth="1"/>
    <col min="9220" max="9220" width="17.28515625" style="78" customWidth="1"/>
    <col min="9221" max="9221" width="17.85546875" style="78" bestFit="1" customWidth="1"/>
    <col min="9222" max="9222" width="18" style="78" customWidth="1"/>
    <col min="9223" max="9223" width="17.7109375" style="78" customWidth="1"/>
    <col min="9224" max="9224" width="34.140625" style="78" customWidth="1"/>
    <col min="9225" max="9472" width="9.140625" style="78"/>
    <col min="9473" max="9473" width="4.28515625" style="78" customWidth="1"/>
    <col min="9474" max="9474" width="31.5703125" style="78" customWidth="1"/>
    <col min="9475" max="9475" width="12.5703125" style="78" customWidth="1"/>
    <col min="9476" max="9476" width="17.28515625" style="78" customWidth="1"/>
    <col min="9477" max="9477" width="17.85546875" style="78" bestFit="1" customWidth="1"/>
    <col min="9478" max="9478" width="18" style="78" customWidth="1"/>
    <col min="9479" max="9479" width="17.7109375" style="78" customWidth="1"/>
    <col min="9480" max="9480" width="34.140625" style="78" customWidth="1"/>
    <col min="9481" max="9728" width="9.140625" style="78"/>
    <col min="9729" max="9729" width="4.28515625" style="78" customWidth="1"/>
    <col min="9730" max="9730" width="31.5703125" style="78" customWidth="1"/>
    <col min="9731" max="9731" width="12.5703125" style="78" customWidth="1"/>
    <col min="9732" max="9732" width="17.28515625" style="78" customWidth="1"/>
    <col min="9733" max="9733" width="17.85546875" style="78" bestFit="1" customWidth="1"/>
    <col min="9734" max="9734" width="18" style="78" customWidth="1"/>
    <col min="9735" max="9735" width="17.7109375" style="78" customWidth="1"/>
    <col min="9736" max="9736" width="34.140625" style="78" customWidth="1"/>
    <col min="9737" max="9984" width="9.140625" style="78"/>
    <col min="9985" max="9985" width="4.28515625" style="78" customWidth="1"/>
    <col min="9986" max="9986" width="31.5703125" style="78" customWidth="1"/>
    <col min="9987" max="9987" width="12.5703125" style="78" customWidth="1"/>
    <col min="9988" max="9988" width="17.28515625" style="78" customWidth="1"/>
    <col min="9989" max="9989" width="17.85546875" style="78" bestFit="1" customWidth="1"/>
    <col min="9990" max="9990" width="18" style="78" customWidth="1"/>
    <col min="9991" max="9991" width="17.7109375" style="78" customWidth="1"/>
    <col min="9992" max="9992" width="34.140625" style="78" customWidth="1"/>
    <col min="9993" max="10240" width="9.140625" style="78"/>
    <col min="10241" max="10241" width="4.28515625" style="78" customWidth="1"/>
    <col min="10242" max="10242" width="31.5703125" style="78" customWidth="1"/>
    <col min="10243" max="10243" width="12.5703125" style="78" customWidth="1"/>
    <col min="10244" max="10244" width="17.28515625" style="78" customWidth="1"/>
    <col min="10245" max="10245" width="17.85546875" style="78" bestFit="1" customWidth="1"/>
    <col min="10246" max="10246" width="18" style="78" customWidth="1"/>
    <col min="10247" max="10247" width="17.7109375" style="78" customWidth="1"/>
    <col min="10248" max="10248" width="34.140625" style="78" customWidth="1"/>
    <col min="10249" max="10496" width="9.140625" style="78"/>
    <col min="10497" max="10497" width="4.28515625" style="78" customWidth="1"/>
    <col min="10498" max="10498" width="31.5703125" style="78" customWidth="1"/>
    <col min="10499" max="10499" width="12.5703125" style="78" customWidth="1"/>
    <col min="10500" max="10500" width="17.28515625" style="78" customWidth="1"/>
    <col min="10501" max="10501" width="17.85546875" style="78" bestFit="1" customWidth="1"/>
    <col min="10502" max="10502" width="18" style="78" customWidth="1"/>
    <col min="10503" max="10503" width="17.7109375" style="78" customWidth="1"/>
    <col min="10504" max="10504" width="34.140625" style="78" customWidth="1"/>
    <col min="10505" max="10752" width="9.140625" style="78"/>
    <col min="10753" max="10753" width="4.28515625" style="78" customWidth="1"/>
    <col min="10754" max="10754" width="31.5703125" style="78" customWidth="1"/>
    <col min="10755" max="10755" width="12.5703125" style="78" customWidth="1"/>
    <col min="10756" max="10756" width="17.28515625" style="78" customWidth="1"/>
    <col min="10757" max="10757" width="17.85546875" style="78" bestFit="1" customWidth="1"/>
    <col min="10758" max="10758" width="18" style="78" customWidth="1"/>
    <col min="10759" max="10759" width="17.7109375" style="78" customWidth="1"/>
    <col min="10760" max="10760" width="34.140625" style="78" customWidth="1"/>
    <col min="10761" max="11008" width="9.140625" style="78"/>
    <col min="11009" max="11009" width="4.28515625" style="78" customWidth="1"/>
    <col min="11010" max="11010" width="31.5703125" style="78" customWidth="1"/>
    <col min="11011" max="11011" width="12.5703125" style="78" customWidth="1"/>
    <col min="11012" max="11012" width="17.28515625" style="78" customWidth="1"/>
    <col min="11013" max="11013" width="17.85546875" style="78" bestFit="1" customWidth="1"/>
    <col min="11014" max="11014" width="18" style="78" customWidth="1"/>
    <col min="11015" max="11015" width="17.7109375" style="78" customWidth="1"/>
    <col min="11016" max="11016" width="34.140625" style="78" customWidth="1"/>
    <col min="11017" max="11264" width="9.140625" style="78"/>
    <col min="11265" max="11265" width="4.28515625" style="78" customWidth="1"/>
    <col min="11266" max="11266" width="31.5703125" style="78" customWidth="1"/>
    <col min="11267" max="11267" width="12.5703125" style="78" customWidth="1"/>
    <col min="11268" max="11268" width="17.28515625" style="78" customWidth="1"/>
    <col min="11269" max="11269" width="17.85546875" style="78" bestFit="1" customWidth="1"/>
    <col min="11270" max="11270" width="18" style="78" customWidth="1"/>
    <col min="11271" max="11271" width="17.7109375" style="78" customWidth="1"/>
    <col min="11272" max="11272" width="34.140625" style="78" customWidth="1"/>
    <col min="11273" max="11520" width="9.140625" style="78"/>
    <col min="11521" max="11521" width="4.28515625" style="78" customWidth="1"/>
    <col min="11522" max="11522" width="31.5703125" style="78" customWidth="1"/>
    <col min="11523" max="11523" width="12.5703125" style="78" customWidth="1"/>
    <col min="11524" max="11524" width="17.28515625" style="78" customWidth="1"/>
    <col min="11525" max="11525" width="17.85546875" style="78" bestFit="1" customWidth="1"/>
    <col min="11526" max="11526" width="18" style="78" customWidth="1"/>
    <col min="11527" max="11527" width="17.7109375" style="78" customWidth="1"/>
    <col min="11528" max="11528" width="34.140625" style="78" customWidth="1"/>
    <col min="11529" max="11776" width="9.140625" style="78"/>
    <col min="11777" max="11777" width="4.28515625" style="78" customWidth="1"/>
    <col min="11778" max="11778" width="31.5703125" style="78" customWidth="1"/>
    <col min="11779" max="11779" width="12.5703125" style="78" customWidth="1"/>
    <col min="11780" max="11780" width="17.28515625" style="78" customWidth="1"/>
    <col min="11781" max="11781" width="17.85546875" style="78" bestFit="1" customWidth="1"/>
    <col min="11782" max="11782" width="18" style="78" customWidth="1"/>
    <col min="11783" max="11783" width="17.7109375" style="78" customWidth="1"/>
    <col min="11784" max="11784" width="34.140625" style="78" customWidth="1"/>
    <col min="11785" max="12032" width="9.140625" style="78"/>
    <col min="12033" max="12033" width="4.28515625" style="78" customWidth="1"/>
    <col min="12034" max="12034" width="31.5703125" style="78" customWidth="1"/>
    <col min="12035" max="12035" width="12.5703125" style="78" customWidth="1"/>
    <col min="12036" max="12036" width="17.28515625" style="78" customWidth="1"/>
    <col min="12037" max="12037" width="17.85546875" style="78" bestFit="1" customWidth="1"/>
    <col min="12038" max="12038" width="18" style="78" customWidth="1"/>
    <col min="12039" max="12039" width="17.7109375" style="78" customWidth="1"/>
    <col min="12040" max="12040" width="34.140625" style="78" customWidth="1"/>
    <col min="12041" max="12288" width="9.140625" style="78"/>
    <col min="12289" max="12289" width="4.28515625" style="78" customWidth="1"/>
    <col min="12290" max="12290" width="31.5703125" style="78" customWidth="1"/>
    <col min="12291" max="12291" width="12.5703125" style="78" customWidth="1"/>
    <col min="12292" max="12292" width="17.28515625" style="78" customWidth="1"/>
    <col min="12293" max="12293" width="17.85546875" style="78" bestFit="1" customWidth="1"/>
    <col min="12294" max="12294" width="18" style="78" customWidth="1"/>
    <col min="12295" max="12295" width="17.7109375" style="78" customWidth="1"/>
    <col min="12296" max="12296" width="34.140625" style="78" customWidth="1"/>
    <col min="12297" max="12544" width="9.140625" style="78"/>
    <col min="12545" max="12545" width="4.28515625" style="78" customWidth="1"/>
    <col min="12546" max="12546" width="31.5703125" style="78" customWidth="1"/>
    <col min="12547" max="12547" width="12.5703125" style="78" customWidth="1"/>
    <col min="12548" max="12548" width="17.28515625" style="78" customWidth="1"/>
    <col min="12549" max="12549" width="17.85546875" style="78" bestFit="1" customWidth="1"/>
    <col min="12550" max="12550" width="18" style="78" customWidth="1"/>
    <col min="12551" max="12551" width="17.7109375" style="78" customWidth="1"/>
    <col min="12552" max="12552" width="34.140625" style="78" customWidth="1"/>
    <col min="12553" max="12800" width="9.140625" style="78"/>
    <col min="12801" max="12801" width="4.28515625" style="78" customWidth="1"/>
    <col min="12802" max="12802" width="31.5703125" style="78" customWidth="1"/>
    <col min="12803" max="12803" width="12.5703125" style="78" customWidth="1"/>
    <col min="12804" max="12804" width="17.28515625" style="78" customWidth="1"/>
    <col min="12805" max="12805" width="17.85546875" style="78" bestFit="1" customWidth="1"/>
    <col min="12806" max="12806" width="18" style="78" customWidth="1"/>
    <col min="12807" max="12807" width="17.7109375" style="78" customWidth="1"/>
    <col min="12808" max="12808" width="34.140625" style="78" customWidth="1"/>
    <col min="12809" max="13056" width="9.140625" style="78"/>
    <col min="13057" max="13057" width="4.28515625" style="78" customWidth="1"/>
    <col min="13058" max="13058" width="31.5703125" style="78" customWidth="1"/>
    <col min="13059" max="13059" width="12.5703125" style="78" customWidth="1"/>
    <col min="13060" max="13060" width="17.28515625" style="78" customWidth="1"/>
    <col min="13061" max="13061" width="17.85546875" style="78" bestFit="1" customWidth="1"/>
    <col min="13062" max="13062" width="18" style="78" customWidth="1"/>
    <col min="13063" max="13063" width="17.7109375" style="78" customWidth="1"/>
    <col min="13064" max="13064" width="34.140625" style="78" customWidth="1"/>
    <col min="13065" max="13312" width="9.140625" style="78"/>
    <col min="13313" max="13313" width="4.28515625" style="78" customWidth="1"/>
    <col min="13314" max="13314" width="31.5703125" style="78" customWidth="1"/>
    <col min="13315" max="13315" width="12.5703125" style="78" customWidth="1"/>
    <col min="13316" max="13316" width="17.28515625" style="78" customWidth="1"/>
    <col min="13317" max="13317" width="17.85546875" style="78" bestFit="1" customWidth="1"/>
    <col min="13318" max="13318" width="18" style="78" customWidth="1"/>
    <col min="13319" max="13319" width="17.7109375" style="78" customWidth="1"/>
    <col min="13320" max="13320" width="34.140625" style="78" customWidth="1"/>
    <col min="13321" max="13568" width="9.140625" style="78"/>
    <col min="13569" max="13569" width="4.28515625" style="78" customWidth="1"/>
    <col min="13570" max="13570" width="31.5703125" style="78" customWidth="1"/>
    <col min="13571" max="13571" width="12.5703125" style="78" customWidth="1"/>
    <col min="13572" max="13572" width="17.28515625" style="78" customWidth="1"/>
    <col min="13573" max="13573" width="17.85546875" style="78" bestFit="1" customWidth="1"/>
    <col min="13574" max="13574" width="18" style="78" customWidth="1"/>
    <col min="13575" max="13575" width="17.7109375" style="78" customWidth="1"/>
    <col min="13576" max="13576" width="34.140625" style="78" customWidth="1"/>
    <col min="13577" max="13824" width="9.140625" style="78"/>
    <col min="13825" max="13825" width="4.28515625" style="78" customWidth="1"/>
    <col min="13826" max="13826" width="31.5703125" style="78" customWidth="1"/>
    <col min="13827" max="13827" width="12.5703125" style="78" customWidth="1"/>
    <col min="13828" max="13828" width="17.28515625" style="78" customWidth="1"/>
    <col min="13829" max="13829" width="17.85546875" style="78" bestFit="1" customWidth="1"/>
    <col min="13830" max="13830" width="18" style="78" customWidth="1"/>
    <col min="13831" max="13831" width="17.7109375" style="78" customWidth="1"/>
    <col min="13832" max="13832" width="34.140625" style="78" customWidth="1"/>
    <col min="13833" max="14080" width="9.140625" style="78"/>
    <col min="14081" max="14081" width="4.28515625" style="78" customWidth="1"/>
    <col min="14082" max="14082" width="31.5703125" style="78" customWidth="1"/>
    <col min="14083" max="14083" width="12.5703125" style="78" customWidth="1"/>
    <col min="14084" max="14084" width="17.28515625" style="78" customWidth="1"/>
    <col min="14085" max="14085" width="17.85546875" style="78" bestFit="1" customWidth="1"/>
    <col min="14086" max="14086" width="18" style="78" customWidth="1"/>
    <col min="14087" max="14087" width="17.7109375" style="78" customWidth="1"/>
    <col min="14088" max="14088" width="34.140625" style="78" customWidth="1"/>
    <col min="14089" max="14336" width="9.140625" style="78"/>
    <col min="14337" max="14337" width="4.28515625" style="78" customWidth="1"/>
    <col min="14338" max="14338" width="31.5703125" style="78" customWidth="1"/>
    <col min="14339" max="14339" width="12.5703125" style="78" customWidth="1"/>
    <col min="14340" max="14340" width="17.28515625" style="78" customWidth="1"/>
    <col min="14341" max="14341" width="17.85546875" style="78" bestFit="1" customWidth="1"/>
    <col min="14342" max="14342" width="18" style="78" customWidth="1"/>
    <col min="14343" max="14343" width="17.7109375" style="78" customWidth="1"/>
    <col min="14344" max="14344" width="34.140625" style="78" customWidth="1"/>
    <col min="14345" max="14592" width="9.140625" style="78"/>
    <col min="14593" max="14593" width="4.28515625" style="78" customWidth="1"/>
    <col min="14594" max="14594" width="31.5703125" style="78" customWidth="1"/>
    <col min="14595" max="14595" width="12.5703125" style="78" customWidth="1"/>
    <col min="14596" max="14596" width="17.28515625" style="78" customWidth="1"/>
    <col min="14597" max="14597" width="17.85546875" style="78" bestFit="1" customWidth="1"/>
    <col min="14598" max="14598" width="18" style="78" customWidth="1"/>
    <col min="14599" max="14599" width="17.7109375" style="78" customWidth="1"/>
    <col min="14600" max="14600" width="34.140625" style="78" customWidth="1"/>
    <col min="14601" max="14848" width="9.140625" style="78"/>
    <col min="14849" max="14849" width="4.28515625" style="78" customWidth="1"/>
    <col min="14850" max="14850" width="31.5703125" style="78" customWidth="1"/>
    <col min="14851" max="14851" width="12.5703125" style="78" customWidth="1"/>
    <col min="14852" max="14852" width="17.28515625" style="78" customWidth="1"/>
    <col min="14853" max="14853" width="17.85546875" style="78" bestFit="1" customWidth="1"/>
    <col min="14854" max="14854" width="18" style="78" customWidth="1"/>
    <col min="14855" max="14855" width="17.7109375" style="78" customWidth="1"/>
    <col min="14856" max="14856" width="34.140625" style="78" customWidth="1"/>
    <col min="14857" max="15104" width="9.140625" style="78"/>
    <col min="15105" max="15105" width="4.28515625" style="78" customWidth="1"/>
    <col min="15106" max="15106" width="31.5703125" style="78" customWidth="1"/>
    <col min="15107" max="15107" width="12.5703125" style="78" customWidth="1"/>
    <col min="15108" max="15108" width="17.28515625" style="78" customWidth="1"/>
    <col min="15109" max="15109" width="17.85546875" style="78" bestFit="1" customWidth="1"/>
    <col min="15110" max="15110" width="18" style="78" customWidth="1"/>
    <col min="15111" max="15111" width="17.7109375" style="78" customWidth="1"/>
    <col min="15112" max="15112" width="34.140625" style="78" customWidth="1"/>
    <col min="15113" max="15360" width="9.140625" style="78"/>
    <col min="15361" max="15361" width="4.28515625" style="78" customWidth="1"/>
    <col min="15362" max="15362" width="31.5703125" style="78" customWidth="1"/>
    <col min="15363" max="15363" width="12.5703125" style="78" customWidth="1"/>
    <col min="15364" max="15364" width="17.28515625" style="78" customWidth="1"/>
    <col min="15365" max="15365" width="17.85546875" style="78" bestFit="1" customWidth="1"/>
    <col min="15366" max="15366" width="18" style="78" customWidth="1"/>
    <col min="15367" max="15367" width="17.7109375" style="78" customWidth="1"/>
    <col min="15368" max="15368" width="34.140625" style="78" customWidth="1"/>
    <col min="15369" max="15616" width="9.140625" style="78"/>
    <col min="15617" max="15617" width="4.28515625" style="78" customWidth="1"/>
    <col min="15618" max="15618" width="31.5703125" style="78" customWidth="1"/>
    <col min="15619" max="15619" width="12.5703125" style="78" customWidth="1"/>
    <col min="15620" max="15620" width="17.28515625" style="78" customWidth="1"/>
    <col min="15621" max="15621" width="17.85546875" style="78" bestFit="1" customWidth="1"/>
    <col min="15622" max="15622" width="18" style="78" customWidth="1"/>
    <col min="15623" max="15623" width="17.7109375" style="78" customWidth="1"/>
    <col min="15624" max="15624" width="34.140625" style="78" customWidth="1"/>
    <col min="15625" max="15872" width="9.140625" style="78"/>
    <col min="15873" max="15873" width="4.28515625" style="78" customWidth="1"/>
    <col min="15874" max="15874" width="31.5703125" style="78" customWidth="1"/>
    <col min="15875" max="15875" width="12.5703125" style="78" customWidth="1"/>
    <col min="15876" max="15876" width="17.28515625" style="78" customWidth="1"/>
    <col min="15877" max="15877" width="17.85546875" style="78" bestFit="1" customWidth="1"/>
    <col min="15878" max="15878" width="18" style="78" customWidth="1"/>
    <col min="15879" max="15879" width="17.7109375" style="78" customWidth="1"/>
    <col min="15880" max="15880" width="34.140625" style="78" customWidth="1"/>
    <col min="15881" max="16128" width="9.140625" style="78"/>
    <col min="16129" max="16129" width="4.28515625" style="78" customWidth="1"/>
    <col min="16130" max="16130" width="31.5703125" style="78" customWidth="1"/>
    <col min="16131" max="16131" width="12.5703125" style="78" customWidth="1"/>
    <col min="16132" max="16132" width="17.28515625" style="78" customWidth="1"/>
    <col min="16133" max="16133" width="17.85546875" style="78" bestFit="1" customWidth="1"/>
    <col min="16134" max="16134" width="18" style="78" customWidth="1"/>
    <col min="16135" max="16135" width="17.7109375" style="78" customWidth="1"/>
    <col min="16136" max="16136" width="34.140625" style="78" customWidth="1"/>
    <col min="16137" max="16384" width="9.140625" style="78"/>
  </cols>
  <sheetData>
    <row r="1" spans="1:255" ht="20.100000000000001" customHeight="1">
      <c r="A1" s="1068" t="s">
        <v>1099</v>
      </c>
      <c r="B1" s="1068"/>
      <c r="C1" s="1068"/>
      <c r="D1" s="1068"/>
      <c r="E1" s="1068"/>
      <c r="F1" s="1068"/>
      <c r="G1" s="1068"/>
      <c r="H1" s="1068"/>
    </row>
    <row r="2" spans="1:255" ht="20.100000000000001" customHeight="1">
      <c r="A2" s="1068" t="s">
        <v>0</v>
      </c>
      <c r="B2" s="1068"/>
      <c r="C2" s="1068"/>
      <c r="D2" s="1068"/>
      <c r="E2" s="1068"/>
      <c r="F2" s="1068"/>
      <c r="G2" s="1068"/>
      <c r="H2" s="1068"/>
    </row>
    <row r="3" spans="1:255" ht="20.100000000000001" customHeight="1">
      <c r="A3" s="1068" t="s">
        <v>1072</v>
      </c>
      <c r="B3" s="1068"/>
      <c r="C3" s="1068"/>
      <c r="D3" s="1068"/>
      <c r="E3" s="1068"/>
      <c r="F3" s="1068"/>
      <c r="G3" s="1068"/>
      <c r="H3" s="1068"/>
    </row>
    <row r="4" spans="1:255" ht="20.100000000000001" customHeight="1">
      <c r="A4" s="1068" t="s">
        <v>1100</v>
      </c>
      <c r="B4" s="1068"/>
      <c r="C4" s="1068"/>
      <c r="D4" s="1068"/>
      <c r="E4" s="1068"/>
      <c r="F4" s="1068"/>
      <c r="G4" s="1068"/>
      <c r="H4" s="1068"/>
    </row>
    <row r="5" spans="1:255" ht="22.5" customHeight="1">
      <c r="A5" s="1069" t="s">
        <v>1101</v>
      </c>
      <c r="B5" s="1069"/>
      <c r="C5" s="1069"/>
      <c r="D5" s="1069"/>
      <c r="E5" s="1069"/>
      <c r="F5" s="101" t="s">
        <v>1102</v>
      </c>
      <c r="G5" s="101"/>
    </row>
    <row r="6" spans="1:255" ht="18.75" customHeight="1">
      <c r="A6" s="103"/>
      <c r="B6" s="103"/>
      <c r="C6" s="103"/>
      <c r="D6" s="103"/>
      <c r="E6" s="103"/>
      <c r="F6" s="103"/>
      <c r="G6" s="77" t="s">
        <v>8</v>
      </c>
      <c r="H6" s="102">
        <f>E24+E45</f>
        <v>32780000</v>
      </c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3"/>
      <c r="CW6" s="103"/>
      <c r="CX6" s="103"/>
      <c r="CY6" s="103"/>
      <c r="CZ6" s="103"/>
      <c r="DA6" s="103"/>
      <c r="DB6" s="103"/>
      <c r="DC6" s="103"/>
      <c r="DD6" s="103"/>
      <c r="DE6" s="103"/>
      <c r="DF6" s="103"/>
      <c r="DG6" s="103"/>
      <c r="DH6" s="103"/>
      <c r="DI6" s="103"/>
      <c r="DJ6" s="103"/>
      <c r="DK6" s="103"/>
      <c r="DL6" s="103"/>
      <c r="DM6" s="103"/>
      <c r="DN6" s="103"/>
      <c r="DO6" s="103"/>
      <c r="DP6" s="103"/>
      <c r="DQ6" s="103"/>
      <c r="DR6" s="103"/>
      <c r="DS6" s="103"/>
      <c r="DT6" s="103"/>
      <c r="DU6" s="103"/>
      <c r="DV6" s="103"/>
      <c r="DW6" s="103"/>
      <c r="DX6" s="103"/>
      <c r="DY6" s="103"/>
      <c r="DZ6" s="103"/>
      <c r="EA6" s="103"/>
      <c r="EB6" s="103"/>
      <c r="EC6" s="103"/>
      <c r="ED6" s="103"/>
      <c r="EE6" s="103"/>
      <c r="EF6" s="103"/>
      <c r="EG6" s="103"/>
      <c r="EH6" s="103"/>
      <c r="EI6" s="103"/>
      <c r="EJ6" s="103"/>
      <c r="EK6" s="103"/>
      <c r="EL6" s="103"/>
      <c r="EM6" s="103"/>
      <c r="EN6" s="103"/>
      <c r="EO6" s="103"/>
      <c r="EP6" s="103"/>
      <c r="EQ6" s="103"/>
      <c r="ER6" s="103"/>
      <c r="ES6" s="103"/>
      <c r="ET6" s="103"/>
      <c r="EU6" s="103"/>
      <c r="EV6" s="103"/>
      <c r="EW6" s="103"/>
      <c r="EX6" s="103"/>
      <c r="EY6" s="103"/>
      <c r="EZ6" s="103"/>
      <c r="FA6" s="103"/>
      <c r="FB6" s="103"/>
      <c r="FC6" s="103"/>
      <c r="FD6" s="103"/>
      <c r="FE6" s="103"/>
      <c r="FF6" s="103"/>
      <c r="FG6" s="103"/>
      <c r="FH6" s="103"/>
      <c r="FI6" s="103"/>
      <c r="FJ6" s="103"/>
      <c r="FK6" s="103"/>
      <c r="FL6" s="103"/>
      <c r="FM6" s="103"/>
      <c r="FN6" s="103"/>
      <c r="FO6" s="103"/>
      <c r="FP6" s="103"/>
      <c r="FQ6" s="103"/>
      <c r="FR6" s="103"/>
      <c r="FS6" s="103"/>
      <c r="FT6" s="103"/>
      <c r="FU6" s="103"/>
      <c r="FV6" s="103"/>
      <c r="FW6" s="103"/>
      <c r="FX6" s="103"/>
      <c r="FY6" s="103"/>
      <c r="FZ6" s="103"/>
      <c r="GA6" s="103"/>
      <c r="GB6" s="103"/>
      <c r="GC6" s="103"/>
      <c r="GD6" s="103"/>
      <c r="GE6" s="103"/>
      <c r="GF6" s="103"/>
      <c r="GG6" s="103"/>
      <c r="GH6" s="103"/>
      <c r="GI6" s="103"/>
      <c r="GJ6" s="103"/>
      <c r="GK6" s="103"/>
      <c r="GL6" s="103"/>
      <c r="GM6" s="103"/>
      <c r="GN6" s="103"/>
      <c r="GO6" s="103"/>
      <c r="GP6" s="103"/>
      <c r="GQ6" s="103"/>
      <c r="GR6" s="103"/>
      <c r="GS6" s="103"/>
      <c r="GT6" s="103"/>
      <c r="GU6" s="103"/>
      <c r="GV6" s="103"/>
      <c r="GW6" s="103"/>
      <c r="GX6" s="103"/>
      <c r="GY6" s="103"/>
      <c r="GZ6" s="103"/>
      <c r="HA6" s="103"/>
      <c r="HB6" s="103"/>
      <c r="HC6" s="103"/>
      <c r="HD6" s="103"/>
      <c r="HE6" s="103"/>
      <c r="HF6" s="103"/>
      <c r="HG6" s="103"/>
      <c r="HH6" s="103"/>
      <c r="HI6" s="103"/>
      <c r="HJ6" s="103"/>
      <c r="HK6" s="103"/>
      <c r="HL6" s="103"/>
      <c r="HM6" s="103"/>
      <c r="HN6" s="103"/>
      <c r="HO6" s="103"/>
      <c r="HP6" s="103"/>
      <c r="HQ6" s="103"/>
      <c r="HR6" s="103"/>
      <c r="HS6" s="103"/>
      <c r="HT6" s="103"/>
      <c r="HU6" s="103"/>
      <c r="HV6" s="103"/>
      <c r="HW6" s="103"/>
      <c r="HX6" s="103"/>
      <c r="HY6" s="103"/>
      <c r="HZ6" s="103"/>
      <c r="IA6" s="103"/>
      <c r="IB6" s="103"/>
      <c r="IC6" s="103"/>
      <c r="ID6" s="103"/>
      <c r="IE6" s="103"/>
      <c r="IF6" s="103"/>
      <c r="IG6" s="103"/>
      <c r="IH6" s="103"/>
      <c r="II6" s="103"/>
      <c r="IJ6" s="103"/>
      <c r="IK6" s="103"/>
      <c r="IL6" s="103"/>
      <c r="IM6" s="103"/>
      <c r="IN6" s="103"/>
      <c r="IO6" s="103"/>
      <c r="IP6" s="103"/>
      <c r="IQ6" s="103"/>
      <c r="IR6" s="103"/>
      <c r="IS6" s="103"/>
      <c r="IT6" s="103"/>
      <c r="IU6" s="103"/>
    </row>
    <row r="7" spans="1:255" ht="54" customHeight="1">
      <c r="A7" s="79" t="s">
        <v>1103</v>
      </c>
      <c r="B7" s="79" t="s">
        <v>96</v>
      </c>
      <c r="C7" s="79" t="s">
        <v>97</v>
      </c>
      <c r="D7" s="79" t="s">
        <v>98</v>
      </c>
      <c r="E7" s="79" t="s">
        <v>1077</v>
      </c>
      <c r="F7" s="79" t="s">
        <v>100</v>
      </c>
      <c r="G7" s="79" t="s">
        <v>101</v>
      </c>
      <c r="H7" s="79" t="s">
        <v>102</v>
      </c>
    </row>
    <row r="8" spans="1:255" ht="20.100000000000001" customHeight="1">
      <c r="A8" s="80">
        <v>1</v>
      </c>
      <c r="B8" s="80">
        <v>2</v>
      </c>
      <c r="C8" s="80">
        <v>3</v>
      </c>
      <c r="D8" s="80">
        <v>4</v>
      </c>
      <c r="E8" s="80">
        <v>5</v>
      </c>
      <c r="F8" s="80">
        <v>6</v>
      </c>
      <c r="G8" s="80">
        <v>7</v>
      </c>
      <c r="H8" s="80">
        <v>8</v>
      </c>
    </row>
    <row r="9" spans="1:255" ht="25.9" customHeight="1">
      <c r="A9" s="1078" t="s">
        <v>1104</v>
      </c>
      <c r="B9" s="1078"/>
      <c r="C9" s="1078"/>
      <c r="D9" s="1078"/>
      <c r="E9" s="1078"/>
      <c r="F9" s="1078"/>
      <c r="G9" s="1078"/>
      <c r="H9" s="1078"/>
    </row>
    <row r="10" spans="1:255" ht="25.9" customHeight="1">
      <c r="A10" s="93">
        <v>1</v>
      </c>
      <c r="B10" s="92" t="s">
        <v>1105</v>
      </c>
      <c r="C10" s="83">
        <v>28</v>
      </c>
      <c r="D10" s="85">
        <v>1000</v>
      </c>
      <c r="E10" s="131">
        <f t="shared" ref="E10:E23" si="0">C10*D10</f>
        <v>28000</v>
      </c>
      <c r="F10" s="83" t="s">
        <v>319</v>
      </c>
      <c r="G10" s="83">
        <v>0</v>
      </c>
      <c r="H10" s="83" t="s">
        <v>1080</v>
      </c>
    </row>
    <row r="11" spans="1:255" ht="25.9" customHeight="1">
      <c r="A11" s="93">
        <v>2</v>
      </c>
      <c r="B11" s="92" t="s">
        <v>1106</v>
      </c>
      <c r="C11" s="83">
        <v>17</v>
      </c>
      <c r="D11" s="85">
        <v>3000</v>
      </c>
      <c r="E11" s="131">
        <f t="shared" si="0"/>
        <v>51000</v>
      </c>
      <c r="F11" s="83" t="s">
        <v>319</v>
      </c>
      <c r="G11" s="83">
        <v>0</v>
      </c>
      <c r="H11" s="83" t="s">
        <v>1080</v>
      </c>
    </row>
    <row r="12" spans="1:255" ht="25.9" customHeight="1">
      <c r="A12" s="93">
        <v>3</v>
      </c>
      <c r="B12" s="92" t="s">
        <v>1107</v>
      </c>
      <c r="C12" s="83">
        <v>31</v>
      </c>
      <c r="D12" s="85">
        <v>2000</v>
      </c>
      <c r="E12" s="131">
        <f t="shared" si="0"/>
        <v>62000</v>
      </c>
      <c r="F12" s="83" t="s">
        <v>319</v>
      </c>
      <c r="G12" s="83">
        <v>0</v>
      </c>
      <c r="H12" s="83" t="s">
        <v>1080</v>
      </c>
    </row>
    <row r="13" spans="1:255" ht="25.9" customHeight="1">
      <c r="A13" s="93">
        <v>4</v>
      </c>
      <c r="B13" s="92" t="s">
        <v>1108</v>
      </c>
      <c r="C13" s="83">
        <v>34</v>
      </c>
      <c r="D13" s="85">
        <v>2000</v>
      </c>
      <c r="E13" s="131">
        <f t="shared" si="0"/>
        <v>68000</v>
      </c>
      <c r="F13" s="83" t="s">
        <v>319</v>
      </c>
      <c r="G13" s="83">
        <v>26</v>
      </c>
      <c r="H13" s="83" t="s">
        <v>1080</v>
      </c>
    </row>
    <row r="14" spans="1:255" ht="25.9" customHeight="1">
      <c r="A14" s="93">
        <v>6</v>
      </c>
      <c r="B14" s="92" t="s">
        <v>1109</v>
      </c>
      <c r="C14" s="83">
        <v>23</v>
      </c>
      <c r="D14" s="85">
        <v>5000</v>
      </c>
      <c r="E14" s="131">
        <f t="shared" si="0"/>
        <v>115000</v>
      </c>
      <c r="F14" s="83" t="s">
        <v>319</v>
      </c>
      <c r="G14" s="83">
        <v>10</v>
      </c>
      <c r="H14" s="83" t="s">
        <v>1080</v>
      </c>
    </row>
    <row r="15" spans="1:255" ht="25.9" customHeight="1">
      <c r="A15" s="93">
        <v>7</v>
      </c>
      <c r="B15" s="92" t="s">
        <v>1110</v>
      </c>
      <c r="C15" s="83">
        <v>17</v>
      </c>
      <c r="D15" s="85">
        <v>8000</v>
      </c>
      <c r="E15" s="131">
        <f t="shared" si="0"/>
        <v>136000</v>
      </c>
      <c r="F15" s="83" t="s">
        <v>319</v>
      </c>
      <c r="G15" s="83">
        <v>18</v>
      </c>
      <c r="H15" s="83" t="s">
        <v>1080</v>
      </c>
    </row>
    <row r="16" spans="1:255" ht="25.9" customHeight="1">
      <c r="A16" s="93">
        <v>8</v>
      </c>
      <c r="B16" s="92" t="s">
        <v>1111</v>
      </c>
      <c r="C16" s="83">
        <v>17</v>
      </c>
      <c r="D16" s="85">
        <v>8000</v>
      </c>
      <c r="E16" s="131">
        <f t="shared" si="0"/>
        <v>136000</v>
      </c>
      <c r="F16" s="83" t="s">
        <v>319</v>
      </c>
      <c r="G16" s="83">
        <v>22</v>
      </c>
      <c r="H16" s="83" t="s">
        <v>1080</v>
      </c>
    </row>
    <row r="17" spans="1:8" ht="25.9" customHeight="1">
      <c r="A17" s="93">
        <v>9</v>
      </c>
      <c r="B17" s="92" t="s">
        <v>1112</v>
      </c>
      <c r="C17" s="83">
        <v>79</v>
      </c>
      <c r="D17" s="85">
        <v>2000</v>
      </c>
      <c r="E17" s="131">
        <f t="shared" si="0"/>
        <v>158000</v>
      </c>
      <c r="F17" s="83" t="s">
        <v>319</v>
      </c>
      <c r="G17" s="83">
        <v>10</v>
      </c>
      <c r="H17" s="83" t="s">
        <v>1080</v>
      </c>
    </row>
    <row r="18" spans="1:8" ht="25.9" customHeight="1">
      <c r="A18" s="93">
        <v>10</v>
      </c>
      <c r="B18" s="92" t="s">
        <v>1113</v>
      </c>
      <c r="C18" s="83">
        <v>33</v>
      </c>
      <c r="D18" s="85">
        <v>5000</v>
      </c>
      <c r="E18" s="131">
        <f t="shared" si="0"/>
        <v>165000</v>
      </c>
      <c r="F18" s="83" t="s">
        <v>319</v>
      </c>
      <c r="G18" s="83">
        <v>24</v>
      </c>
      <c r="H18" s="83" t="s">
        <v>1080</v>
      </c>
    </row>
    <row r="19" spans="1:8" ht="25.9" customHeight="1">
      <c r="A19" s="93">
        <v>11</v>
      </c>
      <c r="B19" s="92" t="s">
        <v>1114</v>
      </c>
      <c r="C19" s="83">
        <v>32</v>
      </c>
      <c r="D19" s="85">
        <v>8000</v>
      </c>
      <c r="E19" s="131">
        <f t="shared" si="0"/>
        <v>256000</v>
      </c>
      <c r="F19" s="83" t="s">
        <v>319</v>
      </c>
      <c r="G19" s="83">
        <v>19</v>
      </c>
      <c r="H19" s="83" t="s">
        <v>1080</v>
      </c>
    </row>
    <row r="20" spans="1:8" ht="25.9" customHeight="1">
      <c r="A20" s="93">
        <f>A19+1</f>
        <v>12</v>
      </c>
      <c r="B20" s="92" t="s">
        <v>1115</v>
      </c>
      <c r="C20" s="83">
        <v>40</v>
      </c>
      <c r="D20" s="85">
        <v>6000</v>
      </c>
      <c r="E20" s="131">
        <f t="shared" si="0"/>
        <v>240000</v>
      </c>
      <c r="F20" s="83" t="s">
        <v>319</v>
      </c>
      <c r="G20" s="83">
        <v>18</v>
      </c>
      <c r="H20" s="83" t="s">
        <v>1080</v>
      </c>
    </row>
    <row r="21" spans="1:8" ht="25.9" customHeight="1">
      <c r="A21" s="93">
        <f>A20+1</f>
        <v>13</v>
      </c>
      <c r="B21" s="92" t="s">
        <v>1116</v>
      </c>
      <c r="C21" s="83">
        <v>40</v>
      </c>
      <c r="D21" s="85">
        <v>6000</v>
      </c>
      <c r="E21" s="131">
        <f t="shared" si="0"/>
        <v>240000</v>
      </c>
      <c r="F21" s="83" t="s">
        <v>319</v>
      </c>
      <c r="G21" s="83">
        <v>18</v>
      </c>
      <c r="H21" s="83" t="s">
        <v>1080</v>
      </c>
    </row>
    <row r="22" spans="1:8" ht="25.9" customHeight="1">
      <c r="A22" s="93">
        <f t="shared" ref="A22:A23" si="1">A21+1</f>
        <v>14</v>
      </c>
      <c r="B22" s="92" t="s">
        <v>1117</v>
      </c>
      <c r="C22" s="104">
        <v>43</v>
      </c>
      <c r="D22" s="85">
        <v>6000</v>
      </c>
      <c r="E22" s="131">
        <f t="shared" si="0"/>
        <v>258000</v>
      </c>
      <c r="F22" s="83" t="s">
        <v>319</v>
      </c>
      <c r="G22" s="104">
        <v>12</v>
      </c>
      <c r="H22" s="83" t="s">
        <v>1080</v>
      </c>
    </row>
    <row r="23" spans="1:8" ht="25.9" customHeight="1" thickBot="1">
      <c r="A23" s="93">
        <f t="shared" si="1"/>
        <v>15</v>
      </c>
      <c r="B23" s="92" t="s">
        <v>1118</v>
      </c>
      <c r="C23" s="83">
        <v>135</v>
      </c>
      <c r="D23" s="85">
        <v>3500</v>
      </c>
      <c r="E23" s="131">
        <f t="shared" si="0"/>
        <v>472500</v>
      </c>
      <c r="F23" s="83" t="s">
        <v>319</v>
      </c>
      <c r="G23" s="83">
        <v>100</v>
      </c>
      <c r="H23" s="83" t="s">
        <v>1080</v>
      </c>
    </row>
    <row r="24" spans="1:8" s="107" customFormat="1" ht="30" customHeight="1" thickTop="1" thickBot="1">
      <c r="A24" s="1079" t="s">
        <v>1095</v>
      </c>
      <c r="B24" s="1079"/>
      <c r="C24" s="105">
        <f>SUM(C10:C23)</f>
        <v>569</v>
      </c>
      <c r="D24" s="105"/>
      <c r="E24" s="106">
        <f>SUM(E10:E23)</f>
        <v>2385500</v>
      </c>
      <c r="F24" s="105"/>
      <c r="G24" s="105">
        <f>SUM(G10:G23)</f>
        <v>277</v>
      </c>
      <c r="H24" s="105"/>
    </row>
    <row r="25" spans="1:8" ht="25.9" customHeight="1" thickTop="1">
      <c r="A25" s="1078" t="s">
        <v>1119</v>
      </c>
      <c r="B25" s="1078"/>
      <c r="C25" s="1078"/>
      <c r="D25" s="1078"/>
      <c r="E25" s="1078"/>
      <c r="F25" s="1078"/>
      <c r="G25" s="1078"/>
      <c r="H25" s="1078"/>
    </row>
    <row r="26" spans="1:8" ht="25.9" customHeight="1">
      <c r="A26" s="93">
        <f>A23+1</f>
        <v>16</v>
      </c>
      <c r="B26" s="92" t="s">
        <v>1120</v>
      </c>
      <c r="C26" s="83">
        <v>30</v>
      </c>
      <c r="D26" s="85">
        <v>20000</v>
      </c>
      <c r="E26" s="131">
        <f t="shared" ref="E26:E44" si="2">C26*D26</f>
        <v>600000</v>
      </c>
      <c r="F26" s="83" t="s">
        <v>319</v>
      </c>
      <c r="G26" s="83">
        <v>31</v>
      </c>
      <c r="H26" s="83" t="s">
        <v>1080</v>
      </c>
    </row>
    <row r="27" spans="1:8" ht="25.9" customHeight="1">
      <c r="A27" s="93">
        <f>A26+1</f>
        <v>17</v>
      </c>
      <c r="B27" s="92" t="s">
        <v>1121</v>
      </c>
      <c r="C27" s="83">
        <v>40</v>
      </c>
      <c r="D27" s="85">
        <v>15000</v>
      </c>
      <c r="E27" s="131">
        <f>C27*D27</f>
        <v>600000</v>
      </c>
      <c r="F27" s="83" t="s">
        <v>319</v>
      </c>
      <c r="G27" s="83">
        <v>108</v>
      </c>
      <c r="H27" s="83" t="s">
        <v>1080</v>
      </c>
    </row>
    <row r="28" spans="1:8" ht="25.9" customHeight="1">
      <c r="A28" s="93">
        <f t="shared" ref="A28:A44" si="3">A27+1</f>
        <v>18</v>
      </c>
      <c r="B28" s="92" t="s">
        <v>1122</v>
      </c>
      <c r="C28" s="83">
        <v>68</v>
      </c>
      <c r="D28" s="85">
        <v>12000</v>
      </c>
      <c r="E28" s="131">
        <f t="shared" si="2"/>
        <v>816000</v>
      </c>
      <c r="F28" s="83" t="s">
        <v>319</v>
      </c>
      <c r="G28" s="83">
        <v>36</v>
      </c>
      <c r="H28" s="83" t="s">
        <v>1080</v>
      </c>
    </row>
    <row r="29" spans="1:8" ht="25.9" customHeight="1">
      <c r="A29" s="93">
        <f t="shared" si="3"/>
        <v>19</v>
      </c>
      <c r="B29" s="92" t="s">
        <v>1123</v>
      </c>
      <c r="C29" s="83">
        <v>56</v>
      </c>
      <c r="D29" s="85">
        <v>15000</v>
      </c>
      <c r="E29" s="131">
        <f t="shared" si="2"/>
        <v>840000</v>
      </c>
      <c r="F29" s="83" t="s">
        <v>319</v>
      </c>
      <c r="G29" s="83">
        <v>30</v>
      </c>
      <c r="H29" s="83" t="s">
        <v>1080</v>
      </c>
    </row>
    <row r="30" spans="1:8" ht="25.9" customHeight="1">
      <c r="A30" s="93">
        <f t="shared" si="3"/>
        <v>20</v>
      </c>
      <c r="B30" s="92" t="s">
        <v>1124</v>
      </c>
      <c r="C30" s="83">
        <v>60</v>
      </c>
      <c r="D30" s="85">
        <v>12000</v>
      </c>
      <c r="E30" s="131">
        <f t="shared" si="2"/>
        <v>720000</v>
      </c>
      <c r="F30" s="83" t="s">
        <v>319</v>
      </c>
      <c r="G30" s="83">
        <v>62</v>
      </c>
      <c r="H30" s="83" t="s">
        <v>1080</v>
      </c>
    </row>
    <row r="31" spans="1:8" ht="25.9" customHeight="1">
      <c r="A31" s="93">
        <f t="shared" si="3"/>
        <v>21</v>
      </c>
      <c r="B31" s="92" t="s">
        <v>1125</v>
      </c>
      <c r="C31" s="83">
        <v>185</v>
      </c>
      <c r="D31" s="85">
        <v>4500</v>
      </c>
      <c r="E31" s="131">
        <f t="shared" si="2"/>
        <v>832500</v>
      </c>
      <c r="F31" s="83" t="s">
        <v>319</v>
      </c>
      <c r="G31" s="83">
        <v>369</v>
      </c>
      <c r="H31" s="83" t="s">
        <v>1080</v>
      </c>
    </row>
    <row r="32" spans="1:8" ht="25.9" customHeight="1">
      <c r="A32" s="93">
        <f t="shared" si="3"/>
        <v>22</v>
      </c>
      <c r="B32" s="92" t="s">
        <v>1126</v>
      </c>
      <c r="C32" s="83">
        <v>57</v>
      </c>
      <c r="D32" s="85">
        <v>15000</v>
      </c>
      <c r="E32" s="131">
        <f t="shared" si="2"/>
        <v>855000</v>
      </c>
      <c r="F32" s="83" t="s">
        <v>319</v>
      </c>
      <c r="G32" s="83">
        <v>18</v>
      </c>
      <c r="H32" s="83" t="s">
        <v>1080</v>
      </c>
    </row>
    <row r="33" spans="1:19" ht="25.9" customHeight="1">
      <c r="A33" s="93">
        <f t="shared" si="3"/>
        <v>23</v>
      </c>
      <c r="B33" s="92" t="s">
        <v>1127</v>
      </c>
      <c r="C33" s="83">
        <v>17</v>
      </c>
      <c r="D33" s="85">
        <v>50000</v>
      </c>
      <c r="E33" s="131">
        <f t="shared" si="2"/>
        <v>850000</v>
      </c>
      <c r="F33" s="83" t="s">
        <v>319</v>
      </c>
      <c r="G33" s="83">
        <v>2</v>
      </c>
      <c r="H33" s="83" t="s">
        <v>1080</v>
      </c>
    </row>
    <row r="34" spans="1:19" ht="25.9" customHeight="1">
      <c r="A34" s="93">
        <f t="shared" si="3"/>
        <v>24</v>
      </c>
      <c r="B34" s="92" t="s">
        <v>1128</v>
      </c>
      <c r="C34" s="83">
        <v>72</v>
      </c>
      <c r="D34" s="85">
        <v>12000</v>
      </c>
      <c r="E34" s="131">
        <f t="shared" si="2"/>
        <v>864000</v>
      </c>
      <c r="F34" s="83" t="s">
        <v>319</v>
      </c>
      <c r="G34" s="83">
        <v>8</v>
      </c>
      <c r="H34" s="83" t="s">
        <v>1080</v>
      </c>
    </row>
    <row r="35" spans="1:19" ht="25.9" customHeight="1">
      <c r="A35" s="93">
        <f t="shared" si="3"/>
        <v>25</v>
      </c>
      <c r="B35" s="92" t="s">
        <v>1129</v>
      </c>
      <c r="C35" s="83">
        <v>186</v>
      </c>
      <c r="D35" s="85">
        <v>6000</v>
      </c>
      <c r="E35" s="131">
        <f>C35*D35</f>
        <v>1116000</v>
      </c>
      <c r="F35" s="83" t="s">
        <v>319</v>
      </c>
      <c r="G35" s="83">
        <v>244</v>
      </c>
      <c r="H35" s="83" t="s">
        <v>1080</v>
      </c>
    </row>
    <row r="36" spans="1:19" ht="25.9" customHeight="1">
      <c r="A36" s="93">
        <f t="shared" si="3"/>
        <v>26</v>
      </c>
      <c r="B36" s="92" t="s">
        <v>1130</v>
      </c>
      <c r="C36" s="83">
        <v>124</v>
      </c>
      <c r="D36" s="85">
        <v>12000</v>
      </c>
      <c r="E36" s="131">
        <f t="shared" si="2"/>
        <v>1488000</v>
      </c>
      <c r="F36" s="83" t="s">
        <v>319</v>
      </c>
      <c r="G36" s="83">
        <v>101</v>
      </c>
      <c r="H36" s="83" t="s">
        <v>1080</v>
      </c>
    </row>
    <row r="37" spans="1:19" ht="25.9" customHeight="1">
      <c r="A37" s="93">
        <f t="shared" si="3"/>
        <v>27</v>
      </c>
      <c r="B37" s="92" t="s">
        <v>1131</v>
      </c>
      <c r="C37" s="83">
        <v>267</v>
      </c>
      <c r="D37" s="85">
        <v>5000</v>
      </c>
      <c r="E37" s="131">
        <f t="shared" si="2"/>
        <v>1335000</v>
      </c>
      <c r="F37" s="83" t="s">
        <v>319</v>
      </c>
      <c r="G37" s="83">
        <v>489</v>
      </c>
      <c r="H37" s="83" t="s">
        <v>1080</v>
      </c>
    </row>
    <row r="38" spans="1:19" ht="25.9" customHeight="1">
      <c r="A38" s="93">
        <f t="shared" si="3"/>
        <v>28</v>
      </c>
      <c r="B38" s="92" t="s">
        <v>1132</v>
      </c>
      <c r="C38" s="83">
        <v>13</v>
      </c>
      <c r="D38" s="85">
        <v>200000</v>
      </c>
      <c r="E38" s="131">
        <f t="shared" si="2"/>
        <v>2600000</v>
      </c>
      <c r="F38" s="83" t="s">
        <v>319</v>
      </c>
      <c r="G38" s="83">
        <v>0</v>
      </c>
      <c r="H38" s="83" t="s">
        <v>1080</v>
      </c>
    </row>
    <row r="39" spans="1:19" ht="25.9" customHeight="1">
      <c r="A39" s="93">
        <f t="shared" si="3"/>
        <v>29</v>
      </c>
      <c r="B39" s="92" t="s">
        <v>1133</v>
      </c>
      <c r="C39" s="108">
        <v>90</v>
      </c>
      <c r="D39" s="109">
        <v>18000</v>
      </c>
      <c r="E39" s="131">
        <f t="shared" si="2"/>
        <v>1620000</v>
      </c>
      <c r="F39" s="83" t="s">
        <v>319</v>
      </c>
      <c r="G39" s="108">
        <v>137</v>
      </c>
      <c r="H39" s="83" t="s">
        <v>1080</v>
      </c>
    </row>
    <row r="40" spans="1:19" ht="25.9" customHeight="1">
      <c r="A40" s="93">
        <f t="shared" si="3"/>
        <v>30</v>
      </c>
      <c r="B40" s="92" t="s">
        <v>1134</v>
      </c>
      <c r="C40" s="83">
        <v>14</v>
      </c>
      <c r="D40" s="109">
        <v>100000</v>
      </c>
      <c r="E40" s="131">
        <f t="shared" si="2"/>
        <v>1400000</v>
      </c>
      <c r="F40" s="83" t="s">
        <v>319</v>
      </c>
      <c r="G40" s="83">
        <v>0</v>
      </c>
      <c r="H40" s="83" t="s">
        <v>1080</v>
      </c>
      <c r="L40" s="1080"/>
      <c r="M40" s="1080"/>
      <c r="N40" s="1080"/>
      <c r="O40" s="1080"/>
      <c r="P40" s="1080"/>
      <c r="Q40" s="1080"/>
      <c r="R40" s="1080"/>
      <c r="S40" s="1080"/>
    </row>
    <row r="41" spans="1:19" ht="25.9" customHeight="1">
      <c r="A41" s="93">
        <f t="shared" si="3"/>
        <v>31</v>
      </c>
      <c r="B41" s="92" t="s">
        <v>1135</v>
      </c>
      <c r="C41" s="83">
        <v>182</v>
      </c>
      <c r="D41" s="85">
        <v>9000</v>
      </c>
      <c r="E41" s="131">
        <f t="shared" si="2"/>
        <v>1638000</v>
      </c>
      <c r="F41" s="83" t="s">
        <v>319</v>
      </c>
      <c r="G41" s="83">
        <v>113</v>
      </c>
      <c r="H41" s="83" t="s">
        <v>1080</v>
      </c>
    </row>
    <row r="42" spans="1:19" ht="25.9" customHeight="1">
      <c r="A42" s="93">
        <f t="shared" si="3"/>
        <v>32</v>
      </c>
      <c r="B42" s="92" t="s">
        <v>1136</v>
      </c>
      <c r="C42" s="83">
        <v>565</v>
      </c>
      <c r="D42" s="85">
        <v>4000</v>
      </c>
      <c r="E42" s="131">
        <f t="shared" si="2"/>
        <v>2260000</v>
      </c>
      <c r="F42" s="83" t="s">
        <v>319</v>
      </c>
      <c r="G42" s="83">
        <v>135</v>
      </c>
      <c r="H42" s="83" t="s">
        <v>1080</v>
      </c>
    </row>
    <row r="43" spans="1:19" ht="25.9" customHeight="1">
      <c r="A43" s="93">
        <f t="shared" si="3"/>
        <v>33</v>
      </c>
      <c r="B43" s="92" t="s">
        <v>1137</v>
      </c>
      <c r="C43" s="83">
        <v>620</v>
      </c>
      <c r="D43" s="85">
        <v>6000</v>
      </c>
      <c r="E43" s="131">
        <f t="shared" si="2"/>
        <v>3720000</v>
      </c>
      <c r="F43" s="83" t="s">
        <v>319</v>
      </c>
      <c r="G43" s="83">
        <v>279</v>
      </c>
      <c r="H43" s="83" t="s">
        <v>1080</v>
      </c>
    </row>
    <row r="44" spans="1:19" ht="25.9" customHeight="1" thickBot="1">
      <c r="A44" s="93">
        <f t="shared" si="3"/>
        <v>34</v>
      </c>
      <c r="B44" s="92" t="s">
        <v>1138</v>
      </c>
      <c r="C44" s="83">
        <v>416</v>
      </c>
      <c r="D44" s="85">
        <v>15000</v>
      </c>
      <c r="E44" s="131">
        <f t="shared" si="2"/>
        <v>6240000</v>
      </c>
      <c r="F44" s="83" t="s">
        <v>319</v>
      </c>
      <c r="G44" s="83">
        <v>198</v>
      </c>
      <c r="H44" s="83" t="s">
        <v>1080</v>
      </c>
    </row>
    <row r="45" spans="1:19" s="107" customFormat="1" ht="30" customHeight="1" thickTop="1" thickBot="1">
      <c r="A45" s="1079" t="s">
        <v>1095</v>
      </c>
      <c r="B45" s="1079"/>
      <c r="C45" s="105">
        <f>SUM(C26:C44)</f>
        <v>3062</v>
      </c>
      <c r="D45" s="105"/>
      <c r="E45" s="106">
        <f>SUM(E26:E44)</f>
        <v>30394500</v>
      </c>
      <c r="F45" s="105"/>
      <c r="G45" s="105">
        <f>SUM(G26:G44)</f>
        <v>2360</v>
      </c>
      <c r="H45" s="105"/>
    </row>
    <row r="46" spans="1:19" ht="15" customHeight="1" thickTop="1">
      <c r="A46" s="97"/>
      <c r="B46" s="97"/>
      <c r="C46" s="98"/>
      <c r="D46" s="98"/>
      <c r="E46" s="98"/>
      <c r="F46" s="98"/>
      <c r="G46" s="98"/>
      <c r="H46" s="98"/>
    </row>
    <row r="47" spans="1:19" ht="20.25" customHeight="1">
      <c r="A47" s="1081" t="s">
        <v>23</v>
      </c>
      <c r="B47" s="1081"/>
      <c r="C47" s="1081"/>
      <c r="D47" s="1081"/>
      <c r="E47" s="1081"/>
      <c r="F47" s="1081"/>
      <c r="G47" s="1081"/>
      <c r="H47" s="1081"/>
    </row>
    <row r="48" spans="1:19" ht="20.25" customHeight="1">
      <c r="A48" s="1082" t="s">
        <v>1139</v>
      </c>
      <c r="B48" s="1082"/>
      <c r="C48" s="1082"/>
      <c r="D48" s="1082"/>
      <c r="E48" s="1082"/>
      <c r="F48" s="1082"/>
      <c r="G48" s="1082"/>
      <c r="H48" s="1082"/>
    </row>
    <row r="49" spans="1:8" ht="20.25" customHeight="1">
      <c r="A49" s="1072" t="s">
        <v>1097</v>
      </c>
      <c r="B49" s="1072"/>
      <c r="C49" s="1072"/>
      <c r="D49" s="1072"/>
      <c r="E49" s="1072"/>
      <c r="F49" s="1072"/>
      <c r="G49" s="1072"/>
      <c r="H49" s="1072"/>
    </row>
    <row r="50" spans="1:8" ht="62.25" customHeight="1">
      <c r="A50" s="1073" t="s">
        <v>1140</v>
      </c>
      <c r="B50" s="1073"/>
      <c r="C50" s="1073"/>
      <c r="D50" s="1073"/>
      <c r="E50" s="1073"/>
      <c r="F50" s="1073"/>
      <c r="G50" s="1073"/>
      <c r="H50" s="1073"/>
    </row>
    <row r="51" spans="1:8" ht="39" customHeight="1">
      <c r="A51" s="96"/>
      <c r="B51" s="97"/>
      <c r="C51" s="98"/>
      <c r="D51" s="98"/>
      <c r="E51" s="98"/>
      <c r="F51" s="98"/>
      <c r="G51" s="98"/>
      <c r="H51" s="98"/>
    </row>
    <row r="52" spans="1:8" ht="20.25" customHeight="1">
      <c r="B52" s="99"/>
      <c r="C52" s="99"/>
      <c r="D52" s="99"/>
      <c r="E52" s="96" t="s">
        <v>21</v>
      </c>
      <c r="G52" s="96"/>
      <c r="H52" s="100" t="s">
        <v>22</v>
      </c>
    </row>
    <row r="53" spans="1:8" ht="20.25" customHeight="1">
      <c r="B53" s="110"/>
    </row>
    <row r="54" spans="1:8" ht="20.25" customHeight="1">
      <c r="B54" s="110"/>
    </row>
    <row r="55" spans="1:8" ht="20.25" customHeight="1">
      <c r="B55" s="110"/>
    </row>
    <row r="56" spans="1:8" ht="20.25" customHeight="1">
      <c r="B56" s="110"/>
    </row>
    <row r="57" spans="1:8">
      <c r="B57" s="110"/>
    </row>
    <row r="58" spans="1:8">
      <c r="B58" s="110"/>
    </row>
    <row r="59" spans="1:8">
      <c r="B59" s="110"/>
    </row>
    <row r="60" spans="1:8">
      <c r="B60" s="110"/>
    </row>
  </sheetData>
  <mergeCells count="14">
    <mergeCell ref="A49:H49"/>
    <mergeCell ref="A50:H50"/>
    <mergeCell ref="A24:B24"/>
    <mergeCell ref="A25:H25"/>
    <mergeCell ref="L40:S40"/>
    <mergeCell ref="A45:B45"/>
    <mergeCell ref="A47:H47"/>
    <mergeCell ref="A48:H48"/>
    <mergeCell ref="A9:H9"/>
    <mergeCell ref="A1:H1"/>
    <mergeCell ref="A2:H2"/>
    <mergeCell ref="A3:H3"/>
    <mergeCell ref="A4:H4"/>
    <mergeCell ref="A5:E5"/>
  </mergeCells>
  <printOptions horizontalCentered="1"/>
  <pageMargins left="0.23622047244094491" right="0.23622047244094491" top="0.83" bottom="0.43307086614173229" header="0.94" footer="0.19685039370078741"/>
  <pageSetup paperSize="9" scale="80" orientation="landscape" r:id="rId1"/>
  <headerFooter alignWithMargins="0">
    <oddFooter>&amp;C&amp;P of &amp;N</oddFooter>
  </headerFooter>
  <rowBreaks count="2" manualBreakCount="2">
    <brk id="24" max="7" man="1"/>
    <brk id="42" max="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view="pageBreakPreview" topLeftCell="A12" zoomScale="85" zoomScaleSheetLayoutView="85" workbookViewId="0">
      <selection activeCell="R31" sqref="R31"/>
    </sheetView>
  </sheetViews>
  <sheetFormatPr defaultRowHeight="15.75"/>
  <cols>
    <col min="1" max="1" width="4.42578125" style="132" bestFit="1" customWidth="1"/>
    <col min="2" max="2" width="31.28515625" style="132" customWidth="1"/>
    <col min="3" max="3" width="26.5703125" style="132" customWidth="1"/>
    <col min="4" max="4" width="20.7109375" style="132" customWidth="1"/>
    <col min="5" max="256" width="9.140625" style="132"/>
    <col min="257" max="257" width="4.42578125" style="132" bestFit="1" customWidth="1"/>
    <col min="258" max="258" width="31.28515625" style="132" customWidth="1"/>
    <col min="259" max="259" width="26.5703125" style="132" customWidth="1"/>
    <col min="260" max="260" width="20.7109375" style="132" customWidth="1"/>
    <col min="261" max="512" width="9.140625" style="132"/>
    <col min="513" max="513" width="4.42578125" style="132" bestFit="1" customWidth="1"/>
    <col min="514" max="514" width="31.28515625" style="132" customWidth="1"/>
    <col min="515" max="515" width="26.5703125" style="132" customWidth="1"/>
    <col min="516" max="516" width="20.7109375" style="132" customWidth="1"/>
    <col min="517" max="768" width="9.140625" style="132"/>
    <col min="769" max="769" width="4.42578125" style="132" bestFit="1" customWidth="1"/>
    <col min="770" max="770" width="31.28515625" style="132" customWidth="1"/>
    <col min="771" max="771" width="26.5703125" style="132" customWidth="1"/>
    <col min="772" max="772" width="20.7109375" style="132" customWidth="1"/>
    <col min="773" max="1024" width="9.140625" style="132"/>
    <col min="1025" max="1025" width="4.42578125" style="132" bestFit="1" customWidth="1"/>
    <col min="1026" max="1026" width="31.28515625" style="132" customWidth="1"/>
    <col min="1027" max="1027" width="26.5703125" style="132" customWidth="1"/>
    <col min="1028" max="1028" width="20.7109375" style="132" customWidth="1"/>
    <col min="1029" max="1280" width="9.140625" style="132"/>
    <col min="1281" max="1281" width="4.42578125" style="132" bestFit="1" customWidth="1"/>
    <col min="1282" max="1282" width="31.28515625" style="132" customWidth="1"/>
    <col min="1283" max="1283" width="26.5703125" style="132" customWidth="1"/>
    <col min="1284" max="1284" width="20.7109375" style="132" customWidth="1"/>
    <col min="1285" max="1536" width="9.140625" style="132"/>
    <col min="1537" max="1537" width="4.42578125" style="132" bestFit="1" customWidth="1"/>
    <col min="1538" max="1538" width="31.28515625" style="132" customWidth="1"/>
    <col min="1539" max="1539" width="26.5703125" style="132" customWidth="1"/>
    <col min="1540" max="1540" width="20.7109375" style="132" customWidth="1"/>
    <col min="1541" max="1792" width="9.140625" style="132"/>
    <col min="1793" max="1793" width="4.42578125" style="132" bestFit="1" customWidth="1"/>
    <col min="1794" max="1794" width="31.28515625" style="132" customWidth="1"/>
    <col min="1795" max="1795" width="26.5703125" style="132" customWidth="1"/>
    <col min="1796" max="1796" width="20.7109375" style="132" customWidth="1"/>
    <col min="1797" max="2048" width="9.140625" style="132"/>
    <col min="2049" max="2049" width="4.42578125" style="132" bestFit="1" customWidth="1"/>
    <col min="2050" max="2050" width="31.28515625" style="132" customWidth="1"/>
    <col min="2051" max="2051" width="26.5703125" style="132" customWidth="1"/>
    <col min="2052" max="2052" width="20.7109375" style="132" customWidth="1"/>
    <col min="2053" max="2304" width="9.140625" style="132"/>
    <col min="2305" max="2305" width="4.42578125" style="132" bestFit="1" customWidth="1"/>
    <col min="2306" max="2306" width="31.28515625" style="132" customWidth="1"/>
    <col min="2307" max="2307" width="26.5703125" style="132" customWidth="1"/>
    <col min="2308" max="2308" width="20.7109375" style="132" customWidth="1"/>
    <col min="2309" max="2560" width="9.140625" style="132"/>
    <col min="2561" max="2561" width="4.42578125" style="132" bestFit="1" customWidth="1"/>
    <col min="2562" max="2562" width="31.28515625" style="132" customWidth="1"/>
    <col min="2563" max="2563" width="26.5703125" style="132" customWidth="1"/>
    <col min="2564" max="2564" width="20.7109375" style="132" customWidth="1"/>
    <col min="2565" max="2816" width="9.140625" style="132"/>
    <col min="2817" max="2817" width="4.42578125" style="132" bestFit="1" customWidth="1"/>
    <col min="2818" max="2818" width="31.28515625" style="132" customWidth="1"/>
    <col min="2819" max="2819" width="26.5703125" style="132" customWidth="1"/>
    <col min="2820" max="2820" width="20.7109375" style="132" customWidth="1"/>
    <col min="2821" max="3072" width="9.140625" style="132"/>
    <col min="3073" max="3073" width="4.42578125" style="132" bestFit="1" customWidth="1"/>
    <col min="3074" max="3074" width="31.28515625" style="132" customWidth="1"/>
    <col min="3075" max="3075" width="26.5703125" style="132" customWidth="1"/>
    <col min="3076" max="3076" width="20.7109375" style="132" customWidth="1"/>
    <col min="3077" max="3328" width="9.140625" style="132"/>
    <col min="3329" max="3329" width="4.42578125" style="132" bestFit="1" customWidth="1"/>
    <col min="3330" max="3330" width="31.28515625" style="132" customWidth="1"/>
    <col min="3331" max="3331" width="26.5703125" style="132" customWidth="1"/>
    <col min="3332" max="3332" width="20.7109375" style="132" customWidth="1"/>
    <col min="3333" max="3584" width="9.140625" style="132"/>
    <col min="3585" max="3585" width="4.42578125" style="132" bestFit="1" customWidth="1"/>
    <col min="3586" max="3586" width="31.28515625" style="132" customWidth="1"/>
    <col min="3587" max="3587" width="26.5703125" style="132" customWidth="1"/>
    <col min="3588" max="3588" width="20.7109375" style="132" customWidth="1"/>
    <col min="3589" max="3840" width="9.140625" style="132"/>
    <col min="3841" max="3841" width="4.42578125" style="132" bestFit="1" customWidth="1"/>
    <col min="3842" max="3842" width="31.28515625" style="132" customWidth="1"/>
    <col min="3843" max="3843" width="26.5703125" style="132" customWidth="1"/>
    <col min="3844" max="3844" width="20.7109375" style="132" customWidth="1"/>
    <col min="3845" max="4096" width="9.140625" style="132"/>
    <col min="4097" max="4097" width="4.42578125" style="132" bestFit="1" customWidth="1"/>
    <col min="4098" max="4098" width="31.28515625" style="132" customWidth="1"/>
    <col min="4099" max="4099" width="26.5703125" style="132" customWidth="1"/>
    <col min="4100" max="4100" width="20.7109375" style="132" customWidth="1"/>
    <col min="4101" max="4352" width="9.140625" style="132"/>
    <col min="4353" max="4353" width="4.42578125" style="132" bestFit="1" customWidth="1"/>
    <col min="4354" max="4354" width="31.28515625" style="132" customWidth="1"/>
    <col min="4355" max="4355" width="26.5703125" style="132" customWidth="1"/>
    <col min="4356" max="4356" width="20.7109375" style="132" customWidth="1"/>
    <col min="4357" max="4608" width="9.140625" style="132"/>
    <col min="4609" max="4609" width="4.42578125" style="132" bestFit="1" customWidth="1"/>
    <col min="4610" max="4610" width="31.28515625" style="132" customWidth="1"/>
    <col min="4611" max="4611" width="26.5703125" style="132" customWidth="1"/>
    <col min="4612" max="4612" width="20.7109375" style="132" customWidth="1"/>
    <col min="4613" max="4864" width="9.140625" style="132"/>
    <col min="4865" max="4865" width="4.42578125" style="132" bestFit="1" customWidth="1"/>
    <col min="4866" max="4866" width="31.28515625" style="132" customWidth="1"/>
    <col min="4867" max="4867" width="26.5703125" style="132" customWidth="1"/>
    <col min="4868" max="4868" width="20.7109375" style="132" customWidth="1"/>
    <col min="4869" max="5120" width="9.140625" style="132"/>
    <col min="5121" max="5121" width="4.42578125" style="132" bestFit="1" customWidth="1"/>
    <col min="5122" max="5122" width="31.28515625" style="132" customWidth="1"/>
    <col min="5123" max="5123" width="26.5703125" style="132" customWidth="1"/>
    <col min="5124" max="5124" width="20.7109375" style="132" customWidth="1"/>
    <col min="5125" max="5376" width="9.140625" style="132"/>
    <col min="5377" max="5377" width="4.42578125" style="132" bestFit="1" customWidth="1"/>
    <col min="5378" max="5378" width="31.28515625" style="132" customWidth="1"/>
    <col min="5379" max="5379" width="26.5703125" style="132" customWidth="1"/>
    <col min="5380" max="5380" width="20.7109375" style="132" customWidth="1"/>
    <col min="5381" max="5632" width="9.140625" style="132"/>
    <col min="5633" max="5633" width="4.42578125" style="132" bestFit="1" customWidth="1"/>
    <col min="5634" max="5634" width="31.28515625" style="132" customWidth="1"/>
    <col min="5635" max="5635" width="26.5703125" style="132" customWidth="1"/>
    <col min="5636" max="5636" width="20.7109375" style="132" customWidth="1"/>
    <col min="5637" max="5888" width="9.140625" style="132"/>
    <col min="5889" max="5889" width="4.42578125" style="132" bestFit="1" customWidth="1"/>
    <col min="5890" max="5890" width="31.28515625" style="132" customWidth="1"/>
    <col min="5891" max="5891" width="26.5703125" style="132" customWidth="1"/>
    <col min="5892" max="5892" width="20.7109375" style="132" customWidth="1"/>
    <col min="5893" max="6144" width="9.140625" style="132"/>
    <col min="6145" max="6145" width="4.42578125" style="132" bestFit="1" customWidth="1"/>
    <col min="6146" max="6146" width="31.28515625" style="132" customWidth="1"/>
    <col min="6147" max="6147" width="26.5703125" style="132" customWidth="1"/>
    <col min="6148" max="6148" width="20.7109375" style="132" customWidth="1"/>
    <col min="6149" max="6400" width="9.140625" style="132"/>
    <col min="6401" max="6401" width="4.42578125" style="132" bestFit="1" customWidth="1"/>
    <col min="6402" max="6402" width="31.28515625" style="132" customWidth="1"/>
    <col min="6403" max="6403" width="26.5703125" style="132" customWidth="1"/>
    <col min="6404" max="6404" width="20.7109375" style="132" customWidth="1"/>
    <col min="6405" max="6656" width="9.140625" style="132"/>
    <col min="6657" max="6657" width="4.42578125" style="132" bestFit="1" customWidth="1"/>
    <col min="6658" max="6658" width="31.28515625" style="132" customWidth="1"/>
    <col min="6659" max="6659" width="26.5703125" style="132" customWidth="1"/>
    <col min="6660" max="6660" width="20.7109375" style="132" customWidth="1"/>
    <col min="6661" max="6912" width="9.140625" style="132"/>
    <col min="6913" max="6913" width="4.42578125" style="132" bestFit="1" customWidth="1"/>
    <col min="6914" max="6914" width="31.28515625" style="132" customWidth="1"/>
    <col min="6915" max="6915" width="26.5703125" style="132" customWidth="1"/>
    <col min="6916" max="6916" width="20.7109375" style="132" customWidth="1"/>
    <col min="6917" max="7168" width="9.140625" style="132"/>
    <col min="7169" max="7169" width="4.42578125" style="132" bestFit="1" customWidth="1"/>
    <col min="7170" max="7170" width="31.28515625" style="132" customWidth="1"/>
    <col min="7171" max="7171" width="26.5703125" style="132" customWidth="1"/>
    <col min="7172" max="7172" width="20.7109375" style="132" customWidth="1"/>
    <col min="7173" max="7424" width="9.140625" style="132"/>
    <col min="7425" max="7425" width="4.42578125" style="132" bestFit="1" customWidth="1"/>
    <col min="7426" max="7426" width="31.28515625" style="132" customWidth="1"/>
    <col min="7427" max="7427" width="26.5703125" style="132" customWidth="1"/>
    <col min="7428" max="7428" width="20.7109375" style="132" customWidth="1"/>
    <col min="7429" max="7680" width="9.140625" style="132"/>
    <col min="7681" max="7681" width="4.42578125" style="132" bestFit="1" customWidth="1"/>
    <col min="7682" max="7682" width="31.28515625" style="132" customWidth="1"/>
    <col min="7683" max="7683" width="26.5703125" style="132" customWidth="1"/>
    <col min="7684" max="7684" width="20.7109375" style="132" customWidth="1"/>
    <col min="7685" max="7936" width="9.140625" style="132"/>
    <col min="7937" max="7937" width="4.42578125" style="132" bestFit="1" customWidth="1"/>
    <col min="7938" max="7938" width="31.28515625" style="132" customWidth="1"/>
    <col min="7939" max="7939" width="26.5703125" style="132" customWidth="1"/>
    <col min="7940" max="7940" width="20.7109375" style="132" customWidth="1"/>
    <col min="7941" max="8192" width="9.140625" style="132"/>
    <col min="8193" max="8193" width="4.42578125" style="132" bestFit="1" customWidth="1"/>
    <col min="8194" max="8194" width="31.28515625" style="132" customWidth="1"/>
    <col min="8195" max="8195" width="26.5703125" style="132" customWidth="1"/>
    <col min="8196" max="8196" width="20.7109375" style="132" customWidth="1"/>
    <col min="8197" max="8448" width="9.140625" style="132"/>
    <col min="8449" max="8449" width="4.42578125" style="132" bestFit="1" customWidth="1"/>
    <col min="8450" max="8450" width="31.28515625" style="132" customWidth="1"/>
    <col min="8451" max="8451" width="26.5703125" style="132" customWidth="1"/>
    <col min="8452" max="8452" width="20.7109375" style="132" customWidth="1"/>
    <col min="8453" max="8704" width="9.140625" style="132"/>
    <col min="8705" max="8705" width="4.42578125" style="132" bestFit="1" customWidth="1"/>
    <col min="8706" max="8706" width="31.28515625" style="132" customWidth="1"/>
    <col min="8707" max="8707" width="26.5703125" style="132" customWidth="1"/>
    <col min="8708" max="8708" width="20.7109375" style="132" customWidth="1"/>
    <col min="8709" max="8960" width="9.140625" style="132"/>
    <col min="8961" max="8961" width="4.42578125" style="132" bestFit="1" customWidth="1"/>
    <col min="8962" max="8962" width="31.28515625" style="132" customWidth="1"/>
    <col min="8963" max="8963" width="26.5703125" style="132" customWidth="1"/>
    <col min="8964" max="8964" width="20.7109375" style="132" customWidth="1"/>
    <col min="8965" max="9216" width="9.140625" style="132"/>
    <col min="9217" max="9217" width="4.42578125" style="132" bestFit="1" customWidth="1"/>
    <col min="9218" max="9218" width="31.28515625" style="132" customWidth="1"/>
    <col min="9219" max="9219" width="26.5703125" style="132" customWidth="1"/>
    <col min="9220" max="9220" width="20.7109375" style="132" customWidth="1"/>
    <col min="9221" max="9472" width="9.140625" style="132"/>
    <col min="9473" max="9473" width="4.42578125" style="132" bestFit="1" customWidth="1"/>
    <col min="9474" max="9474" width="31.28515625" style="132" customWidth="1"/>
    <col min="9475" max="9475" width="26.5703125" style="132" customWidth="1"/>
    <col min="9476" max="9476" width="20.7109375" style="132" customWidth="1"/>
    <col min="9477" max="9728" width="9.140625" style="132"/>
    <col min="9729" max="9729" width="4.42578125" style="132" bestFit="1" customWidth="1"/>
    <col min="9730" max="9730" width="31.28515625" style="132" customWidth="1"/>
    <col min="9731" max="9731" width="26.5703125" style="132" customWidth="1"/>
    <col min="9732" max="9732" width="20.7109375" style="132" customWidth="1"/>
    <col min="9733" max="9984" width="9.140625" style="132"/>
    <col min="9985" max="9985" width="4.42578125" style="132" bestFit="1" customWidth="1"/>
    <col min="9986" max="9986" width="31.28515625" style="132" customWidth="1"/>
    <col min="9987" max="9987" width="26.5703125" style="132" customWidth="1"/>
    <col min="9988" max="9988" width="20.7109375" style="132" customWidth="1"/>
    <col min="9989" max="10240" width="9.140625" style="132"/>
    <col min="10241" max="10241" width="4.42578125" style="132" bestFit="1" customWidth="1"/>
    <col min="10242" max="10242" width="31.28515625" style="132" customWidth="1"/>
    <col min="10243" max="10243" width="26.5703125" style="132" customWidth="1"/>
    <col min="10244" max="10244" width="20.7109375" style="132" customWidth="1"/>
    <col min="10245" max="10496" width="9.140625" style="132"/>
    <col min="10497" max="10497" width="4.42578125" style="132" bestFit="1" customWidth="1"/>
    <col min="10498" max="10498" width="31.28515625" style="132" customWidth="1"/>
    <col min="10499" max="10499" width="26.5703125" style="132" customWidth="1"/>
    <col min="10500" max="10500" width="20.7109375" style="132" customWidth="1"/>
    <col min="10501" max="10752" width="9.140625" style="132"/>
    <col min="10753" max="10753" width="4.42578125" style="132" bestFit="1" customWidth="1"/>
    <col min="10754" max="10754" width="31.28515625" style="132" customWidth="1"/>
    <col min="10755" max="10755" width="26.5703125" style="132" customWidth="1"/>
    <col min="10756" max="10756" width="20.7109375" style="132" customWidth="1"/>
    <col min="10757" max="11008" width="9.140625" style="132"/>
    <col min="11009" max="11009" width="4.42578125" style="132" bestFit="1" customWidth="1"/>
    <col min="11010" max="11010" width="31.28515625" style="132" customWidth="1"/>
    <col min="11011" max="11011" width="26.5703125" style="132" customWidth="1"/>
    <col min="11012" max="11012" width="20.7109375" style="132" customWidth="1"/>
    <col min="11013" max="11264" width="9.140625" style="132"/>
    <col min="11265" max="11265" width="4.42578125" style="132" bestFit="1" customWidth="1"/>
    <col min="11266" max="11266" width="31.28515625" style="132" customWidth="1"/>
    <col min="11267" max="11267" width="26.5703125" style="132" customWidth="1"/>
    <col min="11268" max="11268" width="20.7109375" style="132" customWidth="1"/>
    <col min="11269" max="11520" width="9.140625" style="132"/>
    <col min="11521" max="11521" width="4.42578125" style="132" bestFit="1" customWidth="1"/>
    <col min="11522" max="11522" width="31.28515625" style="132" customWidth="1"/>
    <col min="11523" max="11523" width="26.5703125" style="132" customWidth="1"/>
    <col min="11524" max="11524" width="20.7109375" style="132" customWidth="1"/>
    <col min="11525" max="11776" width="9.140625" style="132"/>
    <col min="11777" max="11777" width="4.42578125" style="132" bestFit="1" customWidth="1"/>
    <col min="11778" max="11778" width="31.28515625" style="132" customWidth="1"/>
    <col min="11779" max="11779" width="26.5703125" style="132" customWidth="1"/>
    <col min="11780" max="11780" width="20.7109375" style="132" customWidth="1"/>
    <col min="11781" max="12032" width="9.140625" style="132"/>
    <col min="12033" max="12033" width="4.42578125" style="132" bestFit="1" customWidth="1"/>
    <col min="12034" max="12034" width="31.28515625" style="132" customWidth="1"/>
    <col min="12035" max="12035" width="26.5703125" style="132" customWidth="1"/>
    <col min="12036" max="12036" width="20.7109375" style="132" customWidth="1"/>
    <col min="12037" max="12288" width="9.140625" style="132"/>
    <col min="12289" max="12289" width="4.42578125" style="132" bestFit="1" customWidth="1"/>
    <col min="12290" max="12290" width="31.28515625" style="132" customWidth="1"/>
    <col min="12291" max="12291" width="26.5703125" style="132" customWidth="1"/>
    <col min="12292" max="12292" width="20.7109375" style="132" customWidth="1"/>
    <col min="12293" max="12544" width="9.140625" style="132"/>
    <col min="12545" max="12545" width="4.42578125" style="132" bestFit="1" customWidth="1"/>
    <col min="12546" max="12546" width="31.28515625" style="132" customWidth="1"/>
    <col min="12547" max="12547" width="26.5703125" style="132" customWidth="1"/>
    <col min="12548" max="12548" width="20.7109375" style="132" customWidth="1"/>
    <col min="12549" max="12800" width="9.140625" style="132"/>
    <col min="12801" max="12801" width="4.42578125" style="132" bestFit="1" customWidth="1"/>
    <col min="12802" max="12802" width="31.28515625" style="132" customWidth="1"/>
    <col min="12803" max="12803" width="26.5703125" style="132" customWidth="1"/>
    <col min="12804" max="12804" width="20.7109375" style="132" customWidth="1"/>
    <col min="12805" max="13056" width="9.140625" style="132"/>
    <col min="13057" max="13057" width="4.42578125" style="132" bestFit="1" customWidth="1"/>
    <col min="13058" max="13058" width="31.28515625" style="132" customWidth="1"/>
    <col min="13059" max="13059" width="26.5703125" style="132" customWidth="1"/>
    <col min="13060" max="13060" width="20.7109375" style="132" customWidth="1"/>
    <col min="13061" max="13312" width="9.140625" style="132"/>
    <col min="13313" max="13313" width="4.42578125" style="132" bestFit="1" customWidth="1"/>
    <col min="13314" max="13314" width="31.28515625" style="132" customWidth="1"/>
    <col min="13315" max="13315" width="26.5703125" style="132" customWidth="1"/>
    <col min="13316" max="13316" width="20.7109375" style="132" customWidth="1"/>
    <col min="13317" max="13568" width="9.140625" style="132"/>
    <col min="13569" max="13569" width="4.42578125" style="132" bestFit="1" customWidth="1"/>
    <col min="13570" max="13570" width="31.28515625" style="132" customWidth="1"/>
    <col min="13571" max="13571" width="26.5703125" style="132" customWidth="1"/>
    <col min="13572" max="13572" width="20.7109375" style="132" customWidth="1"/>
    <col min="13573" max="13824" width="9.140625" style="132"/>
    <col min="13825" max="13825" width="4.42578125" style="132" bestFit="1" customWidth="1"/>
    <col min="13826" max="13826" width="31.28515625" style="132" customWidth="1"/>
    <col min="13827" max="13827" width="26.5703125" style="132" customWidth="1"/>
    <col min="13828" max="13828" width="20.7109375" style="132" customWidth="1"/>
    <col min="13829" max="14080" width="9.140625" style="132"/>
    <col min="14081" max="14081" width="4.42578125" style="132" bestFit="1" customWidth="1"/>
    <col min="14082" max="14082" width="31.28515625" style="132" customWidth="1"/>
    <col min="14083" max="14083" width="26.5703125" style="132" customWidth="1"/>
    <col min="14084" max="14084" width="20.7109375" style="132" customWidth="1"/>
    <col min="14085" max="14336" width="9.140625" style="132"/>
    <col min="14337" max="14337" width="4.42578125" style="132" bestFit="1" customWidth="1"/>
    <col min="14338" max="14338" width="31.28515625" style="132" customWidth="1"/>
    <col min="14339" max="14339" width="26.5703125" style="132" customWidth="1"/>
    <col min="14340" max="14340" width="20.7109375" style="132" customWidth="1"/>
    <col min="14341" max="14592" width="9.140625" style="132"/>
    <col min="14593" max="14593" width="4.42578125" style="132" bestFit="1" customWidth="1"/>
    <col min="14594" max="14594" width="31.28515625" style="132" customWidth="1"/>
    <col min="14595" max="14595" width="26.5703125" style="132" customWidth="1"/>
    <col min="14596" max="14596" width="20.7109375" style="132" customWidth="1"/>
    <col min="14597" max="14848" width="9.140625" style="132"/>
    <col min="14849" max="14849" width="4.42578125" style="132" bestFit="1" customWidth="1"/>
    <col min="14850" max="14850" width="31.28515625" style="132" customWidth="1"/>
    <col min="14851" max="14851" width="26.5703125" style="132" customWidth="1"/>
    <col min="14852" max="14852" width="20.7109375" style="132" customWidth="1"/>
    <col min="14853" max="15104" width="9.140625" style="132"/>
    <col min="15105" max="15105" width="4.42578125" style="132" bestFit="1" customWidth="1"/>
    <col min="15106" max="15106" width="31.28515625" style="132" customWidth="1"/>
    <col min="15107" max="15107" width="26.5703125" style="132" customWidth="1"/>
    <col min="15108" max="15108" width="20.7109375" style="132" customWidth="1"/>
    <col min="15109" max="15360" width="9.140625" style="132"/>
    <col min="15361" max="15361" width="4.42578125" style="132" bestFit="1" customWidth="1"/>
    <col min="15362" max="15362" width="31.28515625" style="132" customWidth="1"/>
    <col min="15363" max="15363" width="26.5703125" style="132" customWidth="1"/>
    <col min="15364" max="15364" width="20.7109375" style="132" customWidth="1"/>
    <col min="15365" max="15616" width="9.140625" style="132"/>
    <col min="15617" max="15617" width="4.42578125" style="132" bestFit="1" customWidth="1"/>
    <col min="15618" max="15618" width="31.28515625" style="132" customWidth="1"/>
    <col min="15619" max="15619" width="26.5703125" style="132" customWidth="1"/>
    <col min="15620" max="15620" width="20.7109375" style="132" customWidth="1"/>
    <col min="15621" max="15872" width="9.140625" style="132"/>
    <col min="15873" max="15873" width="4.42578125" style="132" bestFit="1" customWidth="1"/>
    <col min="15874" max="15874" width="31.28515625" style="132" customWidth="1"/>
    <col min="15875" max="15875" width="26.5703125" style="132" customWidth="1"/>
    <col min="15876" max="15876" width="20.7109375" style="132" customWidth="1"/>
    <col min="15877" max="16128" width="9.140625" style="132"/>
    <col min="16129" max="16129" width="4.42578125" style="132" bestFit="1" customWidth="1"/>
    <col min="16130" max="16130" width="31.28515625" style="132" customWidth="1"/>
    <col min="16131" max="16131" width="26.5703125" style="132" customWidth="1"/>
    <col min="16132" max="16132" width="20.7109375" style="132" customWidth="1"/>
    <col min="16133" max="16384" width="9.140625" style="132"/>
  </cols>
  <sheetData>
    <row r="1" spans="1:4" ht="20.100000000000001" customHeight="1">
      <c r="A1" s="1087" t="s">
        <v>1141</v>
      </c>
      <c r="B1" s="1087"/>
      <c r="C1" s="1087"/>
      <c r="D1" s="1087"/>
    </row>
    <row r="2" spans="1:4" ht="19.5" customHeight="1">
      <c r="A2" s="1087" t="s">
        <v>0</v>
      </c>
      <c r="B2" s="1087"/>
      <c r="C2" s="1087"/>
      <c r="D2" s="1087"/>
    </row>
    <row r="3" spans="1:4" ht="20.100000000000001" customHeight="1">
      <c r="A3" s="1087" t="s">
        <v>1072</v>
      </c>
      <c r="B3" s="1087"/>
      <c r="C3" s="1087"/>
      <c r="D3" s="1087"/>
    </row>
    <row r="4" spans="1:4" ht="20.100000000000001" customHeight="1">
      <c r="A4" s="1087" t="s">
        <v>1142</v>
      </c>
      <c r="B4" s="1087"/>
      <c r="C4" s="1087"/>
      <c r="D4" s="1087"/>
    </row>
    <row r="5" spans="1:4" ht="35.1" customHeight="1">
      <c r="A5" s="1088" t="s">
        <v>1143</v>
      </c>
      <c r="B5" s="1088"/>
      <c r="C5" s="1087" t="s">
        <v>1144</v>
      </c>
      <c r="D5" s="1087"/>
    </row>
    <row r="6" spans="1:4" ht="18.75">
      <c r="A6" s="133"/>
      <c r="B6" s="134" t="s">
        <v>1145</v>
      </c>
      <c r="C6" s="134" t="s">
        <v>8</v>
      </c>
      <c r="D6" s="150">
        <f>D27</f>
        <v>2179813</v>
      </c>
    </row>
    <row r="7" spans="1:4" ht="54" customHeight="1">
      <c r="A7" s="135" t="s">
        <v>95</v>
      </c>
      <c r="B7" s="135" t="s">
        <v>1146</v>
      </c>
      <c r="C7" s="135" t="s">
        <v>1147</v>
      </c>
      <c r="D7" s="135" t="s">
        <v>1148</v>
      </c>
    </row>
    <row r="8" spans="1:4" ht="20.100000000000001" customHeight="1">
      <c r="A8" s="136">
        <v>1</v>
      </c>
      <c r="B8" s="136">
        <v>2</v>
      </c>
      <c r="C8" s="136">
        <v>3</v>
      </c>
      <c r="D8" s="136">
        <v>4</v>
      </c>
    </row>
    <row r="9" spans="1:4" ht="25.9" customHeight="1">
      <c r="A9" s="137">
        <v>1</v>
      </c>
      <c r="B9" s="138" t="s">
        <v>36</v>
      </c>
      <c r="C9" s="139">
        <v>34</v>
      </c>
      <c r="D9" s="148">
        <v>31899</v>
      </c>
    </row>
    <row r="10" spans="1:4" ht="25.9" customHeight="1">
      <c r="A10" s="137">
        <v>2</v>
      </c>
      <c r="B10" s="138" t="s">
        <v>37</v>
      </c>
      <c r="C10" s="139">
        <v>30</v>
      </c>
      <c r="D10" s="148">
        <v>25000</v>
      </c>
    </row>
    <row r="11" spans="1:4" ht="25.9" customHeight="1">
      <c r="A11" s="137">
        <v>3</v>
      </c>
      <c r="B11" s="138" t="s">
        <v>1149</v>
      </c>
      <c r="C11" s="139">
        <v>41</v>
      </c>
      <c r="D11" s="148">
        <v>56420</v>
      </c>
    </row>
    <row r="12" spans="1:4" ht="25.9" customHeight="1">
      <c r="A12" s="137">
        <v>4</v>
      </c>
      <c r="B12" s="138" t="s">
        <v>38</v>
      </c>
      <c r="C12" s="140">
        <v>104</v>
      </c>
      <c r="D12" s="148">
        <v>260450</v>
      </c>
    </row>
    <row r="13" spans="1:4" ht="25.9" customHeight="1">
      <c r="A13" s="137">
        <v>5</v>
      </c>
      <c r="B13" s="138" t="s">
        <v>39</v>
      </c>
      <c r="C13" s="140">
        <v>93</v>
      </c>
      <c r="D13" s="148">
        <v>166625</v>
      </c>
    </row>
    <row r="14" spans="1:4" ht="25.9" customHeight="1">
      <c r="A14" s="137">
        <v>6</v>
      </c>
      <c r="B14" s="138" t="s">
        <v>40</v>
      </c>
      <c r="C14" s="139">
        <v>3</v>
      </c>
      <c r="D14" s="148">
        <v>1545</v>
      </c>
    </row>
    <row r="15" spans="1:4" ht="25.9" customHeight="1">
      <c r="A15" s="137">
        <v>7</v>
      </c>
      <c r="B15" s="138" t="s">
        <v>1150</v>
      </c>
      <c r="C15" s="139">
        <v>55</v>
      </c>
      <c r="D15" s="148">
        <v>61973</v>
      </c>
    </row>
    <row r="16" spans="1:4" ht="25.9" customHeight="1">
      <c r="A16" s="137">
        <v>8</v>
      </c>
      <c r="B16" s="138" t="s">
        <v>43</v>
      </c>
      <c r="C16" s="139">
        <v>43</v>
      </c>
      <c r="D16" s="148">
        <v>30260</v>
      </c>
    </row>
    <row r="17" spans="1:4" ht="25.9" customHeight="1">
      <c r="A17" s="137">
        <v>9</v>
      </c>
      <c r="B17" s="138" t="s">
        <v>44</v>
      </c>
      <c r="C17" s="139">
        <v>43</v>
      </c>
      <c r="D17" s="148">
        <v>146800</v>
      </c>
    </row>
    <row r="18" spans="1:4" ht="25.9" customHeight="1">
      <c r="A18" s="137">
        <v>10</v>
      </c>
      <c r="B18" s="138" t="s">
        <v>42</v>
      </c>
      <c r="C18" s="139">
        <v>83</v>
      </c>
      <c r="D18" s="148">
        <v>78700</v>
      </c>
    </row>
    <row r="19" spans="1:4" ht="25.9" customHeight="1">
      <c r="A19" s="137">
        <v>11</v>
      </c>
      <c r="B19" s="138" t="s">
        <v>45</v>
      </c>
      <c r="C19" s="140">
        <v>31</v>
      </c>
      <c r="D19" s="148">
        <v>7643</v>
      </c>
    </row>
    <row r="20" spans="1:4" ht="25.9" customHeight="1">
      <c r="A20" s="137">
        <v>12</v>
      </c>
      <c r="B20" s="138" t="s">
        <v>46</v>
      </c>
      <c r="C20" s="139">
        <v>10</v>
      </c>
      <c r="D20" s="148">
        <v>16920</v>
      </c>
    </row>
    <row r="21" spans="1:4" ht="25.9" customHeight="1">
      <c r="A21" s="137">
        <v>13</v>
      </c>
      <c r="B21" s="138" t="s">
        <v>48</v>
      </c>
      <c r="C21" s="140">
        <v>101</v>
      </c>
      <c r="D21" s="148">
        <v>208540</v>
      </c>
    </row>
    <row r="22" spans="1:4" ht="25.9" customHeight="1">
      <c r="A22" s="137">
        <v>14</v>
      </c>
      <c r="B22" s="138" t="s">
        <v>1151</v>
      </c>
      <c r="C22" s="139">
        <v>25</v>
      </c>
      <c r="D22" s="148">
        <v>96623</v>
      </c>
    </row>
    <row r="23" spans="1:4" ht="25.9" customHeight="1">
      <c r="A23" s="137">
        <v>15</v>
      </c>
      <c r="B23" s="138" t="s">
        <v>50</v>
      </c>
      <c r="C23" s="139">
        <v>20</v>
      </c>
      <c r="D23" s="148">
        <v>212760</v>
      </c>
    </row>
    <row r="24" spans="1:4" ht="25.9" customHeight="1">
      <c r="A24" s="137">
        <v>16</v>
      </c>
      <c r="B24" s="138" t="s">
        <v>1152</v>
      </c>
      <c r="C24" s="140">
        <v>420</v>
      </c>
      <c r="D24" s="148">
        <v>519510</v>
      </c>
    </row>
    <row r="25" spans="1:4" ht="25.9" customHeight="1">
      <c r="A25" s="137">
        <v>17</v>
      </c>
      <c r="B25" s="138" t="s">
        <v>51</v>
      </c>
      <c r="C25" s="139">
        <v>94</v>
      </c>
      <c r="D25" s="148">
        <v>57600</v>
      </c>
    </row>
    <row r="26" spans="1:4" ht="25.9" customHeight="1" thickBot="1">
      <c r="A26" s="137">
        <v>18</v>
      </c>
      <c r="B26" s="141" t="s">
        <v>52</v>
      </c>
      <c r="C26" s="142">
        <v>108</v>
      </c>
      <c r="D26" s="149">
        <v>200545</v>
      </c>
    </row>
    <row r="27" spans="1:4" ht="30" customHeight="1" thickTop="1" thickBot="1">
      <c r="A27" s="1083" t="s">
        <v>1095</v>
      </c>
      <c r="B27" s="1083"/>
      <c r="C27" s="143">
        <f>SUM(C9:C26)</f>
        <v>1338</v>
      </c>
      <c r="D27" s="143">
        <f>SUM(D9:D26)</f>
        <v>2179813</v>
      </c>
    </row>
    <row r="28" spans="1:4" ht="6.75" customHeight="1" thickTop="1">
      <c r="A28" s="144"/>
      <c r="B28" s="144"/>
    </row>
    <row r="29" spans="1:4" ht="20.25" customHeight="1">
      <c r="A29" s="1084" t="s">
        <v>1097</v>
      </c>
      <c r="B29" s="1084"/>
      <c r="C29" s="1084"/>
      <c r="D29" s="1084"/>
    </row>
    <row r="30" spans="1:4" ht="111" customHeight="1">
      <c r="A30" s="1085" t="s">
        <v>1153</v>
      </c>
      <c r="B30" s="1085"/>
      <c r="C30" s="1085"/>
      <c r="D30" s="1085"/>
    </row>
    <row r="31" spans="1:4" ht="63" customHeight="1">
      <c r="A31" s="1086" t="s">
        <v>21</v>
      </c>
      <c r="B31" s="1086"/>
      <c r="C31" s="145"/>
      <c r="D31" s="145" t="s">
        <v>22</v>
      </c>
    </row>
    <row r="32" spans="1:4" ht="20.25" customHeight="1">
      <c r="B32" s="146"/>
      <c r="C32" s="144"/>
      <c r="D32" s="144"/>
    </row>
    <row r="33" spans="2:2" ht="20.25" customHeight="1">
      <c r="B33" s="147"/>
    </row>
    <row r="34" spans="2:2" ht="20.25" customHeight="1">
      <c r="B34" s="147"/>
    </row>
    <row r="35" spans="2:2" ht="20.25" customHeight="1">
      <c r="B35" s="147"/>
    </row>
    <row r="36" spans="2:2" ht="20.25" customHeight="1">
      <c r="B36" s="147"/>
    </row>
    <row r="37" spans="2:2">
      <c r="B37" s="147"/>
    </row>
    <row r="38" spans="2:2">
      <c r="B38" s="147"/>
    </row>
    <row r="39" spans="2:2">
      <c r="B39" s="147"/>
    </row>
    <row r="40" spans="2:2">
      <c r="B40" s="147"/>
    </row>
  </sheetData>
  <mergeCells count="10">
    <mergeCell ref="A27:B27"/>
    <mergeCell ref="A29:D29"/>
    <mergeCell ref="A30:D30"/>
    <mergeCell ref="A31:B31"/>
    <mergeCell ref="A1:D1"/>
    <mergeCell ref="A2:D2"/>
    <mergeCell ref="A3:D3"/>
    <mergeCell ref="A4:D4"/>
    <mergeCell ref="A5:B5"/>
    <mergeCell ref="C5:D5"/>
  </mergeCells>
  <printOptions horizontalCentered="1"/>
  <pageMargins left="0.62992125984251968" right="0.23622047244094491" top="0.74803149606299213" bottom="0.23622047244094491" header="0.31496062992125984" footer="0.19685039370078741"/>
  <pageSetup paperSize="9" scale="85" orientation="portrait" r:id="rId1"/>
  <headerFooter alignWithMargins="0">
    <oddFooter>&amp;C&amp;P of &amp;N</oddFooter>
  </headerFooter>
  <ignoredErrors>
    <ignoredError sqref="D27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43"/>
  <sheetViews>
    <sheetView view="pageBreakPreview" topLeftCell="A40" zoomScale="60" workbookViewId="0">
      <selection activeCell="E51" sqref="E51"/>
    </sheetView>
  </sheetViews>
  <sheetFormatPr defaultColWidth="12.5703125" defaultRowHeight="15" customHeight="1"/>
  <cols>
    <col min="1" max="1" width="4.28515625" customWidth="1"/>
    <col min="2" max="2" width="63" customWidth="1"/>
    <col min="3" max="3" width="15.85546875" customWidth="1"/>
    <col min="4" max="4" width="16.28515625" bestFit="1" customWidth="1"/>
    <col min="5" max="5" width="20" customWidth="1"/>
    <col min="6" max="6" width="27.140625" customWidth="1"/>
    <col min="7" max="7" width="29.7109375" style="29" bestFit="1" customWidth="1"/>
    <col min="8" max="26" width="8.5703125" customWidth="1"/>
  </cols>
  <sheetData>
    <row r="1" spans="1:26" ht="19.5" customHeight="1">
      <c r="A1" s="1092" t="s">
        <v>1154</v>
      </c>
      <c r="B1" s="1076"/>
      <c r="C1" s="1076"/>
      <c r="D1" s="1076"/>
      <c r="E1" s="1076"/>
      <c r="F1" s="1076"/>
    </row>
    <row r="2" spans="1:26" ht="19.5" customHeight="1">
      <c r="A2" s="1092" t="s">
        <v>0</v>
      </c>
      <c r="B2" s="1076"/>
      <c r="C2" s="1076"/>
      <c r="D2" s="1076"/>
      <c r="E2" s="1076"/>
      <c r="F2" s="1076"/>
    </row>
    <row r="3" spans="1:26" ht="19.5" customHeight="1">
      <c r="A3" s="1093" t="s">
        <v>1155</v>
      </c>
      <c r="B3" s="1094"/>
      <c r="C3" s="1094"/>
      <c r="D3" s="1094"/>
      <c r="E3" s="1094"/>
      <c r="F3" s="1094"/>
    </row>
    <row r="4" spans="1:26" ht="34.5" customHeight="1">
      <c r="A4" s="1095" t="s">
        <v>1156</v>
      </c>
      <c r="B4" s="1076"/>
      <c r="C4" s="1076"/>
      <c r="D4" s="1076"/>
      <c r="E4" s="1096" t="s">
        <v>1157</v>
      </c>
      <c r="F4" s="1097"/>
    </row>
    <row r="5" spans="1:26" ht="35.25" customHeight="1">
      <c r="A5" s="769"/>
      <c r="B5" s="769"/>
      <c r="C5" s="770"/>
      <c r="D5" s="771"/>
      <c r="E5" s="772" t="s">
        <v>8</v>
      </c>
      <c r="F5" s="119">
        <f>E61</f>
        <v>2725600</v>
      </c>
    </row>
    <row r="6" spans="1:26" ht="58.5" customHeight="1">
      <c r="A6" s="3" t="s">
        <v>95</v>
      </c>
      <c r="B6" s="3" t="s">
        <v>96</v>
      </c>
      <c r="C6" s="2" t="s">
        <v>1158</v>
      </c>
      <c r="D6" s="2" t="s">
        <v>1159</v>
      </c>
      <c r="E6" s="2" t="s">
        <v>1160</v>
      </c>
      <c r="F6" s="3" t="s">
        <v>1161</v>
      </c>
      <c r="G6" s="3" t="s">
        <v>1162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29" customFormat="1" ht="19.5" customHeight="1">
      <c r="A7" s="3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>
      <c r="A8" s="26">
        <v>1</v>
      </c>
      <c r="B8" s="30" t="s">
        <v>1163</v>
      </c>
      <c r="C8" s="43">
        <v>991900</v>
      </c>
      <c r="D8" s="49">
        <v>2005</v>
      </c>
      <c r="E8" s="56">
        <v>50000</v>
      </c>
      <c r="F8" s="20" t="s">
        <v>1164</v>
      </c>
      <c r="G8" s="11" t="s">
        <v>42</v>
      </c>
    </row>
    <row r="9" spans="1:26" ht="30" customHeight="1">
      <c r="A9" s="26">
        <f>A8+1</f>
        <v>2</v>
      </c>
      <c r="B9" s="24" t="s">
        <v>1165</v>
      </c>
      <c r="C9" s="43">
        <v>36500</v>
      </c>
      <c r="D9" s="50">
        <v>2005</v>
      </c>
      <c r="E9" s="57">
        <v>10000</v>
      </c>
      <c r="F9" s="23" t="s">
        <v>1164</v>
      </c>
      <c r="G9" s="11" t="s">
        <v>42</v>
      </c>
    </row>
    <row r="10" spans="1:26" ht="30" customHeight="1">
      <c r="A10" s="26">
        <f t="shared" ref="A10:A58" si="0">A9+1</f>
        <v>3</v>
      </c>
      <c r="B10" s="52" t="s">
        <v>1166</v>
      </c>
      <c r="C10" s="43">
        <v>122400</v>
      </c>
      <c r="D10" s="50">
        <v>2006</v>
      </c>
      <c r="E10" s="57">
        <v>25000</v>
      </c>
      <c r="F10" s="23" t="s">
        <v>1164</v>
      </c>
      <c r="G10" s="11" t="s">
        <v>42</v>
      </c>
    </row>
    <row r="11" spans="1:26" ht="30" customHeight="1">
      <c r="A11" s="26">
        <f t="shared" si="0"/>
        <v>4</v>
      </c>
      <c r="B11" s="52" t="s">
        <v>1167</v>
      </c>
      <c r="C11" s="44">
        <v>28080</v>
      </c>
      <c r="D11" s="50">
        <v>2004</v>
      </c>
      <c r="E11" s="57">
        <v>5000</v>
      </c>
      <c r="F11" s="23" t="s">
        <v>1164</v>
      </c>
      <c r="G11" s="11" t="s">
        <v>42</v>
      </c>
    </row>
    <row r="12" spans="1:26" ht="30" customHeight="1">
      <c r="A12" s="26">
        <f t="shared" si="0"/>
        <v>5</v>
      </c>
      <c r="B12" s="52" t="s">
        <v>1168</v>
      </c>
      <c r="C12" s="33">
        <v>41000</v>
      </c>
      <c r="D12" s="17">
        <v>2005</v>
      </c>
      <c r="E12" s="58">
        <v>10000</v>
      </c>
      <c r="F12" s="23" t="s">
        <v>1164</v>
      </c>
      <c r="G12" s="11" t="s">
        <v>42</v>
      </c>
    </row>
    <row r="13" spans="1:26" ht="30" customHeight="1">
      <c r="A13" s="26">
        <f t="shared" si="0"/>
        <v>6</v>
      </c>
      <c r="B13" s="52" t="s">
        <v>1169</v>
      </c>
      <c r="C13" s="42">
        <v>2177060</v>
      </c>
      <c r="D13" s="39">
        <v>2007</v>
      </c>
      <c r="E13" s="59">
        <v>217000</v>
      </c>
      <c r="F13" s="23" t="s">
        <v>1164</v>
      </c>
      <c r="G13" s="11" t="s">
        <v>43</v>
      </c>
    </row>
    <row r="14" spans="1:26" ht="43.5" customHeight="1">
      <c r="A14" s="26">
        <f t="shared" si="0"/>
        <v>7</v>
      </c>
      <c r="B14" s="10" t="s">
        <v>1170</v>
      </c>
      <c r="C14" s="11" t="s">
        <v>1030</v>
      </c>
      <c r="D14" s="11" t="s">
        <v>1030</v>
      </c>
      <c r="E14" s="60">
        <v>300000</v>
      </c>
      <c r="F14" s="11" t="s">
        <v>119</v>
      </c>
      <c r="G14" s="9" t="s">
        <v>51</v>
      </c>
    </row>
    <row r="15" spans="1:26" ht="30" customHeight="1">
      <c r="A15" s="26">
        <f t="shared" si="0"/>
        <v>8</v>
      </c>
      <c r="B15" s="14" t="s">
        <v>1171</v>
      </c>
      <c r="C15" s="11" t="s">
        <v>1030</v>
      </c>
      <c r="D15" s="41" t="s">
        <v>1030</v>
      </c>
      <c r="E15" s="60">
        <v>50000</v>
      </c>
      <c r="F15" s="23" t="s">
        <v>119</v>
      </c>
      <c r="G15" s="9" t="s">
        <v>51</v>
      </c>
    </row>
    <row r="16" spans="1:26" ht="30" customHeight="1">
      <c r="A16" s="26">
        <f t="shared" si="0"/>
        <v>9</v>
      </c>
      <c r="B16" s="14" t="s">
        <v>1172</v>
      </c>
      <c r="C16" s="11" t="s">
        <v>1030</v>
      </c>
      <c r="D16" s="41" t="s">
        <v>1030</v>
      </c>
      <c r="E16" s="60">
        <v>100000</v>
      </c>
      <c r="F16" s="23" t="s">
        <v>119</v>
      </c>
      <c r="G16" s="9" t="s">
        <v>51</v>
      </c>
    </row>
    <row r="17" spans="1:7" ht="30" customHeight="1">
      <c r="A17" s="26">
        <f t="shared" si="0"/>
        <v>10</v>
      </c>
      <c r="B17" s="14" t="s">
        <v>1173</v>
      </c>
      <c r="C17" s="32">
        <v>220500</v>
      </c>
      <c r="D17" s="11">
        <v>1995</v>
      </c>
      <c r="E17" s="60">
        <v>18000</v>
      </c>
      <c r="F17" s="23" t="s">
        <v>1164</v>
      </c>
      <c r="G17" s="11" t="s">
        <v>48</v>
      </c>
    </row>
    <row r="18" spans="1:7" ht="30" customHeight="1">
      <c r="A18" s="26">
        <f t="shared" si="0"/>
        <v>11</v>
      </c>
      <c r="B18" s="14" t="s">
        <v>1174</v>
      </c>
      <c r="C18" s="32">
        <v>44000</v>
      </c>
      <c r="D18" s="11">
        <v>1995</v>
      </c>
      <c r="E18" s="60">
        <v>7000</v>
      </c>
      <c r="F18" s="23" t="s">
        <v>1164</v>
      </c>
      <c r="G18" s="11" t="s">
        <v>48</v>
      </c>
    </row>
    <row r="19" spans="1:7" ht="45" customHeight="1">
      <c r="A19" s="26">
        <f t="shared" si="0"/>
        <v>12</v>
      </c>
      <c r="B19" s="30" t="s">
        <v>1175</v>
      </c>
      <c r="C19" s="68" t="s">
        <v>1176</v>
      </c>
      <c r="D19" s="49">
        <v>2010</v>
      </c>
      <c r="E19" s="56">
        <v>45000</v>
      </c>
      <c r="F19" s="21" t="s">
        <v>1177</v>
      </c>
      <c r="G19" s="20" t="s">
        <v>37</v>
      </c>
    </row>
    <row r="20" spans="1:7" ht="30" customHeight="1">
      <c r="A20" s="26">
        <f t="shared" si="0"/>
        <v>13</v>
      </c>
      <c r="B20" s="25" t="s">
        <v>1178</v>
      </c>
      <c r="C20" s="33">
        <v>35000</v>
      </c>
      <c r="D20" s="16">
        <v>1994</v>
      </c>
      <c r="E20" s="61">
        <v>5000</v>
      </c>
      <c r="F20" s="23" t="s">
        <v>1179</v>
      </c>
      <c r="G20" s="11" t="s">
        <v>50</v>
      </c>
    </row>
    <row r="21" spans="1:7" ht="30" customHeight="1">
      <c r="A21" s="26">
        <f t="shared" si="0"/>
        <v>14</v>
      </c>
      <c r="B21" s="26" t="s">
        <v>1180</v>
      </c>
      <c r="C21" s="34">
        <v>45240</v>
      </c>
      <c r="D21" s="17">
        <v>1998</v>
      </c>
      <c r="E21" s="62">
        <v>4000</v>
      </c>
      <c r="F21" s="23" t="s">
        <v>1179</v>
      </c>
      <c r="G21" s="11" t="s">
        <v>50</v>
      </c>
    </row>
    <row r="22" spans="1:7" ht="30" customHeight="1">
      <c r="A22" s="26">
        <f t="shared" si="0"/>
        <v>15</v>
      </c>
      <c r="B22" s="28" t="s">
        <v>1181</v>
      </c>
      <c r="C22" s="37">
        <v>81000</v>
      </c>
      <c r="D22" s="19">
        <v>2007</v>
      </c>
      <c r="E22" s="63">
        <v>6000</v>
      </c>
      <c r="F22" s="23" t="s">
        <v>1179</v>
      </c>
      <c r="G22" s="11" t="s">
        <v>50</v>
      </c>
    </row>
    <row r="23" spans="1:7" ht="30" customHeight="1">
      <c r="A23" s="26">
        <f t="shared" si="0"/>
        <v>16</v>
      </c>
      <c r="B23" s="14" t="s">
        <v>1182</v>
      </c>
      <c r="C23" s="35">
        <v>4200</v>
      </c>
      <c r="D23" s="18">
        <v>2013</v>
      </c>
      <c r="E23" s="64">
        <v>2000</v>
      </c>
      <c r="F23" s="18" t="s">
        <v>1183</v>
      </c>
      <c r="G23" s="11" t="s">
        <v>1184</v>
      </c>
    </row>
    <row r="24" spans="1:7" ht="30" customHeight="1">
      <c r="A24" s="26">
        <f t="shared" si="0"/>
        <v>17</v>
      </c>
      <c r="B24" s="27" t="s">
        <v>1185</v>
      </c>
      <c r="C24" s="36">
        <v>4589</v>
      </c>
      <c r="D24" s="13">
        <v>2013</v>
      </c>
      <c r="E24" s="45">
        <v>2000</v>
      </c>
      <c r="F24" s="13" t="s">
        <v>1183</v>
      </c>
      <c r="G24" s="11" t="s">
        <v>1184</v>
      </c>
    </row>
    <row r="25" spans="1:7" ht="30" customHeight="1">
      <c r="A25" s="26">
        <f t="shared" si="0"/>
        <v>18</v>
      </c>
      <c r="B25" s="27" t="s">
        <v>1186</v>
      </c>
      <c r="C25" s="36">
        <v>1050</v>
      </c>
      <c r="D25" s="13">
        <v>2013</v>
      </c>
      <c r="E25" s="45">
        <v>500</v>
      </c>
      <c r="F25" s="13" t="s">
        <v>1183</v>
      </c>
      <c r="G25" s="11" t="s">
        <v>1184</v>
      </c>
    </row>
    <row r="26" spans="1:7" ht="30" customHeight="1">
      <c r="A26" s="26">
        <f t="shared" si="0"/>
        <v>19</v>
      </c>
      <c r="B26" s="27" t="s">
        <v>1187</v>
      </c>
      <c r="C26" s="36">
        <v>1365</v>
      </c>
      <c r="D26" s="13">
        <v>2013</v>
      </c>
      <c r="E26" s="45">
        <v>500</v>
      </c>
      <c r="F26" s="13" t="s">
        <v>1183</v>
      </c>
      <c r="G26" s="11" t="s">
        <v>1184</v>
      </c>
    </row>
    <row r="27" spans="1:7" ht="30" customHeight="1">
      <c r="A27" s="26">
        <f t="shared" si="0"/>
        <v>20</v>
      </c>
      <c r="B27" s="27" t="s">
        <v>1188</v>
      </c>
      <c r="C27" s="36">
        <v>3000</v>
      </c>
      <c r="D27" s="13">
        <v>2013</v>
      </c>
      <c r="E27" s="45">
        <v>1500</v>
      </c>
      <c r="F27" s="13" t="s">
        <v>1183</v>
      </c>
      <c r="G27" s="11" t="s">
        <v>1184</v>
      </c>
    </row>
    <row r="28" spans="1:7" ht="30" customHeight="1">
      <c r="A28" s="26">
        <f t="shared" si="0"/>
        <v>21</v>
      </c>
      <c r="B28" s="27" t="s">
        <v>1189</v>
      </c>
      <c r="C28" s="36">
        <v>6800</v>
      </c>
      <c r="D28" s="13">
        <v>2013</v>
      </c>
      <c r="E28" s="45">
        <v>1500</v>
      </c>
      <c r="F28" s="13" t="s">
        <v>1183</v>
      </c>
      <c r="G28" s="11" t="s">
        <v>1184</v>
      </c>
    </row>
    <row r="29" spans="1:7" ht="30" customHeight="1">
      <c r="A29" s="26">
        <f t="shared" si="0"/>
        <v>22</v>
      </c>
      <c r="B29" s="27" t="s">
        <v>1190</v>
      </c>
      <c r="C29" s="36">
        <v>14910</v>
      </c>
      <c r="D29" s="13">
        <v>2011</v>
      </c>
      <c r="E29" s="45">
        <v>8500</v>
      </c>
      <c r="F29" s="13" t="s">
        <v>1183</v>
      </c>
      <c r="G29" s="11" t="s">
        <v>1184</v>
      </c>
    </row>
    <row r="30" spans="1:7" ht="30" customHeight="1">
      <c r="A30" s="26">
        <f t="shared" si="0"/>
        <v>23</v>
      </c>
      <c r="B30" s="27" t="s">
        <v>1191</v>
      </c>
      <c r="C30" s="36">
        <v>28350</v>
      </c>
      <c r="D30" s="13">
        <v>2011</v>
      </c>
      <c r="E30" s="45">
        <v>8000</v>
      </c>
      <c r="F30" s="13" t="s">
        <v>1183</v>
      </c>
      <c r="G30" s="11" t="s">
        <v>1184</v>
      </c>
    </row>
    <row r="31" spans="1:7" ht="30" customHeight="1">
      <c r="A31" s="26">
        <f t="shared" si="0"/>
        <v>24</v>
      </c>
      <c r="B31" s="27" t="s">
        <v>1192</v>
      </c>
      <c r="C31" s="36">
        <v>45412</v>
      </c>
      <c r="D31" s="13">
        <v>2011</v>
      </c>
      <c r="E31" s="45">
        <v>10000</v>
      </c>
      <c r="F31" s="13" t="s">
        <v>1183</v>
      </c>
      <c r="G31" s="11" t="s">
        <v>1184</v>
      </c>
    </row>
    <row r="32" spans="1:7" ht="30" customHeight="1">
      <c r="A32" s="26">
        <f t="shared" si="0"/>
        <v>25</v>
      </c>
      <c r="B32" s="14" t="s">
        <v>1193</v>
      </c>
      <c r="C32" s="35">
        <v>12000</v>
      </c>
      <c r="D32" s="18">
        <v>2011</v>
      </c>
      <c r="E32" s="64">
        <v>4000</v>
      </c>
      <c r="F32" s="23"/>
      <c r="G32" s="11" t="s">
        <v>815</v>
      </c>
    </row>
    <row r="33" spans="1:7" ht="30" customHeight="1">
      <c r="A33" s="26">
        <f t="shared" si="0"/>
        <v>26</v>
      </c>
      <c r="B33" s="27" t="s">
        <v>1194</v>
      </c>
      <c r="C33" s="36">
        <v>70000</v>
      </c>
      <c r="D33" s="13">
        <v>2005</v>
      </c>
      <c r="E33" s="45">
        <v>10000</v>
      </c>
      <c r="F33" s="23"/>
      <c r="G33" s="11" t="s">
        <v>815</v>
      </c>
    </row>
    <row r="34" spans="1:7" ht="30" customHeight="1">
      <c r="A34" s="26">
        <f t="shared" si="0"/>
        <v>27</v>
      </c>
      <c r="B34" s="27" t="s">
        <v>1195</v>
      </c>
      <c r="C34" s="36">
        <v>89000</v>
      </c>
      <c r="D34" s="13">
        <v>2005</v>
      </c>
      <c r="E34" s="45">
        <v>15000</v>
      </c>
      <c r="F34" s="23"/>
      <c r="G34" s="11" t="s">
        <v>815</v>
      </c>
    </row>
    <row r="35" spans="1:7" ht="30" customHeight="1">
      <c r="A35" s="26">
        <f t="shared" si="0"/>
        <v>28</v>
      </c>
      <c r="B35" s="27" t="s">
        <v>1196</v>
      </c>
      <c r="C35" s="36">
        <v>56000</v>
      </c>
      <c r="D35" s="13">
        <v>2005</v>
      </c>
      <c r="E35" s="45">
        <v>9000</v>
      </c>
      <c r="F35" s="23"/>
      <c r="G35" s="11" t="s">
        <v>815</v>
      </c>
    </row>
    <row r="36" spans="1:7" ht="30" customHeight="1">
      <c r="A36" s="26">
        <f t="shared" si="0"/>
        <v>29</v>
      </c>
      <c r="B36" s="27" t="s">
        <v>1197</v>
      </c>
      <c r="C36" s="36">
        <v>67800</v>
      </c>
      <c r="D36" s="13">
        <v>2005</v>
      </c>
      <c r="E36" s="45">
        <v>9000</v>
      </c>
      <c r="F36" s="23"/>
      <c r="G36" s="11" t="s">
        <v>815</v>
      </c>
    </row>
    <row r="37" spans="1:7" ht="30" customHeight="1">
      <c r="A37" s="26">
        <f t="shared" si="0"/>
        <v>30</v>
      </c>
      <c r="B37" s="27" t="s">
        <v>1198</v>
      </c>
      <c r="C37" s="36">
        <v>29000</v>
      </c>
      <c r="D37" s="13">
        <v>2005</v>
      </c>
      <c r="E37" s="45">
        <v>5000</v>
      </c>
      <c r="F37" s="23"/>
      <c r="G37" s="11" t="s">
        <v>815</v>
      </c>
    </row>
    <row r="38" spans="1:7" ht="30" customHeight="1">
      <c r="A38" s="26">
        <f t="shared" si="0"/>
        <v>31</v>
      </c>
      <c r="B38" s="27" t="s">
        <v>1199</v>
      </c>
      <c r="C38" s="45">
        <v>288987.5</v>
      </c>
      <c r="D38" s="13">
        <v>2006</v>
      </c>
      <c r="E38" s="45">
        <v>70000</v>
      </c>
      <c r="F38" s="23"/>
      <c r="G38" s="11" t="s">
        <v>815</v>
      </c>
    </row>
    <row r="39" spans="1:7" ht="30" customHeight="1">
      <c r="A39" s="26">
        <f t="shared" si="0"/>
        <v>32</v>
      </c>
      <c r="B39" s="27" t="s">
        <v>1200</v>
      </c>
      <c r="C39" s="36">
        <v>1380823</v>
      </c>
      <c r="D39" s="13">
        <v>2006</v>
      </c>
      <c r="E39" s="45">
        <v>100000</v>
      </c>
      <c r="F39" s="23"/>
      <c r="G39" s="11" t="s">
        <v>815</v>
      </c>
    </row>
    <row r="40" spans="1:7" ht="30" customHeight="1">
      <c r="A40" s="26">
        <f t="shared" si="0"/>
        <v>33</v>
      </c>
      <c r="B40" s="27" t="s">
        <v>1201</v>
      </c>
      <c r="C40" s="36">
        <v>47952</v>
      </c>
      <c r="D40" s="13">
        <v>2007</v>
      </c>
      <c r="E40" s="45">
        <v>5000</v>
      </c>
      <c r="F40" s="23"/>
      <c r="G40" s="11" t="s">
        <v>815</v>
      </c>
    </row>
    <row r="41" spans="1:7" ht="30" customHeight="1">
      <c r="A41" s="26">
        <f t="shared" si="0"/>
        <v>34</v>
      </c>
      <c r="B41" s="27" t="s">
        <v>1202</v>
      </c>
      <c r="C41" s="36">
        <v>144212</v>
      </c>
      <c r="D41" s="13">
        <v>2007</v>
      </c>
      <c r="E41" s="45">
        <v>6000</v>
      </c>
      <c r="F41" s="23"/>
      <c r="G41" s="11" t="s">
        <v>815</v>
      </c>
    </row>
    <row r="42" spans="1:7" ht="30" customHeight="1">
      <c r="A42" s="26">
        <f t="shared" si="0"/>
        <v>35</v>
      </c>
      <c r="B42" s="27" t="s">
        <v>1203</v>
      </c>
      <c r="C42" s="36">
        <v>68000</v>
      </c>
      <c r="D42" s="13"/>
      <c r="E42" s="45">
        <v>20000</v>
      </c>
      <c r="F42" s="23"/>
      <c r="G42" s="11" t="s">
        <v>815</v>
      </c>
    </row>
    <row r="43" spans="1:7" ht="30" customHeight="1">
      <c r="A43" s="26">
        <f t="shared" si="0"/>
        <v>36</v>
      </c>
      <c r="B43" s="14" t="s">
        <v>1204</v>
      </c>
      <c r="C43" s="35">
        <v>20000</v>
      </c>
      <c r="D43" s="18"/>
      <c r="E43" s="64">
        <v>20000</v>
      </c>
      <c r="F43" s="23"/>
      <c r="G43" s="11" t="s">
        <v>1151</v>
      </c>
    </row>
    <row r="44" spans="1:7" ht="30" customHeight="1">
      <c r="A44" s="26">
        <f t="shared" si="0"/>
        <v>37</v>
      </c>
      <c r="B44" s="25" t="s">
        <v>1205</v>
      </c>
      <c r="C44" s="33">
        <v>68000</v>
      </c>
      <c r="D44" s="16">
        <v>2007</v>
      </c>
      <c r="E44" s="61">
        <v>8000</v>
      </c>
      <c r="F44" s="16" t="s">
        <v>1206</v>
      </c>
      <c r="G44" s="11" t="s">
        <v>1207</v>
      </c>
    </row>
    <row r="45" spans="1:7" ht="30" customHeight="1">
      <c r="A45" s="26">
        <f t="shared" si="0"/>
        <v>38</v>
      </c>
      <c r="B45" s="26" t="s">
        <v>1208</v>
      </c>
      <c r="C45" s="34">
        <v>54600</v>
      </c>
      <c r="D45" s="17">
        <v>2004</v>
      </c>
      <c r="E45" s="62">
        <v>6000</v>
      </c>
      <c r="F45" s="17" t="s">
        <v>1209</v>
      </c>
      <c r="G45" s="11" t="s">
        <v>1207</v>
      </c>
    </row>
    <row r="46" spans="1:7" ht="30" customHeight="1">
      <c r="A46" s="26">
        <f t="shared" si="0"/>
        <v>39</v>
      </c>
      <c r="B46" s="26" t="s">
        <v>1210</v>
      </c>
      <c r="C46" s="34">
        <v>50000</v>
      </c>
      <c r="D46" s="17">
        <v>2016</v>
      </c>
      <c r="E46" s="62">
        <v>2000</v>
      </c>
      <c r="F46" s="72" t="s">
        <v>1211</v>
      </c>
      <c r="G46" s="11" t="s">
        <v>1207</v>
      </c>
    </row>
    <row r="47" spans="1:7" ht="30" customHeight="1">
      <c r="A47" s="26">
        <f t="shared" si="0"/>
        <v>40</v>
      </c>
      <c r="B47" s="14" t="s">
        <v>1212</v>
      </c>
      <c r="C47" s="35">
        <v>30290</v>
      </c>
      <c r="D47" s="18">
        <v>2007</v>
      </c>
      <c r="E47" s="64">
        <v>7200</v>
      </c>
      <c r="F47" s="18" t="s">
        <v>1213</v>
      </c>
      <c r="G47" s="11" t="s">
        <v>1214</v>
      </c>
    </row>
    <row r="48" spans="1:7" ht="30" customHeight="1">
      <c r="A48" s="26">
        <f t="shared" si="0"/>
        <v>41</v>
      </c>
      <c r="B48" s="53" t="s">
        <v>1215</v>
      </c>
      <c r="C48" s="46">
        <v>43680</v>
      </c>
      <c r="D48" s="22">
        <v>2007</v>
      </c>
      <c r="E48" s="65">
        <v>10500</v>
      </c>
      <c r="F48" s="13" t="s">
        <v>1213</v>
      </c>
      <c r="G48" s="11" t="s">
        <v>1214</v>
      </c>
    </row>
    <row r="49" spans="1:7" ht="30" customHeight="1">
      <c r="A49" s="26">
        <f t="shared" si="0"/>
        <v>42</v>
      </c>
      <c r="B49" s="54" t="s">
        <v>1216</v>
      </c>
      <c r="C49" s="47">
        <v>635434</v>
      </c>
      <c r="D49" s="12">
        <v>2006</v>
      </c>
      <c r="E49" s="66">
        <v>44000</v>
      </c>
      <c r="F49" s="22" t="s">
        <v>1217</v>
      </c>
      <c r="G49" s="11" t="s">
        <v>1214</v>
      </c>
    </row>
    <row r="50" spans="1:7" ht="30" customHeight="1">
      <c r="A50" s="26">
        <f t="shared" si="0"/>
        <v>43</v>
      </c>
      <c r="B50" s="54" t="s">
        <v>1218</v>
      </c>
      <c r="C50" s="47">
        <v>85000</v>
      </c>
      <c r="D50" s="12">
        <v>2006</v>
      </c>
      <c r="E50" s="66">
        <v>21300</v>
      </c>
      <c r="F50" s="18" t="s">
        <v>1219</v>
      </c>
      <c r="G50" s="11" t="s">
        <v>1214</v>
      </c>
    </row>
    <row r="51" spans="1:7" ht="30" customHeight="1">
      <c r="A51" s="26">
        <f t="shared" si="0"/>
        <v>44</v>
      </c>
      <c r="B51" s="54" t="s">
        <v>1220</v>
      </c>
      <c r="C51" s="48">
        <v>2042000</v>
      </c>
      <c r="D51" s="51">
        <v>2006</v>
      </c>
      <c r="E51" s="67">
        <v>415000</v>
      </c>
      <c r="F51" s="69" t="s">
        <v>1221</v>
      </c>
      <c r="G51" s="11" t="s">
        <v>1214</v>
      </c>
    </row>
    <row r="52" spans="1:7" ht="30" customHeight="1">
      <c r="A52" s="26">
        <f t="shared" si="0"/>
        <v>45</v>
      </c>
      <c r="B52" s="54" t="s">
        <v>1222</v>
      </c>
      <c r="C52" s="47">
        <v>2241550</v>
      </c>
      <c r="D52" s="12">
        <v>2007</v>
      </c>
      <c r="E52" s="66">
        <v>510000</v>
      </c>
      <c r="F52" s="70" t="s">
        <v>1221</v>
      </c>
      <c r="G52" s="11" t="s">
        <v>1214</v>
      </c>
    </row>
    <row r="53" spans="1:7" ht="30" customHeight="1">
      <c r="A53" s="26">
        <f t="shared" si="0"/>
        <v>46</v>
      </c>
      <c r="B53" s="54" t="s">
        <v>1223</v>
      </c>
      <c r="C53" s="47">
        <v>793500</v>
      </c>
      <c r="D53" s="12">
        <v>2006</v>
      </c>
      <c r="E53" s="66">
        <v>172000</v>
      </c>
      <c r="F53" s="70" t="s">
        <v>1221</v>
      </c>
      <c r="G53" s="11" t="s">
        <v>1214</v>
      </c>
    </row>
    <row r="54" spans="1:7" ht="30" customHeight="1">
      <c r="A54" s="26">
        <f t="shared" si="0"/>
        <v>47</v>
      </c>
      <c r="B54" s="71" t="s">
        <v>1224</v>
      </c>
      <c r="C54" s="35">
        <v>86066</v>
      </c>
      <c r="D54" s="18">
        <v>1985</v>
      </c>
      <c r="E54" s="64">
        <v>20000</v>
      </c>
      <c r="F54" s="12" t="s">
        <v>1217</v>
      </c>
      <c r="G54" s="11" t="s">
        <v>1214</v>
      </c>
    </row>
    <row r="55" spans="1:7" ht="30" customHeight="1">
      <c r="A55" s="28">
        <f t="shared" si="0"/>
        <v>48</v>
      </c>
      <c r="B55" s="54" t="s">
        <v>1225</v>
      </c>
      <c r="C55" s="46">
        <v>175050</v>
      </c>
      <c r="D55" s="22">
        <v>2001</v>
      </c>
      <c r="E55" s="65">
        <v>22000</v>
      </c>
      <c r="F55" s="12" t="s">
        <v>1217</v>
      </c>
      <c r="G55" s="11" t="s">
        <v>1214</v>
      </c>
    </row>
    <row r="56" spans="1:7" ht="30" customHeight="1">
      <c r="A56" s="38">
        <f t="shared" si="0"/>
        <v>49</v>
      </c>
      <c r="B56" s="153" t="s">
        <v>1226</v>
      </c>
      <c r="C56" s="73">
        <v>65000</v>
      </c>
      <c r="D56" s="112">
        <v>2006</v>
      </c>
      <c r="E56" s="158">
        <v>15600</v>
      </c>
      <c r="F56" s="112" t="s">
        <v>1217</v>
      </c>
      <c r="G56" s="18" t="s">
        <v>1214</v>
      </c>
    </row>
    <row r="57" spans="1:7" ht="30" customHeight="1">
      <c r="A57" s="26">
        <f t="shared" si="0"/>
        <v>50</v>
      </c>
      <c r="B57" s="53" t="s">
        <v>1227</v>
      </c>
      <c r="C57" s="36">
        <v>6000</v>
      </c>
      <c r="D57" s="13">
        <v>1984</v>
      </c>
      <c r="E57" s="45">
        <v>6000</v>
      </c>
      <c r="F57" s="22" t="s">
        <v>1217</v>
      </c>
      <c r="G57" s="11" t="s">
        <v>1214</v>
      </c>
    </row>
    <row r="58" spans="1:7" ht="30" customHeight="1">
      <c r="A58" s="26">
        <f t="shared" si="0"/>
        <v>51</v>
      </c>
      <c r="B58" s="54" t="s">
        <v>1228</v>
      </c>
      <c r="C58" s="34">
        <v>14227</v>
      </c>
      <c r="D58" s="13">
        <v>2001</v>
      </c>
      <c r="E58" s="45">
        <v>3000</v>
      </c>
      <c r="F58" s="12" t="s">
        <v>1217</v>
      </c>
      <c r="G58" s="11" t="s">
        <v>1214</v>
      </c>
    </row>
    <row r="59" spans="1:7" ht="30" customHeight="1">
      <c r="A59" s="26">
        <f>A58+1</f>
        <v>52</v>
      </c>
      <c r="B59" s="14" t="s">
        <v>1229</v>
      </c>
      <c r="C59" s="36">
        <v>18900</v>
      </c>
      <c r="D59" s="13">
        <v>2007</v>
      </c>
      <c r="E59" s="111">
        <v>3500</v>
      </c>
      <c r="F59" s="112" t="s">
        <v>1217</v>
      </c>
      <c r="G59" s="18" t="s">
        <v>1214</v>
      </c>
    </row>
    <row r="60" spans="1:7" ht="30" customHeight="1">
      <c r="A60" s="26">
        <f>A59+1</f>
        <v>53</v>
      </c>
      <c r="B60" s="14" t="s">
        <v>1230</v>
      </c>
      <c r="C60" s="36">
        <v>1782530</v>
      </c>
      <c r="D60" s="13">
        <v>2007</v>
      </c>
      <c r="E60" s="111">
        <v>300000</v>
      </c>
      <c r="F60" s="112" t="s">
        <v>1217</v>
      </c>
      <c r="G60" s="18" t="s">
        <v>52</v>
      </c>
    </row>
    <row r="61" spans="1:7" ht="30" customHeight="1">
      <c r="A61" s="31"/>
      <c r="B61" s="773" t="s">
        <v>112</v>
      </c>
      <c r="C61" s="40"/>
      <c r="D61" s="31"/>
      <c r="E61" s="774">
        <f>SUM(E8:E60)</f>
        <v>2725600</v>
      </c>
      <c r="F61" s="55"/>
      <c r="G61" s="15"/>
    </row>
    <row r="62" spans="1:7" ht="34.5" customHeight="1">
      <c r="A62" s="1098" t="s">
        <v>23</v>
      </c>
      <c r="B62" s="1099"/>
      <c r="C62" s="1099"/>
      <c r="D62" s="1099"/>
      <c r="E62" s="1099"/>
      <c r="F62" s="1099"/>
    </row>
    <row r="63" spans="1:7" ht="27" customHeight="1">
      <c r="A63" s="1077" t="s">
        <v>1096</v>
      </c>
      <c r="B63" s="1076"/>
      <c r="C63" s="1076"/>
      <c r="D63" s="1076"/>
      <c r="E63" s="1076"/>
      <c r="F63" s="1076"/>
    </row>
    <row r="64" spans="1:7" ht="12.75" customHeight="1">
      <c r="A64" s="1089" t="s">
        <v>1097</v>
      </c>
      <c r="B64" s="1076"/>
      <c r="C64" s="1076"/>
      <c r="D64" s="1076"/>
      <c r="E64" s="1076"/>
      <c r="F64" s="1076"/>
    </row>
    <row r="65" spans="1:6" ht="65.25" customHeight="1">
      <c r="A65" s="1090" t="s">
        <v>1231</v>
      </c>
      <c r="B65" s="1076"/>
      <c r="C65" s="1076"/>
      <c r="D65" s="1076"/>
      <c r="E65" s="1076"/>
      <c r="F65" s="1076"/>
    </row>
    <row r="66" spans="1:6" ht="75" customHeight="1">
      <c r="A66" s="1091" t="s">
        <v>21</v>
      </c>
      <c r="B66" s="1076"/>
      <c r="C66" s="6"/>
      <c r="D66" s="7"/>
      <c r="E66" s="6" t="s">
        <v>22</v>
      </c>
    </row>
    <row r="67" spans="1:6" ht="12.75" customHeight="1">
      <c r="A67" s="1"/>
      <c r="C67" s="8"/>
      <c r="D67" s="7"/>
      <c r="E67" s="8"/>
    </row>
    <row r="68" spans="1:6" ht="12.75" customHeight="1">
      <c r="A68" s="1"/>
      <c r="C68" s="8"/>
      <c r="D68" s="7"/>
      <c r="E68" s="8"/>
    </row>
    <row r="69" spans="1:6" ht="12.75" customHeight="1">
      <c r="A69" s="1"/>
      <c r="C69" s="8"/>
      <c r="D69" s="7"/>
      <c r="E69" s="8"/>
    </row>
    <row r="70" spans="1:6" ht="12.75" customHeight="1">
      <c r="A70" s="1"/>
      <c r="C70" s="8"/>
      <c r="D70" s="7"/>
      <c r="E70" s="8"/>
    </row>
    <row r="71" spans="1:6" ht="12.75" customHeight="1">
      <c r="A71" s="1"/>
      <c r="C71" s="8"/>
      <c r="D71" s="7"/>
      <c r="E71" s="8"/>
    </row>
    <row r="72" spans="1:6" ht="12.75" customHeight="1">
      <c r="A72" s="1"/>
      <c r="C72" s="8"/>
      <c r="D72" s="7"/>
      <c r="E72" s="8"/>
    </row>
    <row r="73" spans="1:6" ht="12.75" customHeight="1">
      <c r="A73" s="1"/>
      <c r="C73" s="8"/>
      <c r="D73" s="7"/>
      <c r="E73" s="8"/>
    </row>
    <row r="74" spans="1:6" ht="12.75" customHeight="1">
      <c r="A74" s="1"/>
      <c r="C74" s="8"/>
      <c r="D74" s="7"/>
      <c r="E74" s="8"/>
    </row>
    <row r="75" spans="1:6" ht="12.75" customHeight="1">
      <c r="A75" s="1"/>
      <c r="C75" s="8"/>
      <c r="D75" s="7"/>
      <c r="E75" s="8"/>
    </row>
    <row r="76" spans="1:6" ht="12.75" customHeight="1">
      <c r="A76" s="1"/>
      <c r="C76" s="8"/>
      <c r="D76" s="7"/>
      <c r="E76" s="8"/>
    </row>
    <row r="77" spans="1:6" ht="12.75" customHeight="1">
      <c r="A77" s="1"/>
      <c r="C77" s="8"/>
      <c r="D77" s="7"/>
      <c r="E77" s="8"/>
    </row>
    <row r="78" spans="1:6" ht="12.75" customHeight="1">
      <c r="A78" s="1"/>
      <c r="C78" s="8"/>
      <c r="D78" s="7"/>
      <c r="E78" s="8"/>
    </row>
    <row r="79" spans="1:6" ht="12.75" customHeight="1">
      <c r="A79" s="1"/>
      <c r="C79" s="8"/>
      <c r="D79" s="7"/>
      <c r="E79" s="8"/>
    </row>
    <row r="80" spans="1:6" ht="12.75" customHeight="1">
      <c r="A80" s="1"/>
      <c r="C80" s="8"/>
      <c r="D80" s="7"/>
      <c r="E80" s="8"/>
    </row>
    <row r="81" spans="1:5" ht="12.75" customHeight="1">
      <c r="A81" s="1"/>
      <c r="C81" s="8"/>
      <c r="D81" s="7"/>
      <c r="E81" s="8"/>
    </row>
    <row r="82" spans="1:5" ht="12.75" customHeight="1">
      <c r="A82" s="1"/>
      <c r="C82" s="8"/>
      <c r="D82" s="7"/>
      <c r="E82" s="8"/>
    </row>
    <row r="83" spans="1:5" ht="12.75" customHeight="1">
      <c r="A83" s="1"/>
      <c r="C83" s="8"/>
      <c r="D83" s="7"/>
      <c r="E83" s="8"/>
    </row>
    <row r="84" spans="1:5" ht="12.75" customHeight="1">
      <c r="A84" s="1"/>
      <c r="C84" s="8"/>
      <c r="D84" s="7"/>
      <c r="E84" s="8"/>
    </row>
    <row r="85" spans="1:5" ht="12.75" customHeight="1">
      <c r="A85" s="1"/>
      <c r="C85" s="8"/>
      <c r="D85" s="7"/>
      <c r="E85" s="8"/>
    </row>
    <row r="86" spans="1:5" ht="12.75" customHeight="1">
      <c r="A86" s="1"/>
      <c r="C86" s="8"/>
      <c r="D86" s="7"/>
      <c r="E86" s="8"/>
    </row>
    <row r="87" spans="1:5" ht="12.75" customHeight="1">
      <c r="A87" s="1"/>
      <c r="C87" s="8"/>
      <c r="D87" s="7"/>
      <c r="E87" s="8"/>
    </row>
    <row r="88" spans="1:5" ht="12.75" customHeight="1">
      <c r="A88" s="1"/>
      <c r="C88" s="8"/>
      <c r="D88" s="7"/>
      <c r="E88" s="8"/>
    </row>
    <row r="89" spans="1:5" ht="12.75" customHeight="1">
      <c r="A89" s="1"/>
      <c r="C89" s="8"/>
      <c r="D89" s="7"/>
      <c r="E89" s="8"/>
    </row>
    <row r="90" spans="1:5" ht="12.75" customHeight="1">
      <c r="A90" s="1"/>
      <c r="C90" s="8"/>
      <c r="D90" s="7"/>
      <c r="E90" s="8"/>
    </row>
    <row r="91" spans="1:5" ht="12.75" customHeight="1">
      <c r="A91" s="1"/>
      <c r="C91" s="8"/>
      <c r="D91" s="7"/>
      <c r="E91" s="8"/>
    </row>
    <row r="92" spans="1:5" ht="12.75" customHeight="1">
      <c r="A92" s="1"/>
      <c r="C92" s="8"/>
      <c r="D92" s="7"/>
      <c r="E92" s="8"/>
    </row>
    <row r="93" spans="1:5" ht="12.75" customHeight="1">
      <c r="A93" s="1"/>
      <c r="C93" s="8"/>
      <c r="D93" s="7"/>
      <c r="E93" s="8"/>
    </row>
    <row r="94" spans="1:5" ht="12.75" customHeight="1">
      <c r="A94" s="1"/>
      <c r="C94" s="8"/>
      <c r="D94" s="7"/>
      <c r="E94" s="8"/>
    </row>
    <row r="95" spans="1:5" ht="12.75" customHeight="1">
      <c r="A95" s="1"/>
      <c r="C95" s="8"/>
      <c r="D95" s="7"/>
      <c r="E95" s="8"/>
    </row>
    <row r="96" spans="1:5" ht="12.75" customHeight="1">
      <c r="A96" s="1"/>
      <c r="C96" s="8"/>
      <c r="D96" s="7"/>
      <c r="E96" s="8"/>
    </row>
    <row r="97" spans="1:5" ht="12.75" customHeight="1">
      <c r="A97" s="1"/>
      <c r="C97" s="8"/>
      <c r="D97" s="7"/>
      <c r="E97" s="8"/>
    </row>
    <row r="98" spans="1:5" ht="12.75" customHeight="1">
      <c r="A98" s="1"/>
      <c r="C98" s="8"/>
      <c r="D98" s="7"/>
      <c r="E98" s="8"/>
    </row>
    <row r="99" spans="1:5" ht="12.75" customHeight="1">
      <c r="A99" s="1"/>
      <c r="C99" s="8"/>
      <c r="D99" s="7"/>
      <c r="E99" s="8"/>
    </row>
    <row r="100" spans="1:5" ht="12.75" customHeight="1">
      <c r="A100" s="1"/>
      <c r="C100" s="8"/>
      <c r="D100" s="7"/>
      <c r="E100" s="8"/>
    </row>
    <row r="101" spans="1:5" ht="12.75" customHeight="1">
      <c r="A101" s="1"/>
      <c r="C101" s="8"/>
      <c r="D101" s="7"/>
      <c r="E101" s="8"/>
    </row>
    <row r="102" spans="1:5" ht="12.75" customHeight="1">
      <c r="A102" s="1"/>
      <c r="C102" s="8"/>
      <c r="D102" s="7"/>
      <c r="E102" s="8"/>
    </row>
    <row r="103" spans="1:5" ht="12.75" customHeight="1">
      <c r="A103" s="1"/>
      <c r="C103" s="8"/>
      <c r="D103" s="7"/>
      <c r="E103" s="8"/>
    </row>
    <row r="104" spans="1:5" ht="12.75" customHeight="1">
      <c r="A104" s="1"/>
      <c r="C104" s="8"/>
      <c r="D104" s="7"/>
      <c r="E104" s="8"/>
    </row>
    <row r="105" spans="1:5" ht="12.75" customHeight="1">
      <c r="A105" s="1"/>
      <c r="C105" s="8"/>
      <c r="D105" s="7"/>
      <c r="E105" s="8"/>
    </row>
    <row r="106" spans="1:5" ht="12.75" customHeight="1">
      <c r="A106" s="1"/>
      <c r="C106" s="8"/>
      <c r="D106" s="7"/>
      <c r="E106" s="8"/>
    </row>
    <row r="107" spans="1:5" ht="12.75" customHeight="1">
      <c r="A107" s="1"/>
      <c r="C107" s="8"/>
      <c r="D107" s="7"/>
      <c r="E107" s="8"/>
    </row>
    <row r="108" spans="1:5" ht="12.75" customHeight="1">
      <c r="A108" s="1"/>
      <c r="C108" s="8"/>
      <c r="D108" s="7"/>
      <c r="E108" s="8"/>
    </row>
    <row r="109" spans="1:5" ht="12.75" customHeight="1">
      <c r="A109" s="1"/>
      <c r="C109" s="8"/>
      <c r="D109" s="7"/>
      <c r="E109" s="8"/>
    </row>
    <row r="110" spans="1:5" ht="12.75" customHeight="1">
      <c r="A110" s="1"/>
      <c r="C110" s="8"/>
      <c r="D110" s="7"/>
      <c r="E110" s="8"/>
    </row>
    <row r="111" spans="1:5" ht="12.75" customHeight="1">
      <c r="A111" s="1"/>
      <c r="C111" s="8"/>
      <c r="D111" s="7"/>
      <c r="E111" s="8"/>
    </row>
    <row r="112" spans="1:5" ht="12.75" customHeight="1">
      <c r="A112" s="1"/>
      <c r="C112" s="8"/>
      <c r="D112" s="7"/>
      <c r="E112" s="8"/>
    </row>
    <row r="113" spans="1:5" ht="12.75" customHeight="1">
      <c r="A113" s="1"/>
      <c r="C113" s="8"/>
      <c r="D113" s="7"/>
      <c r="E113" s="8"/>
    </row>
    <row r="114" spans="1:5" ht="12.75" customHeight="1">
      <c r="A114" s="1"/>
      <c r="C114" s="8"/>
      <c r="D114" s="7"/>
      <c r="E114" s="8"/>
    </row>
    <row r="115" spans="1:5" ht="12.75" customHeight="1">
      <c r="A115" s="1"/>
      <c r="C115" s="8"/>
      <c r="D115" s="7"/>
      <c r="E115" s="8"/>
    </row>
    <row r="116" spans="1:5" ht="12.75" customHeight="1">
      <c r="A116" s="1"/>
      <c r="C116" s="8"/>
      <c r="D116" s="7"/>
      <c r="E116" s="8"/>
    </row>
    <row r="117" spans="1:5" ht="12.75" customHeight="1">
      <c r="A117" s="1"/>
      <c r="C117" s="8"/>
      <c r="D117" s="7"/>
      <c r="E117" s="8"/>
    </row>
    <row r="118" spans="1:5" ht="12.75" customHeight="1">
      <c r="A118" s="1"/>
      <c r="C118" s="8"/>
      <c r="D118" s="7"/>
      <c r="E118" s="8"/>
    </row>
    <row r="119" spans="1:5" ht="12.75" customHeight="1">
      <c r="A119" s="1"/>
      <c r="C119" s="8"/>
      <c r="D119" s="7"/>
      <c r="E119" s="8"/>
    </row>
    <row r="120" spans="1:5" ht="12.75" customHeight="1">
      <c r="A120" s="1"/>
      <c r="C120" s="8"/>
      <c r="D120" s="7"/>
      <c r="E120" s="8"/>
    </row>
    <row r="121" spans="1:5" ht="12.75" customHeight="1">
      <c r="A121" s="1"/>
      <c r="C121" s="8"/>
      <c r="D121" s="7"/>
      <c r="E121" s="8"/>
    </row>
    <row r="122" spans="1:5" ht="12.75" customHeight="1">
      <c r="A122" s="1"/>
      <c r="C122" s="8"/>
      <c r="D122" s="7"/>
      <c r="E122" s="8"/>
    </row>
    <row r="123" spans="1:5" ht="12.75" customHeight="1">
      <c r="A123" s="1"/>
      <c r="C123" s="8"/>
      <c r="D123" s="7"/>
      <c r="E123" s="8"/>
    </row>
    <row r="124" spans="1:5" ht="12.75" customHeight="1">
      <c r="A124" s="1"/>
      <c r="C124" s="8"/>
      <c r="D124" s="7"/>
      <c r="E124" s="8"/>
    </row>
    <row r="125" spans="1:5" ht="12.75" customHeight="1">
      <c r="A125" s="1"/>
      <c r="C125" s="8"/>
      <c r="D125" s="7"/>
      <c r="E125" s="8"/>
    </row>
    <row r="126" spans="1:5" ht="12.75" customHeight="1">
      <c r="A126" s="1"/>
      <c r="C126" s="8"/>
      <c r="D126" s="7"/>
      <c r="E126" s="8"/>
    </row>
    <row r="127" spans="1:5" ht="12.75" customHeight="1">
      <c r="A127" s="1"/>
      <c r="C127" s="8"/>
      <c r="D127" s="7"/>
      <c r="E127" s="8"/>
    </row>
    <row r="128" spans="1:5" ht="12.75" customHeight="1">
      <c r="A128" s="1"/>
      <c r="C128" s="8"/>
      <c r="D128" s="7"/>
      <c r="E128" s="8"/>
    </row>
    <row r="129" spans="1:5" ht="12.75" customHeight="1">
      <c r="A129" s="1"/>
      <c r="C129" s="8"/>
      <c r="D129" s="7"/>
      <c r="E129" s="8"/>
    </row>
    <row r="130" spans="1:5" ht="12.75" customHeight="1">
      <c r="A130" s="1"/>
      <c r="C130" s="8"/>
      <c r="D130" s="7"/>
      <c r="E130" s="8"/>
    </row>
    <row r="131" spans="1:5" ht="12.75" customHeight="1">
      <c r="A131" s="1"/>
      <c r="C131" s="8"/>
      <c r="D131" s="7"/>
      <c r="E131" s="8"/>
    </row>
    <row r="132" spans="1:5" ht="12.75" customHeight="1">
      <c r="A132" s="1"/>
      <c r="C132" s="8"/>
      <c r="D132" s="7"/>
      <c r="E132" s="8"/>
    </row>
    <row r="133" spans="1:5" ht="12.75" customHeight="1">
      <c r="A133" s="1"/>
      <c r="C133" s="8"/>
      <c r="D133" s="7"/>
      <c r="E133" s="8"/>
    </row>
    <row r="134" spans="1:5" ht="12.75" customHeight="1">
      <c r="A134" s="1"/>
      <c r="C134" s="8"/>
      <c r="D134" s="7"/>
      <c r="E134" s="8"/>
    </row>
    <row r="135" spans="1:5" ht="12.75" customHeight="1">
      <c r="A135" s="1"/>
      <c r="C135" s="8"/>
      <c r="D135" s="7"/>
      <c r="E135" s="8"/>
    </row>
    <row r="136" spans="1:5" ht="12.75" customHeight="1">
      <c r="A136" s="1"/>
      <c r="C136" s="8"/>
      <c r="D136" s="7"/>
      <c r="E136" s="8"/>
    </row>
    <row r="137" spans="1:5" ht="12.75" customHeight="1">
      <c r="A137" s="1"/>
      <c r="C137" s="8"/>
      <c r="D137" s="7"/>
      <c r="E137" s="8"/>
    </row>
    <row r="138" spans="1:5" ht="12.75" customHeight="1">
      <c r="A138" s="1"/>
      <c r="C138" s="8"/>
      <c r="D138" s="7"/>
      <c r="E138" s="8"/>
    </row>
    <row r="139" spans="1:5" ht="12.75" customHeight="1">
      <c r="A139" s="1"/>
      <c r="C139" s="8"/>
      <c r="D139" s="7"/>
      <c r="E139" s="8"/>
    </row>
    <row r="140" spans="1:5" ht="12.75" customHeight="1">
      <c r="A140" s="1"/>
      <c r="C140" s="8"/>
      <c r="D140" s="7"/>
      <c r="E140" s="8"/>
    </row>
    <row r="141" spans="1:5" ht="12.75" customHeight="1">
      <c r="A141" s="1"/>
      <c r="C141" s="8"/>
      <c r="D141" s="7"/>
      <c r="E141" s="8"/>
    </row>
    <row r="142" spans="1:5" ht="12.75" customHeight="1">
      <c r="A142" s="1"/>
      <c r="C142" s="8"/>
      <c r="D142" s="7"/>
      <c r="E142" s="8"/>
    </row>
    <row r="143" spans="1:5" ht="12.75" customHeight="1">
      <c r="A143" s="1"/>
      <c r="C143" s="8"/>
      <c r="D143" s="7"/>
      <c r="E143" s="8"/>
    </row>
    <row r="144" spans="1:5" ht="12.75" customHeight="1">
      <c r="A144" s="1"/>
      <c r="C144" s="8"/>
      <c r="D144" s="7"/>
      <c r="E144" s="8"/>
    </row>
    <row r="145" spans="1:5" ht="12.75" customHeight="1">
      <c r="A145" s="1"/>
      <c r="C145" s="8"/>
      <c r="D145" s="7"/>
      <c r="E145" s="8"/>
    </row>
    <row r="146" spans="1:5" ht="12.75" customHeight="1">
      <c r="A146" s="1"/>
      <c r="C146" s="8"/>
      <c r="D146" s="7"/>
      <c r="E146" s="8"/>
    </row>
    <row r="147" spans="1:5" ht="12.75" customHeight="1">
      <c r="A147" s="1"/>
      <c r="C147" s="8"/>
      <c r="D147" s="7"/>
      <c r="E147" s="8"/>
    </row>
    <row r="148" spans="1:5" ht="12.75" customHeight="1">
      <c r="A148" s="1"/>
      <c r="C148" s="8"/>
      <c r="D148" s="7"/>
      <c r="E148" s="8"/>
    </row>
    <row r="149" spans="1:5" ht="12.75" customHeight="1">
      <c r="A149" s="1"/>
      <c r="C149" s="8"/>
      <c r="D149" s="7"/>
      <c r="E149" s="8"/>
    </row>
    <row r="150" spans="1:5" ht="12.75" customHeight="1">
      <c r="A150" s="1"/>
      <c r="C150" s="8"/>
      <c r="D150" s="7"/>
      <c r="E150" s="8"/>
    </row>
    <row r="151" spans="1:5" ht="12.75" customHeight="1">
      <c r="A151" s="1"/>
      <c r="C151" s="8"/>
      <c r="D151" s="7"/>
      <c r="E151" s="8"/>
    </row>
    <row r="152" spans="1:5" ht="12.75" customHeight="1">
      <c r="A152" s="1"/>
      <c r="C152" s="8"/>
      <c r="D152" s="7"/>
      <c r="E152" s="8"/>
    </row>
    <row r="153" spans="1:5" ht="12.75" customHeight="1">
      <c r="A153" s="1"/>
      <c r="C153" s="8"/>
      <c r="D153" s="7"/>
      <c r="E153" s="8"/>
    </row>
    <row r="154" spans="1:5" ht="12.75" customHeight="1">
      <c r="A154" s="1"/>
      <c r="C154" s="8"/>
      <c r="D154" s="7"/>
      <c r="E154" s="8"/>
    </row>
    <row r="155" spans="1:5" ht="12.75" customHeight="1">
      <c r="A155" s="1"/>
      <c r="C155" s="8"/>
      <c r="D155" s="7"/>
      <c r="E155" s="8"/>
    </row>
    <row r="156" spans="1:5" ht="12.75" customHeight="1">
      <c r="A156" s="1"/>
      <c r="C156" s="8"/>
      <c r="D156" s="7"/>
      <c r="E156" s="8"/>
    </row>
    <row r="157" spans="1:5" ht="12.75" customHeight="1">
      <c r="A157" s="1"/>
      <c r="C157" s="8"/>
      <c r="D157" s="7"/>
      <c r="E157" s="8"/>
    </row>
    <row r="158" spans="1:5" ht="12.75" customHeight="1">
      <c r="A158" s="1"/>
      <c r="C158" s="8"/>
      <c r="D158" s="7"/>
      <c r="E158" s="8"/>
    </row>
    <row r="159" spans="1:5" ht="12.75" customHeight="1">
      <c r="A159" s="1"/>
      <c r="C159" s="8"/>
      <c r="D159" s="7"/>
      <c r="E159" s="8"/>
    </row>
    <row r="160" spans="1:5" ht="12.75" customHeight="1">
      <c r="A160" s="1"/>
      <c r="C160" s="8"/>
      <c r="D160" s="7"/>
      <c r="E160" s="8"/>
    </row>
    <row r="161" spans="1:5" ht="12.75" customHeight="1">
      <c r="A161" s="1"/>
      <c r="C161" s="8"/>
      <c r="D161" s="7"/>
      <c r="E161" s="8"/>
    </row>
    <row r="162" spans="1:5" ht="12.75" customHeight="1">
      <c r="A162" s="1"/>
      <c r="C162" s="8"/>
      <c r="D162" s="7"/>
      <c r="E162" s="8"/>
    </row>
    <row r="163" spans="1:5" ht="12.75" customHeight="1">
      <c r="A163" s="1"/>
      <c r="C163" s="8"/>
      <c r="D163" s="7"/>
      <c r="E163" s="8"/>
    </row>
    <row r="164" spans="1:5" ht="12.75" customHeight="1">
      <c r="A164" s="1"/>
      <c r="C164" s="8"/>
      <c r="D164" s="7"/>
      <c r="E164" s="8"/>
    </row>
    <row r="165" spans="1:5" ht="12.75" customHeight="1">
      <c r="A165" s="1"/>
      <c r="C165" s="8"/>
      <c r="D165" s="7"/>
      <c r="E165" s="8"/>
    </row>
    <row r="166" spans="1:5" ht="12.75" customHeight="1">
      <c r="A166" s="1"/>
      <c r="C166" s="8"/>
      <c r="D166" s="7"/>
      <c r="E166" s="8"/>
    </row>
    <row r="167" spans="1:5" ht="12.75" customHeight="1">
      <c r="A167" s="1"/>
      <c r="C167" s="8"/>
      <c r="D167" s="7"/>
      <c r="E167" s="8"/>
    </row>
    <row r="168" spans="1:5" ht="12.75" customHeight="1">
      <c r="A168" s="1"/>
      <c r="C168" s="8"/>
      <c r="D168" s="7"/>
      <c r="E168" s="8"/>
    </row>
    <row r="169" spans="1:5" ht="12.75" customHeight="1">
      <c r="A169" s="1"/>
      <c r="C169" s="8"/>
      <c r="D169" s="7"/>
      <c r="E169" s="8"/>
    </row>
    <row r="170" spans="1:5" ht="12.75" customHeight="1">
      <c r="A170" s="1"/>
      <c r="C170" s="8"/>
      <c r="D170" s="7"/>
      <c r="E170" s="8"/>
    </row>
    <row r="171" spans="1:5" ht="12.75" customHeight="1">
      <c r="A171" s="1"/>
      <c r="C171" s="8"/>
      <c r="D171" s="7"/>
      <c r="E171" s="8"/>
    </row>
    <row r="172" spans="1:5" ht="12.75" customHeight="1">
      <c r="A172" s="1"/>
      <c r="C172" s="8"/>
      <c r="D172" s="7"/>
      <c r="E172" s="8"/>
    </row>
    <row r="173" spans="1:5" ht="12.75" customHeight="1">
      <c r="A173" s="1"/>
      <c r="C173" s="8"/>
      <c r="D173" s="7"/>
      <c r="E173" s="8"/>
    </row>
    <row r="174" spans="1:5" ht="12.75" customHeight="1">
      <c r="A174" s="1"/>
      <c r="C174" s="8"/>
      <c r="D174" s="7"/>
      <c r="E174" s="8"/>
    </row>
    <row r="175" spans="1:5" ht="12.75" customHeight="1">
      <c r="A175" s="1"/>
      <c r="C175" s="8"/>
      <c r="D175" s="7"/>
      <c r="E175" s="8"/>
    </row>
    <row r="176" spans="1:5" ht="12.75" customHeight="1">
      <c r="A176" s="1"/>
      <c r="C176" s="8"/>
      <c r="D176" s="7"/>
      <c r="E176" s="8"/>
    </row>
    <row r="177" spans="1:5" ht="12.75" customHeight="1">
      <c r="A177" s="1"/>
      <c r="C177" s="8"/>
      <c r="D177" s="7"/>
      <c r="E177" s="8"/>
    </row>
    <row r="178" spans="1:5" ht="12.75" customHeight="1">
      <c r="A178" s="1"/>
      <c r="C178" s="8"/>
      <c r="D178" s="7"/>
      <c r="E178" s="8"/>
    </row>
    <row r="179" spans="1:5" ht="12.75" customHeight="1">
      <c r="A179" s="1"/>
      <c r="C179" s="8"/>
      <c r="D179" s="7"/>
      <c r="E179" s="8"/>
    </row>
    <row r="180" spans="1:5" ht="12.75" customHeight="1">
      <c r="A180" s="1"/>
      <c r="C180" s="8"/>
      <c r="D180" s="7"/>
      <c r="E180" s="8"/>
    </row>
    <row r="181" spans="1:5" ht="12.75" customHeight="1">
      <c r="A181" s="1"/>
      <c r="C181" s="8"/>
      <c r="D181" s="7"/>
      <c r="E181" s="8"/>
    </row>
    <row r="182" spans="1:5" ht="12.75" customHeight="1">
      <c r="A182" s="1"/>
      <c r="C182" s="8"/>
      <c r="D182" s="7"/>
      <c r="E182" s="8"/>
    </row>
    <row r="183" spans="1:5" ht="12.75" customHeight="1">
      <c r="A183" s="1"/>
      <c r="C183" s="8"/>
      <c r="D183" s="7"/>
      <c r="E183" s="8"/>
    </row>
    <row r="184" spans="1:5" ht="12.75" customHeight="1">
      <c r="A184" s="1"/>
      <c r="C184" s="8"/>
      <c r="D184" s="7"/>
      <c r="E184" s="8"/>
    </row>
    <row r="185" spans="1:5" ht="12.75" customHeight="1">
      <c r="A185" s="1"/>
      <c r="C185" s="8"/>
      <c r="D185" s="7"/>
      <c r="E185" s="8"/>
    </row>
    <row r="186" spans="1:5" ht="12.75" customHeight="1">
      <c r="A186" s="1"/>
      <c r="C186" s="8"/>
      <c r="D186" s="7"/>
      <c r="E186" s="8"/>
    </row>
    <row r="187" spans="1:5" ht="12.75" customHeight="1">
      <c r="A187" s="1"/>
      <c r="C187" s="8"/>
      <c r="D187" s="7"/>
      <c r="E187" s="8"/>
    </row>
    <row r="188" spans="1:5" ht="12.75" customHeight="1">
      <c r="A188" s="1"/>
      <c r="C188" s="8"/>
      <c r="D188" s="7"/>
      <c r="E188" s="8"/>
    </row>
    <row r="189" spans="1:5" ht="12.75" customHeight="1">
      <c r="A189" s="1"/>
      <c r="C189" s="8"/>
      <c r="D189" s="7"/>
      <c r="E189" s="8"/>
    </row>
    <row r="190" spans="1:5" ht="12.75" customHeight="1">
      <c r="A190" s="1"/>
      <c r="C190" s="8"/>
      <c r="D190" s="7"/>
      <c r="E190" s="8"/>
    </row>
    <row r="191" spans="1:5" ht="12.75" customHeight="1">
      <c r="A191" s="1"/>
      <c r="C191" s="8"/>
      <c r="D191" s="7"/>
      <c r="E191" s="8"/>
    </row>
    <row r="192" spans="1:5" ht="12.75" customHeight="1">
      <c r="A192" s="1"/>
      <c r="C192" s="8"/>
      <c r="D192" s="7"/>
      <c r="E192" s="8"/>
    </row>
    <row r="193" spans="1:5" ht="12.75" customHeight="1">
      <c r="A193" s="1"/>
      <c r="C193" s="8"/>
      <c r="D193" s="7"/>
      <c r="E193" s="8"/>
    </row>
    <row r="194" spans="1:5" ht="12.75" customHeight="1">
      <c r="A194" s="1"/>
      <c r="C194" s="8"/>
      <c r="D194" s="7"/>
      <c r="E194" s="8"/>
    </row>
    <row r="195" spans="1:5" ht="12.75" customHeight="1">
      <c r="A195" s="1"/>
      <c r="C195" s="8"/>
      <c r="D195" s="7"/>
      <c r="E195" s="8"/>
    </row>
    <row r="196" spans="1:5" ht="12.75" customHeight="1">
      <c r="A196" s="1"/>
      <c r="C196" s="8"/>
      <c r="D196" s="7"/>
      <c r="E196" s="8"/>
    </row>
    <row r="197" spans="1:5" ht="12.75" customHeight="1">
      <c r="A197" s="1"/>
      <c r="C197" s="8"/>
      <c r="D197" s="7"/>
      <c r="E197" s="8"/>
    </row>
    <row r="198" spans="1:5" ht="12.75" customHeight="1">
      <c r="A198" s="1"/>
      <c r="C198" s="8"/>
      <c r="D198" s="7"/>
      <c r="E198" s="8"/>
    </row>
    <row r="199" spans="1:5" ht="12.75" customHeight="1">
      <c r="A199" s="1"/>
      <c r="C199" s="8"/>
      <c r="D199" s="7"/>
      <c r="E199" s="8"/>
    </row>
    <row r="200" spans="1:5" ht="12.75" customHeight="1">
      <c r="A200" s="1"/>
      <c r="C200" s="8"/>
      <c r="D200" s="7"/>
      <c r="E200" s="8"/>
    </row>
    <row r="201" spans="1:5" ht="12.75" customHeight="1">
      <c r="A201" s="1"/>
      <c r="C201" s="8"/>
      <c r="D201" s="7"/>
      <c r="E201" s="8"/>
    </row>
    <row r="202" spans="1:5" ht="12.75" customHeight="1">
      <c r="A202" s="1"/>
      <c r="C202" s="8"/>
      <c r="D202" s="7"/>
      <c r="E202" s="8"/>
    </row>
    <row r="203" spans="1:5" ht="12.75" customHeight="1">
      <c r="A203" s="1"/>
      <c r="C203" s="8"/>
      <c r="D203" s="7"/>
      <c r="E203" s="8"/>
    </row>
    <row r="204" spans="1:5" ht="12.75" customHeight="1">
      <c r="A204" s="1"/>
      <c r="C204" s="8"/>
      <c r="D204" s="7"/>
      <c r="E204" s="8"/>
    </row>
    <row r="205" spans="1:5" ht="12.75" customHeight="1">
      <c r="A205" s="1"/>
      <c r="C205" s="8"/>
      <c r="D205" s="7"/>
      <c r="E205" s="8"/>
    </row>
    <row r="206" spans="1:5" ht="12.75" customHeight="1">
      <c r="A206" s="1"/>
      <c r="C206" s="8"/>
      <c r="D206" s="7"/>
      <c r="E206" s="8"/>
    </row>
    <row r="207" spans="1:5" ht="12.75" customHeight="1">
      <c r="A207" s="1"/>
      <c r="C207" s="8"/>
      <c r="D207" s="7"/>
      <c r="E207" s="8"/>
    </row>
    <row r="208" spans="1:5" ht="12.75" customHeight="1">
      <c r="A208" s="1"/>
      <c r="C208" s="8"/>
      <c r="D208" s="7"/>
      <c r="E208" s="8"/>
    </row>
    <row r="209" spans="1:5" ht="12.75" customHeight="1">
      <c r="A209" s="1"/>
      <c r="C209" s="8"/>
      <c r="D209" s="7"/>
      <c r="E209" s="8"/>
    </row>
    <row r="210" spans="1:5" ht="12.75" customHeight="1">
      <c r="A210" s="1"/>
      <c r="C210" s="8"/>
      <c r="D210" s="7"/>
      <c r="E210" s="8"/>
    </row>
    <row r="211" spans="1:5" ht="12.75" customHeight="1">
      <c r="A211" s="1"/>
      <c r="C211" s="8"/>
      <c r="D211" s="7"/>
      <c r="E211" s="8"/>
    </row>
    <row r="212" spans="1:5" ht="12.75" customHeight="1">
      <c r="A212" s="1"/>
      <c r="C212" s="8"/>
      <c r="D212" s="7"/>
      <c r="E212" s="8"/>
    </row>
    <row r="213" spans="1:5" ht="12.75" customHeight="1">
      <c r="A213" s="1"/>
      <c r="C213" s="8"/>
      <c r="D213" s="7"/>
      <c r="E213" s="8"/>
    </row>
    <row r="214" spans="1:5" ht="12.75" customHeight="1">
      <c r="A214" s="1"/>
      <c r="C214" s="8"/>
      <c r="D214" s="7"/>
      <c r="E214" s="8"/>
    </row>
    <row r="215" spans="1:5" ht="12.75" customHeight="1">
      <c r="A215" s="1"/>
      <c r="C215" s="8"/>
      <c r="D215" s="7"/>
      <c r="E215" s="8"/>
    </row>
    <row r="216" spans="1:5" ht="12.75" customHeight="1">
      <c r="A216" s="1"/>
      <c r="C216" s="8"/>
      <c r="D216" s="7"/>
      <c r="E216" s="8"/>
    </row>
    <row r="217" spans="1:5" ht="12.75" customHeight="1">
      <c r="A217" s="1"/>
      <c r="C217" s="8"/>
      <c r="D217" s="7"/>
      <c r="E217" s="8"/>
    </row>
    <row r="218" spans="1:5" ht="12.75" customHeight="1">
      <c r="A218" s="1"/>
      <c r="C218" s="8"/>
      <c r="D218" s="7"/>
      <c r="E218" s="8"/>
    </row>
    <row r="219" spans="1:5" ht="12.75" customHeight="1">
      <c r="A219" s="1"/>
      <c r="C219" s="8"/>
      <c r="D219" s="7"/>
      <c r="E219" s="8"/>
    </row>
    <row r="220" spans="1:5" ht="12.75" customHeight="1">
      <c r="A220" s="1"/>
      <c r="C220" s="8"/>
      <c r="D220" s="7"/>
      <c r="E220" s="8"/>
    </row>
    <row r="221" spans="1:5" ht="12.75" customHeight="1">
      <c r="A221" s="1"/>
      <c r="C221" s="8"/>
      <c r="D221" s="7"/>
      <c r="E221" s="8"/>
    </row>
    <row r="222" spans="1:5" ht="12.75" customHeight="1">
      <c r="A222" s="1"/>
      <c r="C222" s="8"/>
      <c r="D222" s="7"/>
      <c r="E222" s="8"/>
    </row>
    <row r="223" spans="1:5" ht="12.75" customHeight="1">
      <c r="A223" s="1"/>
      <c r="C223" s="8"/>
      <c r="D223" s="7"/>
      <c r="E223" s="8"/>
    </row>
    <row r="224" spans="1:5" ht="12.75" customHeight="1">
      <c r="A224" s="1"/>
      <c r="C224" s="8"/>
      <c r="D224" s="7"/>
      <c r="E224" s="8"/>
    </row>
    <row r="225" spans="1:5" ht="12.75" customHeight="1">
      <c r="A225" s="1"/>
      <c r="C225" s="8"/>
      <c r="D225" s="7"/>
      <c r="E225" s="8"/>
    </row>
    <row r="226" spans="1:5" ht="12.75" customHeight="1">
      <c r="A226" s="1"/>
      <c r="C226" s="8"/>
      <c r="D226" s="7"/>
      <c r="E226" s="8"/>
    </row>
    <row r="227" spans="1:5" ht="12.75" customHeight="1">
      <c r="A227" s="1"/>
      <c r="C227" s="8"/>
      <c r="D227" s="7"/>
      <c r="E227" s="8"/>
    </row>
    <row r="228" spans="1:5" ht="12.75" customHeight="1">
      <c r="A228" s="1"/>
      <c r="C228" s="8"/>
      <c r="D228" s="7"/>
      <c r="E228" s="8"/>
    </row>
    <row r="229" spans="1:5" ht="12.75" customHeight="1">
      <c r="A229" s="1"/>
      <c r="C229" s="8"/>
      <c r="D229" s="7"/>
      <c r="E229" s="8"/>
    </row>
    <row r="230" spans="1:5" ht="12.75" customHeight="1">
      <c r="A230" s="1"/>
      <c r="C230" s="8"/>
      <c r="D230" s="7"/>
      <c r="E230" s="8"/>
    </row>
    <row r="231" spans="1:5" ht="12.75" customHeight="1">
      <c r="A231" s="1"/>
      <c r="C231" s="8"/>
      <c r="D231" s="7"/>
      <c r="E231" s="8"/>
    </row>
    <row r="232" spans="1:5" ht="12.75" customHeight="1">
      <c r="A232" s="1"/>
      <c r="C232" s="8"/>
      <c r="D232" s="7"/>
      <c r="E232" s="8"/>
    </row>
    <row r="233" spans="1:5" ht="12.75" customHeight="1">
      <c r="A233" s="1"/>
      <c r="C233" s="8"/>
      <c r="D233" s="7"/>
      <c r="E233" s="8"/>
    </row>
    <row r="234" spans="1:5" ht="12.75" customHeight="1">
      <c r="A234" s="1"/>
      <c r="C234" s="8"/>
      <c r="D234" s="7"/>
      <c r="E234" s="8"/>
    </row>
    <row r="235" spans="1:5" ht="12.75" customHeight="1">
      <c r="A235" s="1"/>
      <c r="C235" s="8"/>
      <c r="D235" s="7"/>
      <c r="E235" s="8"/>
    </row>
    <row r="236" spans="1:5" ht="12.75" customHeight="1">
      <c r="A236" s="1"/>
      <c r="C236" s="8"/>
      <c r="D236" s="7"/>
      <c r="E236" s="8"/>
    </row>
    <row r="237" spans="1:5" ht="12.75" customHeight="1">
      <c r="A237" s="1"/>
      <c r="C237" s="8"/>
      <c r="D237" s="7"/>
      <c r="E237" s="8"/>
    </row>
    <row r="238" spans="1:5" ht="12.75" customHeight="1">
      <c r="A238" s="1"/>
      <c r="C238" s="8"/>
      <c r="D238" s="7"/>
      <c r="E238" s="8"/>
    </row>
    <row r="239" spans="1:5" ht="12.75" customHeight="1">
      <c r="A239" s="1"/>
      <c r="C239" s="8"/>
      <c r="D239" s="7"/>
      <c r="E239" s="8"/>
    </row>
    <row r="240" spans="1:5" ht="12.75" customHeight="1">
      <c r="A240" s="1"/>
      <c r="C240" s="8"/>
      <c r="D240" s="7"/>
      <c r="E240" s="8"/>
    </row>
    <row r="241" spans="1:5" ht="12.75" customHeight="1">
      <c r="A241" s="1"/>
      <c r="C241" s="8"/>
      <c r="D241" s="7"/>
      <c r="E241" s="8"/>
    </row>
    <row r="242" spans="1:5" ht="12.75" customHeight="1">
      <c r="A242" s="1"/>
      <c r="C242" s="8"/>
      <c r="D242" s="7"/>
      <c r="E242" s="8"/>
    </row>
    <row r="243" spans="1:5" ht="12.75" customHeight="1">
      <c r="A243" s="1"/>
      <c r="C243" s="8"/>
      <c r="D243" s="7"/>
      <c r="E243" s="8"/>
    </row>
    <row r="244" spans="1:5" ht="12.75" customHeight="1">
      <c r="A244" s="1"/>
      <c r="C244" s="8"/>
      <c r="D244" s="7"/>
      <c r="E244" s="8"/>
    </row>
    <row r="245" spans="1:5" ht="12.75" customHeight="1">
      <c r="A245" s="1"/>
      <c r="C245" s="8"/>
      <c r="D245" s="7"/>
      <c r="E245" s="8"/>
    </row>
    <row r="246" spans="1:5" ht="12.75" customHeight="1">
      <c r="A246" s="1"/>
      <c r="C246" s="8"/>
      <c r="D246" s="7"/>
      <c r="E246" s="8"/>
    </row>
    <row r="247" spans="1:5" ht="12.75" customHeight="1">
      <c r="A247" s="1"/>
      <c r="C247" s="8"/>
      <c r="D247" s="7"/>
      <c r="E247" s="8"/>
    </row>
    <row r="248" spans="1:5" ht="12.75" customHeight="1">
      <c r="A248" s="1"/>
      <c r="C248" s="8"/>
      <c r="D248" s="7"/>
      <c r="E248" s="8"/>
    </row>
    <row r="249" spans="1:5" ht="12.75" customHeight="1">
      <c r="A249" s="1"/>
      <c r="C249" s="8"/>
      <c r="D249" s="7"/>
      <c r="E249" s="8"/>
    </row>
    <row r="250" spans="1:5" ht="12.75" customHeight="1">
      <c r="A250" s="1"/>
      <c r="C250" s="8"/>
      <c r="D250" s="7"/>
      <c r="E250" s="8"/>
    </row>
    <row r="251" spans="1:5" ht="12.75" customHeight="1">
      <c r="A251" s="1"/>
      <c r="C251" s="8"/>
      <c r="D251" s="7"/>
      <c r="E251" s="8"/>
    </row>
    <row r="252" spans="1:5" ht="12.75" customHeight="1">
      <c r="A252" s="1"/>
      <c r="C252" s="8"/>
      <c r="D252" s="7"/>
      <c r="E252" s="8"/>
    </row>
    <row r="253" spans="1:5" ht="12.75" customHeight="1">
      <c r="A253" s="1"/>
      <c r="C253" s="8"/>
      <c r="D253" s="7"/>
      <c r="E253" s="8"/>
    </row>
    <row r="254" spans="1:5" ht="12.75" customHeight="1">
      <c r="A254" s="1"/>
      <c r="C254" s="8"/>
      <c r="D254" s="7"/>
      <c r="E254" s="8"/>
    </row>
    <row r="255" spans="1:5" ht="12.75" customHeight="1">
      <c r="A255" s="1"/>
      <c r="C255" s="8"/>
      <c r="D255" s="7"/>
      <c r="E255" s="8"/>
    </row>
    <row r="256" spans="1:5" ht="12.75" customHeight="1">
      <c r="A256" s="1"/>
      <c r="C256" s="8"/>
      <c r="D256" s="7"/>
      <c r="E256" s="8"/>
    </row>
    <row r="257" spans="1:5" ht="12.75" customHeight="1">
      <c r="A257" s="1"/>
      <c r="C257" s="8"/>
      <c r="D257" s="7"/>
      <c r="E257" s="8"/>
    </row>
    <row r="258" spans="1:5" ht="12.75" customHeight="1">
      <c r="A258" s="1"/>
      <c r="C258" s="8"/>
      <c r="D258" s="7"/>
      <c r="E258" s="8"/>
    </row>
    <row r="259" spans="1:5" ht="12.75" customHeight="1">
      <c r="A259" s="1"/>
      <c r="C259" s="8"/>
      <c r="D259" s="7"/>
      <c r="E259" s="8"/>
    </row>
    <row r="260" spans="1:5" ht="12.75" customHeight="1">
      <c r="A260" s="1"/>
      <c r="C260" s="8"/>
      <c r="D260" s="7"/>
      <c r="E260" s="8"/>
    </row>
    <row r="261" spans="1:5" ht="12.75" customHeight="1">
      <c r="A261" s="1"/>
      <c r="C261" s="8"/>
      <c r="D261" s="7"/>
      <c r="E261" s="8"/>
    </row>
    <row r="262" spans="1:5" ht="12.75" customHeight="1">
      <c r="A262" s="1"/>
      <c r="C262" s="8"/>
      <c r="D262" s="7"/>
      <c r="E262" s="8"/>
    </row>
    <row r="263" spans="1:5" ht="12.75" customHeight="1">
      <c r="A263" s="1"/>
      <c r="C263" s="8"/>
      <c r="D263" s="7"/>
      <c r="E263" s="8"/>
    </row>
    <row r="264" spans="1:5" ht="12.75" customHeight="1">
      <c r="A264" s="1"/>
      <c r="C264" s="8"/>
      <c r="D264" s="7"/>
      <c r="E264" s="8"/>
    </row>
    <row r="265" spans="1:5" ht="12.75" customHeight="1">
      <c r="A265" s="1"/>
      <c r="C265" s="8"/>
      <c r="D265" s="7"/>
      <c r="E265" s="8"/>
    </row>
    <row r="266" spans="1:5" ht="12.75" customHeight="1">
      <c r="A266" s="1"/>
      <c r="C266" s="8"/>
      <c r="D266" s="7"/>
      <c r="E266" s="8"/>
    </row>
    <row r="267" spans="1:5" ht="12.75" customHeight="1">
      <c r="A267" s="1"/>
      <c r="C267" s="8"/>
      <c r="D267" s="7"/>
      <c r="E267" s="8"/>
    </row>
    <row r="268" spans="1:5" ht="12.75" customHeight="1">
      <c r="A268" s="1"/>
      <c r="C268" s="8"/>
      <c r="D268" s="7"/>
      <c r="E268" s="8"/>
    </row>
    <row r="269" spans="1:5" ht="12.75" customHeight="1">
      <c r="A269" s="1"/>
      <c r="C269" s="8"/>
      <c r="D269" s="7"/>
      <c r="E269" s="8"/>
    </row>
    <row r="270" spans="1:5" ht="12.75" customHeight="1">
      <c r="A270" s="1"/>
      <c r="C270" s="8"/>
      <c r="D270" s="7"/>
      <c r="E270" s="8"/>
    </row>
    <row r="271" spans="1:5" ht="12.75" customHeight="1">
      <c r="A271" s="1"/>
      <c r="C271" s="8"/>
      <c r="D271" s="7"/>
      <c r="E271" s="8"/>
    </row>
    <row r="272" spans="1:5" ht="12.75" customHeight="1">
      <c r="A272" s="1"/>
      <c r="C272" s="8"/>
      <c r="D272" s="7"/>
      <c r="E272" s="8"/>
    </row>
    <row r="273" spans="1:5" ht="12.75" customHeight="1">
      <c r="A273" s="1"/>
      <c r="C273" s="8"/>
      <c r="D273" s="7"/>
      <c r="E273" s="8"/>
    </row>
    <row r="274" spans="1:5" ht="12.75" customHeight="1">
      <c r="A274" s="1"/>
      <c r="C274" s="8"/>
      <c r="D274" s="7"/>
      <c r="E274" s="8"/>
    </row>
    <row r="275" spans="1:5" ht="12.75" customHeight="1">
      <c r="A275" s="1"/>
      <c r="C275" s="8"/>
      <c r="D275" s="7"/>
      <c r="E275" s="8"/>
    </row>
    <row r="276" spans="1:5" ht="12.75" customHeight="1">
      <c r="A276" s="1"/>
      <c r="C276" s="8"/>
      <c r="D276" s="7"/>
      <c r="E276" s="8"/>
    </row>
    <row r="277" spans="1:5" ht="12.75" customHeight="1">
      <c r="A277" s="1"/>
      <c r="C277" s="8"/>
      <c r="D277" s="7"/>
      <c r="E277" s="8"/>
    </row>
    <row r="278" spans="1:5" ht="12.75" customHeight="1">
      <c r="A278" s="1"/>
      <c r="C278" s="8"/>
      <c r="D278" s="7"/>
      <c r="E278" s="8"/>
    </row>
    <row r="279" spans="1:5" ht="12.75" customHeight="1">
      <c r="A279" s="1"/>
      <c r="C279" s="8"/>
      <c r="D279" s="7"/>
      <c r="E279" s="8"/>
    </row>
    <row r="280" spans="1:5" ht="12.75" customHeight="1">
      <c r="A280" s="1"/>
      <c r="C280" s="8"/>
      <c r="D280" s="7"/>
      <c r="E280" s="8"/>
    </row>
    <row r="281" spans="1:5" ht="12.75" customHeight="1">
      <c r="A281" s="1"/>
      <c r="C281" s="8"/>
      <c r="D281" s="7"/>
      <c r="E281" s="8"/>
    </row>
    <row r="282" spans="1:5" ht="12.75" customHeight="1">
      <c r="A282" s="1"/>
      <c r="C282" s="8"/>
      <c r="D282" s="7"/>
      <c r="E282" s="8"/>
    </row>
    <row r="283" spans="1:5" ht="12.75" customHeight="1">
      <c r="A283" s="1"/>
      <c r="C283" s="8"/>
      <c r="D283" s="7"/>
      <c r="E283" s="8"/>
    </row>
    <row r="284" spans="1:5" ht="12.75" customHeight="1">
      <c r="A284" s="1"/>
      <c r="C284" s="8"/>
      <c r="D284" s="7"/>
      <c r="E284" s="8"/>
    </row>
    <row r="285" spans="1:5" ht="12.75" customHeight="1">
      <c r="A285" s="1"/>
      <c r="C285" s="8"/>
      <c r="D285" s="7"/>
      <c r="E285" s="8"/>
    </row>
    <row r="286" spans="1:5" ht="12.75" customHeight="1">
      <c r="A286" s="1"/>
      <c r="C286" s="8"/>
      <c r="D286" s="7"/>
      <c r="E286" s="8"/>
    </row>
    <row r="287" spans="1:5" ht="12.75" customHeight="1">
      <c r="A287" s="1"/>
      <c r="C287" s="8"/>
      <c r="D287" s="7"/>
      <c r="E287" s="8"/>
    </row>
    <row r="288" spans="1:5" ht="12.75" customHeight="1">
      <c r="A288" s="1"/>
      <c r="C288" s="8"/>
      <c r="D288" s="7"/>
      <c r="E288" s="8"/>
    </row>
    <row r="289" spans="1:5" ht="12.75" customHeight="1">
      <c r="A289" s="1"/>
      <c r="C289" s="8"/>
      <c r="D289" s="7"/>
      <c r="E289" s="8"/>
    </row>
    <row r="290" spans="1:5" ht="12.75" customHeight="1">
      <c r="A290" s="1"/>
      <c r="C290" s="8"/>
      <c r="D290" s="7"/>
      <c r="E290" s="8"/>
    </row>
    <row r="291" spans="1:5" ht="12.75" customHeight="1">
      <c r="A291" s="1"/>
      <c r="C291" s="8"/>
      <c r="D291" s="7"/>
      <c r="E291" s="8"/>
    </row>
    <row r="292" spans="1:5" ht="12.75" customHeight="1">
      <c r="A292" s="1"/>
      <c r="C292" s="8"/>
      <c r="D292" s="7"/>
      <c r="E292" s="8"/>
    </row>
    <row r="293" spans="1:5" ht="12.75" customHeight="1">
      <c r="A293" s="1"/>
      <c r="C293" s="8"/>
      <c r="D293" s="7"/>
      <c r="E293" s="8"/>
    </row>
    <row r="294" spans="1:5" ht="12.75" customHeight="1">
      <c r="A294" s="1"/>
      <c r="C294" s="8"/>
      <c r="D294" s="7"/>
      <c r="E294" s="8"/>
    </row>
    <row r="295" spans="1:5" ht="12.75" customHeight="1">
      <c r="A295" s="1"/>
      <c r="C295" s="8"/>
      <c r="D295" s="7"/>
      <c r="E295" s="8"/>
    </row>
    <row r="296" spans="1:5" ht="12.75" customHeight="1">
      <c r="A296" s="1"/>
      <c r="C296" s="8"/>
      <c r="D296" s="7"/>
      <c r="E296" s="8"/>
    </row>
    <row r="297" spans="1:5" ht="12.75" customHeight="1">
      <c r="A297" s="1"/>
      <c r="C297" s="8"/>
      <c r="D297" s="7"/>
      <c r="E297" s="8"/>
    </row>
    <row r="298" spans="1:5" ht="12.75" customHeight="1">
      <c r="A298" s="1"/>
      <c r="C298" s="8"/>
      <c r="D298" s="7"/>
      <c r="E298" s="8"/>
    </row>
    <row r="299" spans="1:5" ht="12.75" customHeight="1">
      <c r="A299" s="1"/>
      <c r="C299" s="8"/>
      <c r="D299" s="7"/>
      <c r="E299" s="8"/>
    </row>
    <row r="300" spans="1:5" ht="12.75" customHeight="1">
      <c r="A300" s="1"/>
      <c r="C300" s="8"/>
      <c r="D300" s="7"/>
      <c r="E300" s="8"/>
    </row>
    <row r="301" spans="1:5" ht="12.75" customHeight="1">
      <c r="A301" s="1"/>
      <c r="C301" s="8"/>
      <c r="D301" s="7"/>
      <c r="E301" s="8"/>
    </row>
    <row r="302" spans="1:5" ht="12.75" customHeight="1">
      <c r="A302" s="1"/>
      <c r="C302" s="8"/>
      <c r="D302" s="7"/>
      <c r="E302" s="8"/>
    </row>
    <row r="303" spans="1:5" ht="12.75" customHeight="1">
      <c r="A303" s="1"/>
      <c r="C303" s="8"/>
      <c r="D303" s="7"/>
      <c r="E303" s="8"/>
    </row>
    <row r="304" spans="1:5" ht="12.75" customHeight="1">
      <c r="A304" s="1"/>
      <c r="C304" s="8"/>
      <c r="D304" s="7"/>
      <c r="E304" s="8"/>
    </row>
    <row r="305" spans="1:5" ht="12.75" customHeight="1">
      <c r="A305" s="1"/>
      <c r="C305" s="8"/>
      <c r="D305" s="7"/>
      <c r="E305" s="8"/>
    </row>
    <row r="306" spans="1:5" ht="12.75" customHeight="1">
      <c r="A306" s="1"/>
      <c r="C306" s="8"/>
      <c r="D306" s="7"/>
      <c r="E306" s="8"/>
    </row>
    <row r="307" spans="1:5" ht="12.75" customHeight="1">
      <c r="A307" s="1"/>
      <c r="C307" s="8"/>
      <c r="D307" s="7"/>
      <c r="E307" s="8"/>
    </row>
    <row r="308" spans="1:5" ht="12.75" customHeight="1">
      <c r="A308" s="1"/>
      <c r="C308" s="8"/>
      <c r="D308" s="7"/>
      <c r="E308" s="8"/>
    </row>
    <row r="309" spans="1:5" ht="12.75" customHeight="1">
      <c r="A309" s="1"/>
      <c r="C309" s="8"/>
      <c r="D309" s="7"/>
      <c r="E309" s="8"/>
    </row>
    <row r="310" spans="1:5" ht="12.75" customHeight="1">
      <c r="A310" s="1"/>
      <c r="C310" s="8"/>
      <c r="D310" s="7"/>
      <c r="E310" s="8"/>
    </row>
    <row r="311" spans="1:5" ht="12.75" customHeight="1">
      <c r="A311" s="1"/>
      <c r="C311" s="8"/>
      <c r="D311" s="7"/>
      <c r="E311" s="8"/>
    </row>
    <row r="312" spans="1:5" ht="12.75" customHeight="1">
      <c r="A312" s="1"/>
      <c r="C312" s="8"/>
      <c r="D312" s="7"/>
      <c r="E312" s="8"/>
    </row>
    <row r="313" spans="1:5" ht="12.75" customHeight="1">
      <c r="A313" s="1"/>
      <c r="C313" s="8"/>
      <c r="D313" s="7"/>
      <c r="E313" s="8"/>
    </row>
    <row r="314" spans="1:5" ht="12.75" customHeight="1">
      <c r="A314" s="1"/>
      <c r="C314" s="8"/>
      <c r="D314" s="7"/>
      <c r="E314" s="8"/>
    </row>
    <row r="315" spans="1:5" ht="12.75" customHeight="1">
      <c r="A315" s="1"/>
      <c r="C315" s="8"/>
      <c r="D315" s="7"/>
      <c r="E315" s="8"/>
    </row>
    <row r="316" spans="1:5" ht="12.75" customHeight="1">
      <c r="A316" s="1"/>
      <c r="C316" s="8"/>
      <c r="D316" s="7"/>
      <c r="E316" s="8"/>
    </row>
    <row r="317" spans="1:5" ht="12.75" customHeight="1">
      <c r="A317" s="1"/>
      <c r="C317" s="8"/>
      <c r="D317" s="7"/>
      <c r="E317" s="8"/>
    </row>
    <row r="318" spans="1:5" ht="12.75" customHeight="1">
      <c r="A318" s="1"/>
      <c r="C318" s="8"/>
      <c r="D318" s="7"/>
      <c r="E318" s="8"/>
    </row>
    <row r="319" spans="1:5" ht="12.75" customHeight="1">
      <c r="A319" s="1"/>
      <c r="C319" s="8"/>
      <c r="D319" s="7"/>
      <c r="E319" s="8"/>
    </row>
    <row r="320" spans="1:5" ht="12.75" customHeight="1">
      <c r="A320" s="1"/>
      <c r="C320" s="8"/>
      <c r="D320" s="7"/>
      <c r="E320" s="8"/>
    </row>
    <row r="321" spans="1:5" ht="12.75" customHeight="1">
      <c r="A321" s="1"/>
      <c r="C321" s="8"/>
      <c r="D321" s="7"/>
      <c r="E321" s="8"/>
    </row>
    <row r="322" spans="1:5" ht="12.75" customHeight="1">
      <c r="A322" s="1"/>
      <c r="C322" s="8"/>
      <c r="D322" s="7"/>
      <c r="E322" s="8"/>
    </row>
    <row r="323" spans="1:5" ht="12.75" customHeight="1">
      <c r="A323" s="1"/>
      <c r="C323" s="8"/>
      <c r="D323" s="7"/>
      <c r="E323" s="8"/>
    </row>
    <row r="324" spans="1:5" ht="12.75" customHeight="1">
      <c r="A324" s="1"/>
      <c r="C324" s="8"/>
      <c r="D324" s="7"/>
      <c r="E324" s="8"/>
    </row>
    <row r="325" spans="1:5" ht="12.75" customHeight="1">
      <c r="A325" s="1"/>
      <c r="C325" s="8"/>
      <c r="D325" s="7"/>
      <c r="E325" s="8"/>
    </row>
    <row r="326" spans="1:5" ht="12.75" customHeight="1">
      <c r="A326" s="1"/>
      <c r="C326" s="8"/>
      <c r="D326" s="7"/>
      <c r="E326" s="8"/>
    </row>
    <row r="327" spans="1:5" ht="12.75" customHeight="1">
      <c r="A327" s="1"/>
      <c r="C327" s="8"/>
      <c r="D327" s="7"/>
      <c r="E327" s="8"/>
    </row>
    <row r="328" spans="1:5" ht="12.75" customHeight="1">
      <c r="A328" s="1"/>
      <c r="C328" s="8"/>
      <c r="D328" s="7"/>
      <c r="E328" s="8"/>
    </row>
    <row r="329" spans="1:5" ht="12.75" customHeight="1">
      <c r="A329" s="1"/>
      <c r="C329" s="8"/>
      <c r="D329" s="7"/>
      <c r="E329" s="8"/>
    </row>
    <row r="330" spans="1:5" ht="12.75" customHeight="1">
      <c r="A330" s="1"/>
      <c r="C330" s="8"/>
      <c r="D330" s="7"/>
      <c r="E330" s="8"/>
    </row>
    <row r="331" spans="1:5" ht="12.75" customHeight="1">
      <c r="A331" s="1"/>
      <c r="C331" s="8"/>
      <c r="D331" s="7"/>
      <c r="E331" s="8"/>
    </row>
    <row r="332" spans="1:5" ht="12.75" customHeight="1">
      <c r="A332" s="1"/>
      <c r="C332" s="8"/>
      <c r="D332" s="7"/>
      <c r="E332" s="8"/>
    </row>
    <row r="333" spans="1:5" ht="12.75" customHeight="1">
      <c r="A333" s="1"/>
      <c r="C333" s="8"/>
      <c r="D333" s="7"/>
      <c r="E333" s="8"/>
    </row>
    <row r="334" spans="1:5" ht="12.75" customHeight="1">
      <c r="A334" s="1"/>
      <c r="C334" s="8"/>
      <c r="D334" s="7"/>
      <c r="E334" s="8"/>
    </row>
    <row r="335" spans="1:5" ht="12.75" customHeight="1">
      <c r="A335" s="1"/>
      <c r="C335" s="8"/>
      <c r="D335" s="7"/>
      <c r="E335" s="8"/>
    </row>
    <row r="336" spans="1:5" ht="12.75" customHeight="1">
      <c r="A336" s="1"/>
      <c r="C336" s="8"/>
      <c r="D336" s="7"/>
      <c r="E336" s="8"/>
    </row>
    <row r="337" spans="1:5" ht="12.75" customHeight="1">
      <c r="A337" s="1"/>
      <c r="C337" s="8"/>
      <c r="D337" s="7"/>
      <c r="E337" s="8"/>
    </row>
    <row r="338" spans="1:5" ht="12.75" customHeight="1">
      <c r="A338" s="1"/>
      <c r="C338" s="8"/>
      <c r="D338" s="7"/>
      <c r="E338" s="8"/>
    </row>
    <row r="339" spans="1:5" ht="12.75" customHeight="1">
      <c r="A339" s="1"/>
      <c r="C339" s="8"/>
      <c r="D339" s="7"/>
      <c r="E339" s="8"/>
    </row>
    <row r="340" spans="1:5" ht="12.75" customHeight="1">
      <c r="A340" s="1"/>
      <c r="C340" s="8"/>
      <c r="D340" s="7"/>
      <c r="E340" s="8"/>
    </row>
    <row r="341" spans="1:5" ht="12.75" customHeight="1">
      <c r="A341" s="1"/>
      <c r="C341" s="8"/>
      <c r="D341" s="7"/>
      <c r="E341" s="8"/>
    </row>
    <row r="342" spans="1:5" ht="12.75" customHeight="1">
      <c r="A342" s="1"/>
      <c r="C342" s="8"/>
      <c r="D342" s="7"/>
      <c r="E342" s="8"/>
    </row>
    <row r="343" spans="1:5" ht="12.75" customHeight="1">
      <c r="A343" s="1"/>
      <c r="C343" s="8"/>
      <c r="D343" s="7"/>
      <c r="E343" s="8"/>
    </row>
    <row r="344" spans="1:5" ht="12.75" customHeight="1">
      <c r="A344" s="1"/>
      <c r="C344" s="8"/>
      <c r="D344" s="7"/>
      <c r="E344" s="8"/>
    </row>
    <row r="345" spans="1:5" ht="12.75" customHeight="1">
      <c r="A345" s="1"/>
      <c r="C345" s="8"/>
      <c r="D345" s="7"/>
      <c r="E345" s="8"/>
    </row>
    <row r="346" spans="1:5" ht="12.75" customHeight="1">
      <c r="A346" s="1"/>
      <c r="C346" s="8"/>
      <c r="D346" s="7"/>
      <c r="E346" s="8"/>
    </row>
    <row r="347" spans="1:5" ht="12.75" customHeight="1">
      <c r="A347" s="1"/>
      <c r="C347" s="8"/>
      <c r="D347" s="7"/>
      <c r="E347" s="8"/>
    </row>
    <row r="348" spans="1:5" ht="12.75" customHeight="1">
      <c r="A348" s="1"/>
      <c r="C348" s="8"/>
      <c r="D348" s="7"/>
      <c r="E348" s="8"/>
    </row>
    <row r="349" spans="1:5" ht="12.75" customHeight="1">
      <c r="A349" s="1"/>
      <c r="C349" s="8"/>
      <c r="D349" s="7"/>
      <c r="E349" s="8"/>
    </row>
    <row r="350" spans="1:5" ht="12.75" customHeight="1">
      <c r="A350" s="1"/>
      <c r="C350" s="8"/>
      <c r="D350" s="7"/>
      <c r="E350" s="8"/>
    </row>
    <row r="351" spans="1:5" ht="12.75" customHeight="1">
      <c r="A351" s="1"/>
      <c r="C351" s="8"/>
      <c r="D351" s="7"/>
      <c r="E351" s="8"/>
    </row>
    <row r="352" spans="1:5" ht="12.75" customHeight="1">
      <c r="A352" s="1"/>
      <c r="C352" s="8"/>
      <c r="D352" s="7"/>
      <c r="E352" s="8"/>
    </row>
    <row r="353" spans="1:5" ht="12.75" customHeight="1">
      <c r="A353" s="1"/>
      <c r="C353" s="8"/>
      <c r="D353" s="7"/>
      <c r="E353" s="8"/>
    </row>
    <row r="354" spans="1:5" ht="12.75" customHeight="1">
      <c r="A354" s="1"/>
      <c r="C354" s="8"/>
      <c r="D354" s="7"/>
      <c r="E354" s="8"/>
    </row>
    <row r="355" spans="1:5" ht="12.75" customHeight="1">
      <c r="A355" s="1"/>
      <c r="C355" s="8"/>
      <c r="D355" s="7"/>
      <c r="E355" s="8"/>
    </row>
    <row r="356" spans="1:5" ht="12.75" customHeight="1">
      <c r="A356" s="1"/>
      <c r="C356" s="8"/>
      <c r="D356" s="7"/>
      <c r="E356" s="8"/>
    </row>
    <row r="357" spans="1:5" ht="12.75" customHeight="1">
      <c r="A357" s="1"/>
      <c r="C357" s="8"/>
      <c r="D357" s="7"/>
      <c r="E357" s="8"/>
    </row>
    <row r="358" spans="1:5" ht="12.75" customHeight="1">
      <c r="A358" s="1"/>
      <c r="C358" s="8"/>
      <c r="D358" s="7"/>
      <c r="E358" s="8"/>
    </row>
    <row r="359" spans="1:5" ht="12.75" customHeight="1">
      <c r="A359" s="1"/>
      <c r="C359" s="8"/>
      <c r="D359" s="7"/>
      <c r="E359" s="8"/>
    </row>
    <row r="360" spans="1:5" ht="12.75" customHeight="1">
      <c r="A360" s="1"/>
      <c r="C360" s="8"/>
      <c r="D360" s="7"/>
      <c r="E360" s="8"/>
    </row>
    <row r="361" spans="1:5" ht="12.75" customHeight="1">
      <c r="A361" s="1"/>
      <c r="C361" s="8"/>
      <c r="D361" s="7"/>
      <c r="E361" s="8"/>
    </row>
    <row r="362" spans="1:5" ht="12.75" customHeight="1">
      <c r="A362" s="1"/>
      <c r="C362" s="8"/>
      <c r="D362" s="7"/>
      <c r="E362" s="8"/>
    </row>
    <row r="363" spans="1:5" ht="12.75" customHeight="1">
      <c r="A363" s="1"/>
      <c r="C363" s="8"/>
      <c r="D363" s="7"/>
      <c r="E363" s="8"/>
    </row>
    <row r="364" spans="1:5" ht="12.75" customHeight="1">
      <c r="A364" s="1"/>
      <c r="C364" s="8"/>
      <c r="D364" s="7"/>
      <c r="E364" s="8"/>
    </row>
    <row r="365" spans="1:5" ht="12.75" customHeight="1">
      <c r="A365" s="1"/>
      <c r="C365" s="8"/>
      <c r="D365" s="7"/>
      <c r="E365" s="8"/>
    </row>
    <row r="366" spans="1:5" ht="12.75" customHeight="1">
      <c r="A366" s="1"/>
      <c r="C366" s="8"/>
      <c r="D366" s="7"/>
      <c r="E366" s="8"/>
    </row>
    <row r="367" spans="1:5" ht="12.75" customHeight="1">
      <c r="A367" s="1"/>
      <c r="C367" s="8"/>
      <c r="D367" s="7"/>
      <c r="E367" s="8"/>
    </row>
    <row r="368" spans="1:5" ht="12.75" customHeight="1">
      <c r="A368" s="1"/>
      <c r="C368" s="8"/>
      <c r="D368" s="7"/>
      <c r="E368" s="8"/>
    </row>
    <row r="369" spans="1:5" ht="12.75" customHeight="1">
      <c r="A369" s="1"/>
      <c r="C369" s="8"/>
      <c r="D369" s="7"/>
      <c r="E369" s="8"/>
    </row>
    <row r="370" spans="1:5" ht="12.75" customHeight="1">
      <c r="A370" s="1"/>
      <c r="C370" s="8"/>
      <c r="D370" s="7"/>
      <c r="E370" s="8"/>
    </row>
    <row r="371" spans="1:5" ht="12.75" customHeight="1">
      <c r="A371" s="1"/>
      <c r="C371" s="8"/>
      <c r="D371" s="7"/>
      <c r="E371" s="8"/>
    </row>
    <row r="372" spans="1:5" ht="12.75" customHeight="1">
      <c r="A372" s="1"/>
      <c r="C372" s="8"/>
      <c r="D372" s="7"/>
      <c r="E372" s="8"/>
    </row>
    <row r="373" spans="1:5" ht="12.75" customHeight="1">
      <c r="A373" s="1"/>
      <c r="C373" s="8"/>
      <c r="D373" s="7"/>
      <c r="E373" s="8"/>
    </row>
    <row r="374" spans="1:5" ht="12.75" customHeight="1">
      <c r="A374" s="1"/>
      <c r="C374" s="8"/>
      <c r="D374" s="7"/>
      <c r="E374" s="8"/>
    </row>
    <row r="375" spans="1:5" ht="12.75" customHeight="1">
      <c r="A375" s="1"/>
      <c r="C375" s="8"/>
      <c r="D375" s="7"/>
      <c r="E375" s="8"/>
    </row>
    <row r="376" spans="1:5" ht="12.75" customHeight="1">
      <c r="A376" s="1"/>
      <c r="C376" s="8"/>
      <c r="D376" s="7"/>
      <c r="E376" s="8"/>
    </row>
    <row r="377" spans="1:5" ht="12.75" customHeight="1">
      <c r="A377" s="1"/>
      <c r="C377" s="8"/>
      <c r="D377" s="7"/>
      <c r="E377" s="8"/>
    </row>
    <row r="378" spans="1:5" ht="12.75" customHeight="1">
      <c r="A378" s="1"/>
      <c r="C378" s="8"/>
      <c r="D378" s="7"/>
      <c r="E378" s="8"/>
    </row>
    <row r="379" spans="1:5" ht="12.75" customHeight="1">
      <c r="A379" s="1"/>
      <c r="C379" s="8"/>
      <c r="D379" s="7"/>
      <c r="E379" s="8"/>
    </row>
    <row r="380" spans="1:5" ht="12.75" customHeight="1">
      <c r="A380" s="1"/>
      <c r="C380" s="8"/>
      <c r="D380" s="7"/>
      <c r="E380" s="8"/>
    </row>
    <row r="381" spans="1:5" ht="12.75" customHeight="1">
      <c r="A381" s="1"/>
      <c r="C381" s="8"/>
      <c r="D381" s="7"/>
      <c r="E381" s="8"/>
    </row>
    <row r="382" spans="1:5" ht="12.75" customHeight="1">
      <c r="A382" s="1"/>
      <c r="C382" s="8"/>
      <c r="D382" s="7"/>
      <c r="E382" s="8"/>
    </row>
    <row r="383" spans="1:5" ht="12.75" customHeight="1">
      <c r="A383" s="1"/>
      <c r="C383" s="8"/>
      <c r="D383" s="7"/>
      <c r="E383" s="8"/>
    </row>
    <row r="384" spans="1:5" ht="12.75" customHeight="1">
      <c r="A384" s="1"/>
      <c r="C384" s="8"/>
      <c r="D384" s="7"/>
      <c r="E384" s="8"/>
    </row>
    <row r="385" spans="1:5" ht="12.75" customHeight="1">
      <c r="A385" s="1"/>
      <c r="C385" s="8"/>
      <c r="D385" s="7"/>
      <c r="E385" s="8"/>
    </row>
    <row r="386" spans="1:5" ht="12.75" customHeight="1">
      <c r="A386" s="1"/>
      <c r="C386" s="8"/>
      <c r="D386" s="7"/>
      <c r="E386" s="8"/>
    </row>
    <row r="387" spans="1:5" ht="12.75" customHeight="1">
      <c r="A387" s="1"/>
      <c r="C387" s="8"/>
      <c r="D387" s="7"/>
      <c r="E387" s="8"/>
    </row>
    <row r="388" spans="1:5" ht="12.75" customHeight="1">
      <c r="A388" s="1"/>
      <c r="C388" s="8"/>
      <c r="D388" s="7"/>
      <c r="E388" s="8"/>
    </row>
    <row r="389" spans="1:5" ht="12.75" customHeight="1">
      <c r="A389" s="1"/>
      <c r="C389" s="8"/>
      <c r="D389" s="7"/>
      <c r="E389" s="8"/>
    </row>
    <row r="390" spans="1:5" ht="12.75" customHeight="1">
      <c r="A390" s="1"/>
      <c r="C390" s="8"/>
      <c r="D390" s="7"/>
      <c r="E390" s="8"/>
    </row>
    <row r="391" spans="1:5" ht="12.75" customHeight="1">
      <c r="A391" s="1"/>
      <c r="C391" s="8"/>
      <c r="D391" s="7"/>
      <c r="E391" s="8"/>
    </row>
    <row r="392" spans="1:5" ht="12.75" customHeight="1">
      <c r="A392" s="1"/>
      <c r="C392" s="8"/>
      <c r="D392" s="7"/>
      <c r="E392" s="8"/>
    </row>
    <row r="393" spans="1:5" ht="12.75" customHeight="1">
      <c r="A393" s="1"/>
      <c r="C393" s="8"/>
      <c r="D393" s="7"/>
      <c r="E393" s="8"/>
    </row>
    <row r="394" spans="1:5" ht="12.75" customHeight="1">
      <c r="A394" s="1"/>
      <c r="C394" s="8"/>
      <c r="D394" s="7"/>
      <c r="E394" s="8"/>
    </row>
    <row r="395" spans="1:5" ht="12.75" customHeight="1">
      <c r="A395" s="1"/>
      <c r="C395" s="8"/>
      <c r="D395" s="7"/>
      <c r="E395" s="8"/>
    </row>
    <row r="396" spans="1:5" ht="12.75" customHeight="1">
      <c r="A396" s="1"/>
      <c r="C396" s="8"/>
      <c r="D396" s="7"/>
      <c r="E396" s="8"/>
    </row>
    <row r="397" spans="1:5" ht="12.75" customHeight="1">
      <c r="A397" s="1"/>
      <c r="C397" s="8"/>
      <c r="D397" s="7"/>
      <c r="E397" s="8"/>
    </row>
    <row r="398" spans="1:5" ht="12.75" customHeight="1">
      <c r="A398" s="1"/>
      <c r="C398" s="8"/>
      <c r="D398" s="7"/>
      <c r="E398" s="8"/>
    </row>
    <row r="399" spans="1:5" ht="12.75" customHeight="1">
      <c r="A399" s="1"/>
      <c r="C399" s="8"/>
      <c r="D399" s="7"/>
      <c r="E399" s="8"/>
    </row>
    <row r="400" spans="1:5" ht="12.75" customHeight="1">
      <c r="A400" s="1"/>
      <c r="C400" s="8"/>
      <c r="D400" s="7"/>
      <c r="E400" s="8"/>
    </row>
    <row r="401" spans="1:5" ht="12.75" customHeight="1">
      <c r="A401" s="1"/>
      <c r="C401" s="8"/>
      <c r="D401" s="7"/>
      <c r="E401" s="8"/>
    </row>
    <row r="402" spans="1:5" ht="12.75" customHeight="1">
      <c r="A402" s="1"/>
      <c r="C402" s="8"/>
      <c r="D402" s="7"/>
      <c r="E402" s="8"/>
    </row>
    <row r="403" spans="1:5" ht="12.75" customHeight="1">
      <c r="A403" s="1"/>
      <c r="C403" s="8"/>
      <c r="D403" s="7"/>
      <c r="E403" s="8"/>
    </row>
    <row r="404" spans="1:5" ht="12.75" customHeight="1">
      <c r="A404" s="1"/>
      <c r="C404" s="8"/>
      <c r="D404" s="7"/>
      <c r="E404" s="8"/>
    </row>
    <row r="405" spans="1:5" ht="12.75" customHeight="1">
      <c r="A405" s="1"/>
      <c r="C405" s="8"/>
      <c r="D405" s="7"/>
      <c r="E405" s="8"/>
    </row>
    <row r="406" spans="1:5" ht="12.75" customHeight="1">
      <c r="A406" s="1"/>
      <c r="C406" s="8"/>
      <c r="D406" s="7"/>
      <c r="E406" s="8"/>
    </row>
    <row r="407" spans="1:5" ht="12.75" customHeight="1">
      <c r="A407" s="1"/>
      <c r="C407" s="8"/>
      <c r="D407" s="7"/>
      <c r="E407" s="8"/>
    </row>
    <row r="408" spans="1:5" ht="12.75" customHeight="1">
      <c r="A408" s="1"/>
      <c r="C408" s="8"/>
      <c r="D408" s="7"/>
      <c r="E408" s="8"/>
    </row>
    <row r="409" spans="1:5" ht="12.75" customHeight="1">
      <c r="A409" s="1"/>
      <c r="C409" s="8"/>
      <c r="D409" s="7"/>
      <c r="E409" s="8"/>
    </row>
    <row r="410" spans="1:5" ht="12.75" customHeight="1">
      <c r="A410" s="1"/>
      <c r="C410" s="8"/>
      <c r="D410" s="7"/>
      <c r="E410" s="8"/>
    </row>
    <row r="411" spans="1:5" ht="12.75" customHeight="1">
      <c r="A411" s="1"/>
      <c r="C411" s="8"/>
      <c r="D411" s="7"/>
      <c r="E411" s="8"/>
    </row>
    <row r="412" spans="1:5" ht="12.75" customHeight="1">
      <c r="A412" s="1"/>
      <c r="C412" s="8"/>
      <c r="D412" s="7"/>
      <c r="E412" s="8"/>
    </row>
    <row r="413" spans="1:5" ht="12.75" customHeight="1">
      <c r="A413" s="1"/>
      <c r="C413" s="8"/>
      <c r="D413" s="7"/>
      <c r="E413" s="8"/>
    </row>
    <row r="414" spans="1:5" ht="12.75" customHeight="1">
      <c r="A414" s="1"/>
      <c r="C414" s="8"/>
      <c r="D414" s="7"/>
      <c r="E414" s="8"/>
    </row>
    <row r="415" spans="1:5" ht="12.75" customHeight="1">
      <c r="A415" s="1"/>
      <c r="C415" s="8"/>
      <c r="D415" s="7"/>
      <c r="E415" s="8"/>
    </row>
    <row r="416" spans="1:5" ht="12.75" customHeight="1">
      <c r="A416" s="1"/>
      <c r="C416" s="8"/>
      <c r="D416" s="7"/>
      <c r="E416" s="8"/>
    </row>
    <row r="417" spans="1:5" ht="12.75" customHeight="1">
      <c r="A417" s="1"/>
      <c r="C417" s="8"/>
      <c r="D417" s="7"/>
      <c r="E417" s="8"/>
    </row>
    <row r="418" spans="1:5" ht="12.75" customHeight="1">
      <c r="A418" s="1"/>
      <c r="C418" s="8"/>
      <c r="D418" s="7"/>
      <c r="E418" s="8"/>
    </row>
    <row r="419" spans="1:5" ht="12.75" customHeight="1">
      <c r="A419" s="1"/>
      <c r="C419" s="8"/>
      <c r="D419" s="7"/>
      <c r="E419" s="8"/>
    </row>
    <row r="420" spans="1:5" ht="12.75" customHeight="1">
      <c r="A420" s="1"/>
      <c r="C420" s="8"/>
      <c r="D420" s="7"/>
      <c r="E420" s="8"/>
    </row>
    <row r="421" spans="1:5" ht="12.75" customHeight="1">
      <c r="A421" s="1"/>
      <c r="C421" s="8"/>
      <c r="D421" s="7"/>
      <c r="E421" s="8"/>
    </row>
    <row r="422" spans="1:5" ht="12.75" customHeight="1">
      <c r="A422" s="1"/>
      <c r="C422" s="8"/>
      <c r="D422" s="7"/>
      <c r="E422" s="8"/>
    </row>
    <row r="423" spans="1:5" ht="12.75" customHeight="1">
      <c r="A423" s="1"/>
      <c r="C423" s="8"/>
      <c r="D423" s="7"/>
      <c r="E423" s="8"/>
    </row>
    <row r="424" spans="1:5" ht="12.75" customHeight="1">
      <c r="A424" s="1"/>
      <c r="C424" s="8"/>
      <c r="D424" s="7"/>
      <c r="E424" s="8"/>
    </row>
    <row r="425" spans="1:5" ht="12.75" customHeight="1">
      <c r="A425" s="1"/>
      <c r="C425" s="8"/>
      <c r="D425" s="7"/>
      <c r="E425" s="8"/>
    </row>
    <row r="426" spans="1:5" ht="12.75" customHeight="1">
      <c r="A426" s="1"/>
      <c r="C426" s="8"/>
      <c r="D426" s="7"/>
      <c r="E426" s="8"/>
    </row>
    <row r="427" spans="1:5" ht="12.75" customHeight="1">
      <c r="A427" s="1"/>
      <c r="C427" s="8"/>
      <c r="D427" s="7"/>
      <c r="E427" s="8"/>
    </row>
    <row r="428" spans="1:5" ht="12.75" customHeight="1">
      <c r="A428" s="1"/>
      <c r="C428" s="8"/>
      <c r="D428" s="7"/>
      <c r="E428" s="8"/>
    </row>
    <row r="429" spans="1:5" ht="12.75" customHeight="1">
      <c r="A429" s="1"/>
      <c r="C429" s="8"/>
      <c r="D429" s="7"/>
      <c r="E429" s="8"/>
    </row>
    <row r="430" spans="1:5" ht="12.75" customHeight="1">
      <c r="A430" s="1"/>
      <c r="C430" s="8"/>
      <c r="D430" s="7"/>
      <c r="E430" s="8"/>
    </row>
    <row r="431" spans="1:5" ht="12.75" customHeight="1">
      <c r="A431" s="1"/>
      <c r="C431" s="8"/>
      <c r="D431" s="7"/>
      <c r="E431" s="8"/>
    </row>
    <row r="432" spans="1:5" ht="12.75" customHeight="1">
      <c r="A432" s="1"/>
      <c r="C432" s="8"/>
      <c r="D432" s="7"/>
      <c r="E432" s="8"/>
    </row>
    <row r="433" spans="1:5" ht="12.75" customHeight="1">
      <c r="A433" s="1"/>
      <c r="C433" s="8"/>
      <c r="D433" s="7"/>
      <c r="E433" s="8"/>
    </row>
    <row r="434" spans="1:5" ht="12.75" customHeight="1">
      <c r="A434" s="1"/>
      <c r="C434" s="8"/>
      <c r="D434" s="7"/>
      <c r="E434" s="8"/>
    </row>
    <row r="435" spans="1:5" ht="12.75" customHeight="1">
      <c r="A435" s="1"/>
      <c r="C435" s="8"/>
      <c r="D435" s="7"/>
      <c r="E435" s="8"/>
    </row>
    <row r="436" spans="1:5" ht="12.75" customHeight="1">
      <c r="A436" s="1"/>
      <c r="C436" s="8"/>
      <c r="D436" s="7"/>
      <c r="E436" s="8"/>
    </row>
    <row r="437" spans="1:5" ht="12.75" customHeight="1">
      <c r="A437" s="1"/>
      <c r="C437" s="8"/>
      <c r="D437" s="7"/>
      <c r="E437" s="8"/>
    </row>
    <row r="438" spans="1:5" ht="12.75" customHeight="1">
      <c r="A438" s="1"/>
      <c r="C438" s="8"/>
      <c r="D438" s="7"/>
      <c r="E438" s="8"/>
    </row>
    <row r="439" spans="1:5" ht="12.75" customHeight="1">
      <c r="A439" s="1"/>
      <c r="C439" s="8"/>
      <c r="D439" s="7"/>
      <c r="E439" s="8"/>
    </row>
    <row r="440" spans="1:5" ht="12.75" customHeight="1">
      <c r="A440" s="1"/>
      <c r="C440" s="8"/>
      <c r="D440" s="7"/>
      <c r="E440" s="8"/>
    </row>
    <row r="441" spans="1:5" ht="12.75" customHeight="1">
      <c r="A441" s="1"/>
      <c r="C441" s="8"/>
      <c r="D441" s="7"/>
      <c r="E441" s="8"/>
    </row>
    <row r="442" spans="1:5" ht="12.75" customHeight="1">
      <c r="A442" s="1"/>
      <c r="C442" s="8"/>
      <c r="D442" s="7"/>
      <c r="E442" s="8"/>
    </row>
    <row r="443" spans="1:5" ht="12.75" customHeight="1">
      <c r="A443" s="1"/>
      <c r="C443" s="8"/>
      <c r="D443" s="7"/>
      <c r="E443" s="8"/>
    </row>
    <row r="444" spans="1:5" ht="12.75" customHeight="1">
      <c r="A444" s="1"/>
      <c r="C444" s="8"/>
      <c r="D444" s="7"/>
      <c r="E444" s="8"/>
    </row>
    <row r="445" spans="1:5" ht="12.75" customHeight="1">
      <c r="A445" s="1"/>
      <c r="C445" s="8"/>
      <c r="D445" s="7"/>
      <c r="E445" s="8"/>
    </row>
    <row r="446" spans="1:5" ht="12.75" customHeight="1">
      <c r="A446" s="1"/>
      <c r="C446" s="8"/>
      <c r="D446" s="7"/>
      <c r="E446" s="8"/>
    </row>
    <row r="447" spans="1:5" ht="12.75" customHeight="1">
      <c r="A447" s="1"/>
      <c r="C447" s="8"/>
      <c r="D447" s="7"/>
      <c r="E447" s="8"/>
    </row>
    <row r="448" spans="1:5" ht="12.75" customHeight="1">
      <c r="A448" s="1"/>
      <c r="C448" s="8"/>
      <c r="D448" s="7"/>
      <c r="E448" s="8"/>
    </row>
    <row r="449" spans="1:5" ht="12.75" customHeight="1">
      <c r="A449" s="1"/>
      <c r="C449" s="8"/>
      <c r="D449" s="7"/>
      <c r="E449" s="8"/>
    </row>
    <row r="450" spans="1:5" ht="12.75" customHeight="1">
      <c r="A450" s="1"/>
      <c r="C450" s="8"/>
      <c r="D450" s="7"/>
      <c r="E450" s="8"/>
    </row>
    <row r="451" spans="1:5" ht="12.75" customHeight="1">
      <c r="A451" s="1"/>
      <c r="C451" s="8"/>
      <c r="D451" s="7"/>
      <c r="E451" s="8"/>
    </row>
    <row r="452" spans="1:5" ht="12.75" customHeight="1">
      <c r="A452" s="1"/>
      <c r="C452" s="8"/>
      <c r="D452" s="7"/>
      <c r="E452" s="8"/>
    </row>
    <row r="453" spans="1:5" ht="12.75" customHeight="1">
      <c r="A453" s="1"/>
      <c r="C453" s="8"/>
      <c r="D453" s="7"/>
      <c r="E453" s="8"/>
    </row>
    <row r="454" spans="1:5" ht="12.75" customHeight="1">
      <c r="A454" s="1"/>
      <c r="C454" s="8"/>
      <c r="D454" s="7"/>
      <c r="E454" s="8"/>
    </row>
    <row r="455" spans="1:5" ht="12.75" customHeight="1">
      <c r="A455" s="1"/>
      <c r="C455" s="8"/>
      <c r="D455" s="7"/>
      <c r="E455" s="8"/>
    </row>
    <row r="456" spans="1:5" ht="12.75" customHeight="1">
      <c r="A456" s="1"/>
      <c r="C456" s="8"/>
      <c r="D456" s="7"/>
      <c r="E456" s="8"/>
    </row>
    <row r="457" spans="1:5" ht="12.75" customHeight="1">
      <c r="A457" s="1"/>
      <c r="C457" s="8"/>
      <c r="D457" s="7"/>
      <c r="E457" s="8"/>
    </row>
    <row r="458" spans="1:5" ht="12.75" customHeight="1">
      <c r="A458" s="1"/>
      <c r="C458" s="8"/>
      <c r="D458" s="7"/>
      <c r="E458" s="8"/>
    </row>
    <row r="459" spans="1:5" ht="12.75" customHeight="1">
      <c r="A459" s="1"/>
      <c r="C459" s="8"/>
      <c r="D459" s="7"/>
      <c r="E459" s="8"/>
    </row>
    <row r="460" spans="1:5" ht="12.75" customHeight="1">
      <c r="A460" s="1"/>
      <c r="C460" s="8"/>
      <c r="D460" s="7"/>
      <c r="E460" s="8"/>
    </row>
    <row r="461" spans="1:5" ht="12.75" customHeight="1">
      <c r="A461" s="1"/>
      <c r="C461" s="8"/>
      <c r="D461" s="7"/>
      <c r="E461" s="8"/>
    </row>
    <row r="462" spans="1:5" ht="12.75" customHeight="1">
      <c r="A462" s="1"/>
      <c r="C462" s="8"/>
      <c r="D462" s="7"/>
      <c r="E462" s="8"/>
    </row>
    <row r="463" spans="1:5" ht="12.75" customHeight="1">
      <c r="A463" s="1"/>
      <c r="C463" s="8"/>
      <c r="D463" s="7"/>
      <c r="E463" s="8"/>
    </row>
    <row r="464" spans="1:5" ht="12.75" customHeight="1">
      <c r="A464" s="1"/>
      <c r="C464" s="8"/>
      <c r="D464" s="7"/>
      <c r="E464" s="8"/>
    </row>
    <row r="465" spans="1:5" ht="12.75" customHeight="1">
      <c r="A465" s="1"/>
      <c r="C465" s="8"/>
      <c r="D465" s="7"/>
      <c r="E465" s="8"/>
    </row>
    <row r="466" spans="1:5" ht="12.75" customHeight="1">
      <c r="A466" s="1"/>
      <c r="C466" s="8"/>
      <c r="D466" s="7"/>
      <c r="E466" s="8"/>
    </row>
    <row r="467" spans="1:5" ht="12.75" customHeight="1">
      <c r="A467" s="1"/>
      <c r="C467" s="8"/>
      <c r="D467" s="7"/>
      <c r="E467" s="8"/>
    </row>
    <row r="468" spans="1:5" ht="12.75" customHeight="1">
      <c r="A468" s="1"/>
      <c r="C468" s="8"/>
      <c r="D468" s="7"/>
      <c r="E468" s="8"/>
    </row>
    <row r="469" spans="1:5" ht="12.75" customHeight="1">
      <c r="A469" s="1"/>
      <c r="C469" s="8"/>
      <c r="D469" s="7"/>
      <c r="E469" s="8"/>
    </row>
    <row r="470" spans="1:5" ht="12.75" customHeight="1">
      <c r="A470" s="1"/>
      <c r="C470" s="8"/>
      <c r="D470" s="7"/>
      <c r="E470" s="8"/>
    </row>
    <row r="471" spans="1:5" ht="12.75" customHeight="1">
      <c r="A471" s="1"/>
      <c r="C471" s="8"/>
      <c r="D471" s="7"/>
      <c r="E471" s="8"/>
    </row>
    <row r="472" spans="1:5" ht="12.75" customHeight="1">
      <c r="A472" s="1"/>
      <c r="C472" s="8"/>
      <c r="D472" s="7"/>
      <c r="E472" s="8"/>
    </row>
    <row r="473" spans="1:5" ht="12.75" customHeight="1">
      <c r="A473" s="1"/>
      <c r="C473" s="8"/>
      <c r="D473" s="7"/>
      <c r="E473" s="8"/>
    </row>
    <row r="474" spans="1:5" ht="12.75" customHeight="1">
      <c r="A474" s="1"/>
      <c r="C474" s="8"/>
      <c r="D474" s="7"/>
      <c r="E474" s="8"/>
    </row>
    <row r="475" spans="1:5" ht="12.75" customHeight="1">
      <c r="A475" s="1"/>
      <c r="C475" s="8"/>
      <c r="D475" s="7"/>
      <c r="E475" s="8"/>
    </row>
    <row r="476" spans="1:5" ht="12.75" customHeight="1">
      <c r="A476" s="1"/>
      <c r="C476" s="8"/>
      <c r="D476" s="7"/>
      <c r="E476" s="8"/>
    </row>
    <row r="477" spans="1:5" ht="12.75" customHeight="1">
      <c r="A477" s="1"/>
      <c r="C477" s="8"/>
      <c r="D477" s="7"/>
      <c r="E477" s="8"/>
    </row>
    <row r="478" spans="1:5" ht="12.75" customHeight="1">
      <c r="A478" s="1"/>
      <c r="C478" s="8"/>
      <c r="D478" s="7"/>
      <c r="E478" s="8"/>
    </row>
    <row r="479" spans="1:5" ht="12.75" customHeight="1">
      <c r="A479" s="1"/>
      <c r="C479" s="8"/>
      <c r="D479" s="7"/>
      <c r="E479" s="8"/>
    </row>
    <row r="480" spans="1:5" ht="12.75" customHeight="1">
      <c r="A480" s="1"/>
      <c r="C480" s="8"/>
      <c r="D480" s="7"/>
      <c r="E480" s="8"/>
    </row>
    <row r="481" spans="1:5" ht="12.75" customHeight="1">
      <c r="A481" s="1"/>
      <c r="C481" s="8"/>
      <c r="D481" s="7"/>
      <c r="E481" s="8"/>
    </row>
    <row r="482" spans="1:5" ht="12.75" customHeight="1">
      <c r="A482" s="1"/>
      <c r="C482" s="8"/>
      <c r="D482" s="7"/>
      <c r="E482" s="8"/>
    </row>
    <row r="483" spans="1:5" ht="12.75" customHeight="1">
      <c r="A483" s="1"/>
      <c r="C483" s="8"/>
      <c r="D483" s="7"/>
      <c r="E483" s="8"/>
    </row>
    <row r="484" spans="1:5" ht="12.75" customHeight="1">
      <c r="A484" s="1"/>
      <c r="C484" s="8"/>
      <c r="D484" s="7"/>
      <c r="E484" s="8"/>
    </row>
    <row r="485" spans="1:5" ht="12.75" customHeight="1">
      <c r="A485" s="1"/>
      <c r="C485" s="8"/>
      <c r="D485" s="7"/>
      <c r="E485" s="8"/>
    </row>
    <row r="486" spans="1:5" ht="12.75" customHeight="1">
      <c r="A486" s="1"/>
      <c r="C486" s="8"/>
      <c r="D486" s="7"/>
      <c r="E486" s="8"/>
    </row>
    <row r="487" spans="1:5" ht="12.75" customHeight="1">
      <c r="A487" s="1"/>
      <c r="C487" s="8"/>
      <c r="D487" s="7"/>
      <c r="E487" s="8"/>
    </row>
    <row r="488" spans="1:5" ht="12.75" customHeight="1">
      <c r="A488" s="1"/>
      <c r="C488" s="8"/>
      <c r="D488" s="7"/>
      <c r="E488" s="8"/>
    </row>
    <row r="489" spans="1:5" ht="12.75" customHeight="1">
      <c r="A489" s="1"/>
      <c r="C489" s="8"/>
      <c r="D489" s="7"/>
      <c r="E489" s="8"/>
    </row>
    <row r="490" spans="1:5" ht="12.75" customHeight="1">
      <c r="A490" s="1"/>
      <c r="C490" s="8"/>
      <c r="D490" s="7"/>
      <c r="E490" s="8"/>
    </row>
    <row r="491" spans="1:5" ht="12.75" customHeight="1">
      <c r="A491" s="1"/>
      <c r="C491" s="8"/>
      <c r="D491" s="7"/>
      <c r="E491" s="8"/>
    </row>
    <row r="492" spans="1:5" ht="12.75" customHeight="1">
      <c r="A492" s="1"/>
      <c r="C492" s="8"/>
      <c r="D492" s="7"/>
      <c r="E492" s="8"/>
    </row>
    <row r="493" spans="1:5" ht="12.75" customHeight="1">
      <c r="A493" s="1"/>
      <c r="C493" s="8"/>
      <c r="D493" s="7"/>
      <c r="E493" s="8"/>
    </row>
    <row r="494" spans="1:5" ht="12.75" customHeight="1">
      <c r="A494" s="1"/>
      <c r="C494" s="8"/>
      <c r="D494" s="7"/>
      <c r="E494" s="8"/>
    </row>
    <row r="495" spans="1:5" ht="12.75" customHeight="1">
      <c r="A495" s="1"/>
      <c r="C495" s="8"/>
      <c r="D495" s="7"/>
      <c r="E495" s="8"/>
    </row>
    <row r="496" spans="1:5" ht="12.75" customHeight="1">
      <c r="A496" s="1"/>
      <c r="C496" s="8"/>
      <c r="D496" s="7"/>
      <c r="E496" s="8"/>
    </row>
    <row r="497" spans="1:5" ht="12.75" customHeight="1">
      <c r="A497" s="1"/>
      <c r="C497" s="8"/>
      <c r="D497" s="7"/>
      <c r="E497" s="8"/>
    </row>
    <row r="498" spans="1:5" ht="12.75" customHeight="1">
      <c r="A498" s="1"/>
      <c r="C498" s="8"/>
      <c r="D498" s="7"/>
      <c r="E498" s="8"/>
    </row>
    <row r="499" spans="1:5" ht="12.75" customHeight="1">
      <c r="A499" s="1"/>
      <c r="C499" s="8"/>
      <c r="D499" s="7"/>
      <c r="E499" s="8"/>
    </row>
    <row r="500" spans="1:5" ht="12.75" customHeight="1">
      <c r="A500" s="1"/>
      <c r="C500" s="8"/>
      <c r="D500" s="7"/>
      <c r="E500" s="8"/>
    </row>
    <row r="501" spans="1:5" ht="12.75" customHeight="1">
      <c r="A501" s="1"/>
      <c r="C501" s="8"/>
      <c r="D501" s="7"/>
      <c r="E501" s="8"/>
    </row>
    <row r="502" spans="1:5" ht="12.75" customHeight="1">
      <c r="A502" s="1"/>
      <c r="C502" s="8"/>
      <c r="D502" s="7"/>
      <c r="E502" s="8"/>
    </row>
    <row r="503" spans="1:5" ht="12.75" customHeight="1">
      <c r="A503" s="1"/>
      <c r="C503" s="8"/>
      <c r="D503" s="7"/>
      <c r="E503" s="8"/>
    </row>
    <row r="504" spans="1:5" ht="12.75" customHeight="1">
      <c r="A504" s="1"/>
      <c r="C504" s="8"/>
      <c r="D504" s="7"/>
      <c r="E504" s="8"/>
    </row>
    <row r="505" spans="1:5" ht="12.75" customHeight="1">
      <c r="A505" s="1"/>
      <c r="C505" s="8"/>
      <c r="D505" s="7"/>
      <c r="E505" s="8"/>
    </row>
    <row r="506" spans="1:5" ht="12.75" customHeight="1">
      <c r="A506" s="1"/>
      <c r="C506" s="8"/>
      <c r="D506" s="7"/>
      <c r="E506" s="8"/>
    </row>
    <row r="507" spans="1:5" ht="12.75" customHeight="1">
      <c r="A507" s="1"/>
      <c r="C507" s="8"/>
      <c r="D507" s="7"/>
      <c r="E507" s="8"/>
    </row>
    <row r="508" spans="1:5" ht="12.75" customHeight="1">
      <c r="A508" s="1"/>
      <c r="C508" s="8"/>
      <c r="D508" s="7"/>
      <c r="E508" s="8"/>
    </row>
    <row r="509" spans="1:5" ht="12.75" customHeight="1">
      <c r="A509" s="1"/>
      <c r="C509" s="8"/>
      <c r="D509" s="7"/>
      <c r="E509" s="8"/>
    </row>
    <row r="510" spans="1:5" ht="12.75" customHeight="1">
      <c r="A510" s="1"/>
      <c r="C510" s="8"/>
      <c r="D510" s="7"/>
      <c r="E510" s="8"/>
    </row>
    <row r="511" spans="1:5" ht="12.75" customHeight="1">
      <c r="A511" s="1"/>
      <c r="C511" s="8"/>
      <c r="D511" s="7"/>
      <c r="E511" s="8"/>
    </row>
    <row r="512" spans="1:5" ht="12.75" customHeight="1">
      <c r="A512" s="1"/>
      <c r="C512" s="8"/>
      <c r="D512" s="7"/>
      <c r="E512" s="8"/>
    </row>
    <row r="513" spans="1:5" ht="12.75" customHeight="1">
      <c r="A513" s="1"/>
      <c r="C513" s="8"/>
      <c r="D513" s="7"/>
      <c r="E513" s="8"/>
    </row>
    <row r="514" spans="1:5" ht="12.75" customHeight="1">
      <c r="A514" s="1"/>
      <c r="C514" s="8"/>
      <c r="D514" s="7"/>
      <c r="E514" s="8"/>
    </row>
    <row r="515" spans="1:5" ht="12.75" customHeight="1">
      <c r="A515" s="1"/>
      <c r="C515" s="8"/>
      <c r="D515" s="7"/>
      <c r="E515" s="8"/>
    </row>
    <row r="516" spans="1:5" ht="12.75" customHeight="1">
      <c r="A516" s="1"/>
      <c r="C516" s="8"/>
      <c r="D516" s="7"/>
      <c r="E516" s="8"/>
    </row>
    <row r="517" spans="1:5" ht="12.75" customHeight="1">
      <c r="A517" s="1"/>
      <c r="C517" s="8"/>
      <c r="D517" s="7"/>
      <c r="E517" s="8"/>
    </row>
    <row r="518" spans="1:5" ht="12.75" customHeight="1">
      <c r="A518" s="1"/>
      <c r="C518" s="8"/>
      <c r="D518" s="7"/>
      <c r="E518" s="8"/>
    </row>
    <row r="519" spans="1:5" ht="12.75" customHeight="1">
      <c r="A519" s="1"/>
      <c r="C519" s="8"/>
      <c r="D519" s="7"/>
      <c r="E519" s="8"/>
    </row>
    <row r="520" spans="1:5" ht="12.75" customHeight="1">
      <c r="A520" s="1"/>
      <c r="C520" s="8"/>
      <c r="D520" s="7"/>
      <c r="E520" s="8"/>
    </row>
    <row r="521" spans="1:5" ht="12.75" customHeight="1">
      <c r="A521" s="1"/>
      <c r="C521" s="8"/>
      <c r="D521" s="7"/>
      <c r="E521" s="8"/>
    </row>
    <row r="522" spans="1:5" ht="12.75" customHeight="1">
      <c r="A522" s="1"/>
      <c r="C522" s="8"/>
      <c r="D522" s="7"/>
      <c r="E522" s="8"/>
    </row>
    <row r="523" spans="1:5" ht="12.75" customHeight="1">
      <c r="A523" s="1"/>
      <c r="C523" s="8"/>
      <c r="D523" s="7"/>
      <c r="E523" s="8"/>
    </row>
    <row r="524" spans="1:5" ht="12.75" customHeight="1">
      <c r="A524" s="1"/>
      <c r="C524" s="8"/>
      <c r="D524" s="7"/>
      <c r="E524" s="8"/>
    </row>
    <row r="525" spans="1:5" ht="12.75" customHeight="1">
      <c r="A525" s="1"/>
      <c r="C525" s="8"/>
      <c r="D525" s="7"/>
      <c r="E525" s="8"/>
    </row>
    <row r="526" spans="1:5" ht="12.75" customHeight="1">
      <c r="A526" s="1"/>
      <c r="C526" s="8"/>
      <c r="D526" s="7"/>
      <c r="E526" s="8"/>
    </row>
    <row r="527" spans="1:5" ht="12.75" customHeight="1">
      <c r="A527" s="1"/>
      <c r="C527" s="8"/>
      <c r="D527" s="7"/>
      <c r="E527" s="8"/>
    </row>
    <row r="528" spans="1:5" ht="12.75" customHeight="1">
      <c r="A528" s="1"/>
      <c r="C528" s="8"/>
      <c r="D528" s="7"/>
      <c r="E528" s="8"/>
    </row>
    <row r="529" spans="1:5" ht="12.75" customHeight="1">
      <c r="A529" s="1"/>
      <c r="C529" s="8"/>
      <c r="D529" s="7"/>
      <c r="E529" s="8"/>
    </row>
    <row r="530" spans="1:5" ht="12.75" customHeight="1">
      <c r="A530" s="1"/>
      <c r="C530" s="8"/>
      <c r="D530" s="7"/>
      <c r="E530" s="8"/>
    </row>
    <row r="531" spans="1:5" ht="12.75" customHeight="1">
      <c r="A531" s="1"/>
      <c r="C531" s="8"/>
      <c r="D531" s="7"/>
      <c r="E531" s="8"/>
    </row>
    <row r="532" spans="1:5" ht="12.75" customHeight="1">
      <c r="A532" s="1"/>
      <c r="C532" s="8"/>
      <c r="D532" s="7"/>
      <c r="E532" s="8"/>
    </row>
    <row r="533" spans="1:5" ht="12.75" customHeight="1">
      <c r="A533" s="1"/>
      <c r="C533" s="8"/>
      <c r="D533" s="7"/>
      <c r="E533" s="8"/>
    </row>
    <row r="534" spans="1:5" ht="12.75" customHeight="1">
      <c r="A534" s="1"/>
      <c r="C534" s="8"/>
      <c r="D534" s="7"/>
      <c r="E534" s="8"/>
    </row>
    <row r="535" spans="1:5" ht="12.75" customHeight="1">
      <c r="A535" s="1"/>
      <c r="C535" s="8"/>
      <c r="D535" s="7"/>
      <c r="E535" s="8"/>
    </row>
    <row r="536" spans="1:5" ht="12.75" customHeight="1">
      <c r="A536" s="1"/>
      <c r="C536" s="8"/>
      <c r="D536" s="7"/>
      <c r="E536" s="8"/>
    </row>
    <row r="537" spans="1:5" ht="12.75" customHeight="1">
      <c r="A537" s="1"/>
      <c r="C537" s="8"/>
      <c r="D537" s="7"/>
      <c r="E537" s="8"/>
    </row>
    <row r="538" spans="1:5" ht="12.75" customHeight="1">
      <c r="A538" s="1"/>
      <c r="C538" s="8"/>
      <c r="D538" s="7"/>
      <c r="E538" s="8"/>
    </row>
    <row r="539" spans="1:5" ht="12.75" customHeight="1">
      <c r="A539" s="1"/>
      <c r="C539" s="8"/>
      <c r="D539" s="7"/>
      <c r="E539" s="8"/>
    </row>
    <row r="540" spans="1:5" ht="12.75" customHeight="1">
      <c r="A540" s="1"/>
      <c r="C540" s="8"/>
      <c r="D540" s="7"/>
      <c r="E540" s="8"/>
    </row>
    <row r="541" spans="1:5" ht="12.75" customHeight="1">
      <c r="A541" s="1"/>
      <c r="C541" s="8"/>
      <c r="D541" s="7"/>
      <c r="E541" s="8"/>
    </row>
    <row r="542" spans="1:5" ht="12.75" customHeight="1">
      <c r="A542" s="1"/>
      <c r="C542" s="8"/>
      <c r="D542" s="7"/>
      <c r="E542" s="8"/>
    </row>
    <row r="543" spans="1:5" ht="12.75" customHeight="1">
      <c r="A543" s="1"/>
      <c r="C543" s="8"/>
      <c r="D543" s="7"/>
      <c r="E543" s="8"/>
    </row>
    <row r="544" spans="1:5" ht="12.75" customHeight="1">
      <c r="A544" s="1"/>
      <c r="C544" s="8"/>
      <c r="D544" s="7"/>
      <c r="E544" s="8"/>
    </row>
    <row r="545" spans="1:5" ht="12.75" customHeight="1">
      <c r="A545" s="1"/>
      <c r="C545" s="8"/>
      <c r="D545" s="7"/>
      <c r="E545" s="8"/>
    </row>
    <row r="546" spans="1:5" ht="12.75" customHeight="1">
      <c r="A546" s="1"/>
      <c r="C546" s="8"/>
      <c r="D546" s="7"/>
      <c r="E546" s="8"/>
    </row>
    <row r="547" spans="1:5" ht="12.75" customHeight="1">
      <c r="A547" s="1"/>
      <c r="C547" s="8"/>
      <c r="D547" s="7"/>
      <c r="E547" s="8"/>
    </row>
    <row r="548" spans="1:5" ht="12.75" customHeight="1">
      <c r="A548" s="1"/>
      <c r="C548" s="8"/>
      <c r="D548" s="7"/>
      <c r="E548" s="8"/>
    </row>
    <row r="549" spans="1:5" ht="12.75" customHeight="1">
      <c r="A549" s="1"/>
      <c r="C549" s="8"/>
      <c r="D549" s="7"/>
      <c r="E549" s="8"/>
    </row>
    <row r="550" spans="1:5" ht="12.75" customHeight="1">
      <c r="A550" s="1"/>
      <c r="C550" s="8"/>
      <c r="D550" s="7"/>
      <c r="E550" s="8"/>
    </row>
    <row r="551" spans="1:5" ht="12.75" customHeight="1">
      <c r="A551" s="1"/>
      <c r="C551" s="8"/>
      <c r="D551" s="7"/>
      <c r="E551" s="8"/>
    </row>
    <row r="552" spans="1:5" ht="12.75" customHeight="1">
      <c r="A552" s="1"/>
      <c r="C552" s="8"/>
      <c r="D552" s="7"/>
      <c r="E552" s="8"/>
    </row>
    <row r="553" spans="1:5" ht="12.75" customHeight="1">
      <c r="A553" s="1"/>
      <c r="C553" s="8"/>
      <c r="D553" s="7"/>
      <c r="E553" s="8"/>
    </row>
    <row r="554" spans="1:5" ht="12.75" customHeight="1">
      <c r="A554" s="1"/>
      <c r="C554" s="8"/>
      <c r="D554" s="7"/>
      <c r="E554" s="8"/>
    </row>
    <row r="555" spans="1:5" ht="12.75" customHeight="1">
      <c r="A555" s="1"/>
      <c r="C555" s="8"/>
      <c r="D555" s="7"/>
      <c r="E555" s="8"/>
    </row>
    <row r="556" spans="1:5" ht="12.75" customHeight="1">
      <c r="A556" s="1"/>
      <c r="C556" s="8"/>
      <c r="D556" s="7"/>
      <c r="E556" s="8"/>
    </row>
    <row r="557" spans="1:5" ht="12.75" customHeight="1">
      <c r="A557" s="1"/>
      <c r="C557" s="8"/>
      <c r="D557" s="7"/>
      <c r="E557" s="8"/>
    </row>
    <row r="558" spans="1:5" ht="12.75" customHeight="1">
      <c r="A558" s="1"/>
      <c r="C558" s="8"/>
      <c r="D558" s="7"/>
      <c r="E558" s="8"/>
    </row>
    <row r="559" spans="1:5" ht="12.75" customHeight="1">
      <c r="A559" s="1"/>
      <c r="C559" s="8"/>
      <c r="D559" s="7"/>
      <c r="E559" s="8"/>
    </row>
    <row r="560" spans="1:5" ht="12.75" customHeight="1">
      <c r="A560" s="1"/>
      <c r="C560" s="8"/>
      <c r="D560" s="7"/>
      <c r="E560" s="8"/>
    </row>
    <row r="561" spans="1:5" ht="12.75" customHeight="1">
      <c r="A561" s="1"/>
      <c r="C561" s="8"/>
      <c r="D561" s="7"/>
      <c r="E561" s="8"/>
    </row>
    <row r="562" spans="1:5" ht="12.75" customHeight="1">
      <c r="A562" s="1"/>
      <c r="C562" s="8"/>
      <c r="D562" s="7"/>
      <c r="E562" s="8"/>
    </row>
    <row r="563" spans="1:5" ht="12.75" customHeight="1">
      <c r="A563" s="1"/>
      <c r="C563" s="8"/>
      <c r="D563" s="7"/>
      <c r="E563" s="8"/>
    </row>
    <row r="564" spans="1:5" ht="12.75" customHeight="1">
      <c r="A564" s="1"/>
      <c r="C564" s="8"/>
      <c r="D564" s="7"/>
      <c r="E564" s="8"/>
    </row>
    <row r="565" spans="1:5" ht="12.75" customHeight="1">
      <c r="A565" s="1"/>
      <c r="C565" s="8"/>
      <c r="D565" s="7"/>
      <c r="E565" s="8"/>
    </row>
    <row r="566" spans="1:5" ht="12.75" customHeight="1">
      <c r="A566" s="1"/>
      <c r="C566" s="8"/>
      <c r="D566" s="7"/>
      <c r="E566" s="8"/>
    </row>
    <row r="567" spans="1:5" ht="12.75" customHeight="1">
      <c r="A567" s="1"/>
      <c r="C567" s="8"/>
      <c r="D567" s="7"/>
      <c r="E567" s="8"/>
    </row>
    <row r="568" spans="1:5" ht="12.75" customHeight="1">
      <c r="A568" s="1"/>
      <c r="C568" s="8"/>
      <c r="D568" s="7"/>
      <c r="E568" s="8"/>
    </row>
    <row r="569" spans="1:5" ht="12.75" customHeight="1">
      <c r="A569" s="1"/>
      <c r="C569" s="8"/>
      <c r="D569" s="7"/>
      <c r="E569" s="8"/>
    </row>
    <row r="570" spans="1:5" ht="12.75" customHeight="1">
      <c r="A570" s="1"/>
      <c r="C570" s="8"/>
      <c r="D570" s="7"/>
      <c r="E570" s="8"/>
    </row>
    <row r="571" spans="1:5" ht="12.75" customHeight="1">
      <c r="A571" s="1"/>
      <c r="C571" s="8"/>
      <c r="D571" s="7"/>
      <c r="E571" s="8"/>
    </row>
    <row r="572" spans="1:5" ht="12.75" customHeight="1">
      <c r="A572" s="1"/>
      <c r="C572" s="8"/>
      <c r="D572" s="7"/>
      <c r="E572" s="8"/>
    </row>
    <row r="573" spans="1:5" ht="12.75" customHeight="1">
      <c r="A573" s="1"/>
      <c r="C573" s="8"/>
      <c r="D573" s="7"/>
      <c r="E573" s="8"/>
    </row>
    <row r="574" spans="1:5" ht="12.75" customHeight="1">
      <c r="A574" s="1"/>
      <c r="C574" s="8"/>
      <c r="D574" s="7"/>
      <c r="E574" s="8"/>
    </row>
    <row r="575" spans="1:5" ht="12.75" customHeight="1">
      <c r="A575" s="1"/>
      <c r="C575" s="8"/>
      <c r="D575" s="7"/>
      <c r="E575" s="8"/>
    </row>
    <row r="576" spans="1:5" ht="12.75" customHeight="1">
      <c r="A576" s="1"/>
      <c r="C576" s="8"/>
      <c r="D576" s="7"/>
      <c r="E576" s="8"/>
    </row>
    <row r="577" spans="1:5" ht="12.75" customHeight="1">
      <c r="A577" s="1"/>
      <c r="C577" s="8"/>
      <c r="D577" s="7"/>
      <c r="E577" s="8"/>
    </row>
    <row r="578" spans="1:5" ht="12.75" customHeight="1">
      <c r="A578" s="1"/>
      <c r="C578" s="8"/>
      <c r="D578" s="7"/>
      <c r="E578" s="8"/>
    </row>
    <row r="579" spans="1:5" ht="12.75" customHeight="1">
      <c r="A579" s="1"/>
      <c r="C579" s="8"/>
      <c r="D579" s="7"/>
      <c r="E579" s="8"/>
    </row>
    <row r="580" spans="1:5" ht="12.75" customHeight="1">
      <c r="A580" s="1"/>
      <c r="C580" s="8"/>
      <c r="D580" s="7"/>
      <c r="E580" s="8"/>
    </row>
    <row r="581" spans="1:5" ht="12.75" customHeight="1">
      <c r="A581" s="1"/>
      <c r="C581" s="8"/>
      <c r="D581" s="7"/>
      <c r="E581" s="8"/>
    </row>
    <row r="582" spans="1:5" ht="12.75" customHeight="1">
      <c r="A582" s="1"/>
      <c r="C582" s="8"/>
      <c r="D582" s="7"/>
      <c r="E582" s="8"/>
    </row>
    <row r="583" spans="1:5" ht="12.75" customHeight="1">
      <c r="A583" s="1"/>
      <c r="C583" s="8"/>
      <c r="D583" s="7"/>
      <c r="E583" s="8"/>
    </row>
    <row r="584" spans="1:5" ht="12.75" customHeight="1">
      <c r="A584" s="1"/>
      <c r="C584" s="8"/>
      <c r="D584" s="7"/>
      <c r="E584" s="8"/>
    </row>
    <row r="585" spans="1:5" ht="12.75" customHeight="1">
      <c r="A585" s="1"/>
      <c r="C585" s="8"/>
      <c r="D585" s="7"/>
      <c r="E585" s="8"/>
    </row>
    <row r="586" spans="1:5" ht="12.75" customHeight="1">
      <c r="A586" s="1"/>
      <c r="C586" s="8"/>
      <c r="D586" s="7"/>
      <c r="E586" s="8"/>
    </row>
    <row r="587" spans="1:5" ht="12.75" customHeight="1">
      <c r="A587" s="1"/>
      <c r="C587" s="8"/>
      <c r="D587" s="7"/>
      <c r="E587" s="8"/>
    </row>
    <row r="588" spans="1:5" ht="12.75" customHeight="1">
      <c r="A588" s="1"/>
      <c r="C588" s="8"/>
      <c r="D588" s="7"/>
      <c r="E588" s="8"/>
    </row>
    <row r="589" spans="1:5" ht="12.75" customHeight="1">
      <c r="A589" s="1"/>
      <c r="C589" s="8"/>
      <c r="D589" s="7"/>
      <c r="E589" s="8"/>
    </row>
    <row r="590" spans="1:5" ht="12.75" customHeight="1">
      <c r="A590" s="1"/>
      <c r="C590" s="8"/>
      <c r="D590" s="7"/>
      <c r="E590" s="8"/>
    </row>
    <row r="591" spans="1:5" ht="12.75" customHeight="1">
      <c r="A591" s="1"/>
      <c r="C591" s="8"/>
      <c r="D591" s="7"/>
      <c r="E591" s="8"/>
    </row>
    <row r="592" spans="1:5" ht="12.75" customHeight="1">
      <c r="A592" s="1"/>
      <c r="C592" s="8"/>
      <c r="D592" s="7"/>
      <c r="E592" s="8"/>
    </row>
    <row r="593" spans="1:5" ht="12.75" customHeight="1">
      <c r="A593" s="1"/>
      <c r="C593" s="8"/>
      <c r="D593" s="7"/>
      <c r="E593" s="8"/>
    </row>
    <row r="594" spans="1:5" ht="12.75" customHeight="1">
      <c r="A594" s="1"/>
      <c r="C594" s="8"/>
      <c r="D594" s="7"/>
      <c r="E594" s="8"/>
    </row>
    <row r="595" spans="1:5" ht="12.75" customHeight="1">
      <c r="A595" s="1"/>
      <c r="C595" s="8"/>
      <c r="D595" s="7"/>
      <c r="E595" s="8"/>
    </row>
    <row r="596" spans="1:5" ht="12.75" customHeight="1">
      <c r="A596" s="1"/>
      <c r="C596" s="8"/>
      <c r="D596" s="7"/>
      <c r="E596" s="8"/>
    </row>
    <row r="597" spans="1:5" ht="12.75" customHeight="1">
      <c r="A597" s="1"/>
      <c r="C597" s="8"/>
      <c r="D597" s="7"/>
      <c r="E597" s="8"/>
    </row>
    <row r="598" spans="1:5" ht="12.75" customHeight="1">
      <c r="A598" s="1"/>
      <c r="C598" s="8"/>
      <c r="D598" s="7"/>
      <c r="E598" s="8"/>
    </row>
    <row r="599" spans="1:5" ht="12.75" customHeight="1">
      <c r="A599" s="1"/>
      <c r="C599" s="8"/>
      <c r="D599" s="7"/>
      <c r="E599" s="8"/>
    </row>
    <row r="600" spans="1:5" ht="12.75" customHeight="1">
      <c r="A600" s="1"/>
      <c r="C600" s="8"/>
      <c r="D600" s="7"/>
      <c r="E600" s="8"/>
    </row>
    <row r="601" spans="1:5" ht="12.75" customHeight="1">
      <c r="A601" s="1"/>
      <c r="C601" s="8"/>
      <c r="D601" s="7"/>
      <c r="E601" s="8"/>
    </row>
    <row r="602" spans="1:5" ht="12.75" customHeight="1">
      <c r="A602" s="1"/>
      <c r="C602" s="8"/>
      <c r="D602" s="7"/>
      <c r="E602" s="8"/>
    </row>
    <row r="603" spans="1:5" ht="12.75" customHeight="1">
      <c r="A603" s="1"/>
      <c r="C603" s="8"/>
      <c r="D603" s="7"/>
      <c r="E603" s="8"/>
    </row>
    <row r="604" spans="1:5" ht="12.75" customHeight="1">
      <c r="A604" s="1"/>
      <c r="C604" s="8"/>
      <c r="D604" s="7"/>
      <c r="E604" s="8"/>
    </row>
    <row r="605" spans="1:5" ht="12.75" customHeight="1">
      <c r="A605" s="1"/>
      <c r="C605" s="8"/>
      <c r="D605" s="7"/>
      <c r="E605" s="8"/>
    </row>
    <row r="606" spans="1:5" ht="12.75" customHeight="1">
      <c r="A606" s="1"/>
      <c r="C606" s="8"/>
      <c r="D606" s="7"/>
      <c r="E606" s="8"/>
    </row>
    <row r="607" spans="1:5" ht="12.75" customHeight="1">
      <c r="A607" s="1"/>
      <c r="C607" s="8"/>
      <c r="D607" s="7"/>
      <c r="E607" s="8"/>
    </row>
    <row r="608" spans="1:5" ht="12.75" customHeight="1">
      <c r="A608" s="1"/>
      <c r="C608" s="8"/>
      <c r="D608" s="7"/>
      <c r="E608" s="8"/>
    </row>
    <row r="609" spans="1:5" ht="12.75" customHeight="1">
      <c r="A609" s="1"/>
      <c r="C609" s="8"/>
      <c r="D609" s="7"/>
      <c r="E609" s="8"/>
    </row>
    <row r="610" spans="1:5" ht="12.75" customHeight="1">
      <c r="A610" s="1"/>
      <c r="C610" s="8"/>
      <c r="D610" s="7"/>
      <c r="E610" s="8"/>
    </row>
    <row r="611" spans="1:5" ht="12.75" customHeight="1">
      <c r="A611" s="1"/>
      <c r="C611" s="8"/>
      <c r="D611" s="7"/>
      <c r="E611" s="8"/>
    </row>
    <row r="612" spans="1:5" ht="12.75" customHeight="1">
      <c r="A612" s="1"/>
      <c r="C612" s="8"/>
      <c r="D612" s="7"/>
      <c r="E612" s="8"/>
    </row>
    <row r="613" spans="1:5" ht="12.75" customHeight="1">
      <c r="A613" s="1"/>
      <c r="C613" s="8"/>
      <c r="D613" s="7"/>
      <c r="E613" s="8"/>
    </row>
    <row r="614" spans="1:5" ht="12.75" customHeight="1">
      <c r="A614" s="1"/>
      <c r="C614" s="8"/>
      <c r="D614" s="7"/>
      <c r="E614" s="8"/>
    </row>
    <row r="615" spans="1:5" ht="12.75" customHeight="1">
      <c r="A615" s="1"/>
      <c r="C615" s="8"/>
      <c r="D615" s="7"/>
      <c r="E615" s="8"/>
    </row>
    <row r="616" spans="1:5" ht="12.75" customHeight="1">
      <c r="A616" s="1"/>
      <c r="C616" s="8"/>
      <c r="D616" s="7"/>
      <c r="E616" s="8"/>
    </row>
    <row r="617" spans="1:5" ht="12.75" customHeight="1">
      <c r="A617" s="1"/>
      <c r="C617" s="8"/>
      <c r="D617" s="7"/>
      <c r="E617" s="8"/>
    </row>
    <row r="618" spans="1:5" ht="12.75" customHeight="1">
      <c r="A618" s="1"/>
      <c r="C618" s="8"/>
      <c r="D618" s="7"/>
      <c r="E618" s="8"/>
    </row>
    <row r="619" spans="1:5" ht="12.75" customHeight="1">
      <c r="A619" s="1"/>
      <c r="C619" s="8"/>
      <c r="D619" s="7"/>
      <c r="E619" s="8"/>
    </row>
    <row r="620" spans="1:5" ht="12.75" customHeight="1">
      <c r="A620" s="1"/>
      <c r="C620" s="8"/>
      <c r="D620" s="7"/>
      <c r="E620" s="8"/>
    </row>
    <row r="621" spans="1:5" ht="12.75" customHeight="1">
      <c r="A621" s="1"/>
      <c r="C621" s="8"/>
      <c r="D621" s="7"/>
      <c r="E621" s="8"/>
    </row>
    <row r="622" spans="1:5" ht="12.75" customHeight="1">
      <c r="A622" s="1"/>
      <c r="C622" s="8"/>
      <c r="D622" s="7"/>
      <c r="E622" s="8"/>
    </row>
    <row r="623" spans="1:5" ht="12.75" customHeight="1">
      <c r="A623" s="1"/>
      <c r="C623" s="8"/>
      <c r="D623" s="7"/>
      <c r="E623" s="8"/>
    </row>
    <row r="624" spans="1:5" ht="12.75" customHeight="1">
      <c r="A624" s="1"/>
      <c r="C624" s="8"/>
      <c r="D624" s="7"/>
      <c r="E624" s="8"/>
    </row>
    <row r="625" spans="1:5" ht="12.75" customHeight="1">
      <c r="A625" s="1"/>
      <c r="C625" s="8"/>
      <c r="D625" s="7"/>
      <c r="E625" s="8"/>
    </row>
    <row r="626" spans="1:5" ht="12.75" customHeight="1">
      <c r="A626" s="1"/>
      <c r="C626" s="8"/>
      <c r="D626" s="7"/>
      <c r="E626" s="8"/>
    </row>
    <row r="627" spans="1:5" ht="12.75" customHeight="1">
      <c r="A627" s="1"/>
      <c r="C627" s="8"/>
      <c r="D627" s="7"/>
      <c r="E627" s="8"/>
    </row>
    <row r="628" spans="1:5" ht="12.75" customHeight="1">
      <c r="A628" s="1"/>
      <c r="C628" s="8"/>
      <c r="D628" s="7"/>
      <c r="E628" s="8"/>
    </row>
    <row r="629" spans="1:5" ht="12.75" customHeight="1">
      <c r="A629" s="1"/>
      <c r="C629" s="8"/>
      <c r="D629" s="7"/>
      <c r="E629" s="8"/>
    </row>
    <row r="630" spans="1:5" ht="12.75" customHeight="1">
      <c r="A630" s="1"/>
      <c r="C630" s="8"/>
      <c r="D630" s="7"/>
      <c r="E630" s="8"/>
    </row>
    <row r="631" spans="1:5" ht="12.75" customHeight="1">
      <c r="A631" s="1"/>
      <c r="C631" s="8"/>
      <c r="D631" s="7"/>
      <c r="E631" s="8"/>
    </row>
    <row r="632" spans="1:5" ht="12.75" customHeight="1">
      <c r="A632" s="1"/>
      <c r="C632" s="8"/>
      <c r="D632" s="7"/>
      <c r="E632" s="8"/>
    </row>
    <row r="633" spans="1:5" ht="12.75" customHeight="1">
      <c r="A633" s="1"/>
      <c r="C633" s="8"/>
      <c r="D633" s="7"/>
      <c r="E633" s="8"/>
    </row>
    <row r="634" spans="1:5" ht="12.75" customHeight="1">
      <c r="A634" s="1"/>
      <c r="C634" s="8"/>
      <c r="D634" s="7"/>
      <c r="E634" s="8"/>
    </row>
    <row r="635" spans="1:5" ht="12.75" customHeight="1">
      <c r="A635" s="1"/>
      <c r="C635" s="8"/>
      <c r="D635" s="7"/>
      <c r="E635" s="8"/>
    </row>
    <row r="636" spans="1:5" ht="12.75" customHeight="1">
      <c r="A636" s="1"/>
      <c r="C636" s="8"/>
      <c r="D636" s="7"/>
      <c r="E636" s="8"/>
    </row>
    <row r="637" spans="1:5" ht="12.75" customHeight="1">
      <c r="A637" s="1"/>
      <c r="C637" s="8"/>
      <c r="D637" s="7"/>
      <c r="E637" s="8"/>
    </row>
    <row r="638" spans="1:5" ht="12.75" customHeight="1">
      <c r="A638" s="1"/>
      <c r="C638" s="8"/>
      <c r="D638" s="7"/>
      <c r="E638" s="8"/>
    </row>
    <row r="639" spans="1:5" ht="12.75" customHeight="1">
      <c r="A639" s="1"/>
      <c r="C639" s="8"/>
      <c r="D639" s="7"/>
      <c r="E639" s="8"/>
    </row>
    <row r="640" spans="1:5" ht="12.75" customHeight="1">
      <c r="A640" s="1"/>
      <c r="C640" s="8"/>
      <c r="D640" s="7"/>
      <c r="E640" s="8"/>
    </row>
    <row r="641" spans="1:5" ht="12.75" customHeight="1">
      <c r="A641" s="1"/>
      <c r="C641" s="8"/>
      <c r="D641" s="7"/>
      <c r="E641" s="8"/>
    </row>
    <row r="642" spans="1:5" ht="12.75" customHeight="1">
      <c r="A642" s="1"/>
      <c r="C642" s="8"/>
      <c r="D642" s="7"/>
      <c r="E642" s="8"/>
    </row>
    <row r="643" spans="1:5" ht="12.75" customHeight="1">
      <c r="A643" s="1"/>
      <c r="C643" s="8"/>
      <c r="D643" s="7"/>
      <c r="E643" s="8"/>
    </row>
    <row r="644" spans="1:5" ht="12.75" customHeight="1">
      <c r="A644" s="1"/>
      <c r="C644" s="8"/>
      <c r="D644" s="7"/>
      <c r="E644" s="8"/>
    </row>
    <row r="645" spans="1:5" ht="12.75" customHeight="1">
      <c r="A645" s="1"/>
      <c r="C645" s="8"/>
      <c r="D645" s="7"/>
      <c r="E645" s="8"/>
    </row>
    <row r="646" spans="1:5" ht="12.75" customHeight="1">
      <c r="A646" s="1"/>
      <c r="C646" s="8"/>
      <c r="D646" s="7"/>
      <c r="E646" s="8"/>
    </row>
    <row r="647" spans="1:5" ht="12.75" customHeight="1">
      <c r="A647" s="1"/>
      <c r="C647" s="8"/>
      <c r="D647" s="7"/>
      <c r="E647" s="8"/>
    </row>
    <row r="648" spans="1:5" ht="12.75" customHeight="1">
      <c r="A648" s="1"/>
      <c r="C648" s="8"/>
      <c r="D648" s="7"/>
      <c r="E648" s="8"/>
    </row>
    <row r="649" spans="1:5" ht="12.75" customHeight="1">
      <c r="A649" s="1"/>
      <c r="C649" s="8"/>
      <c r="D649" s="7"/>
      <c r="E649" s="8"/>
    </row>
    <row r="650" spans="1:5" ht="12.75" customHeight="1">
      <c r="A650" s="1"/>
      <c r="C650" s="8"/>
      <c r="D650" s="7"/>
      <c r="E650" s="8"/>
    </row>
    <row r="651" spans="1:5" ht="12.75" customHeight="1">
      <c r="A651" s="1"/>
      <c r="C651" s="8"/>
      <c r="D651" s="7"/>
      <c r="E651" s="8"/>
    </row>
    <row r="652" spans="1:5" ht="12.75" customHeight="1">
      <c r="A652" s="1"/>
      <c r="C652" s="8"/>
      <c r="D652" s="7"/>
      <c r="E652" s="8"/>
    </row>
    <row r="653" spans="1:5" ht="12.75" customHeight="1">
      <c r="A653" s="1"/>
      <c r="C653" s="8"/>
      <c r="D653" s="7"/>
      <c r="E653" s="8"/>
    </row>
    <row r="654" spans="1:5" ht="12.75" customHeight="1">
      <c r="A654" s="1"/>
      <c r="C654" s="8"/>
      <c r="D654" s="7"/>
      <c r="E654" s="8"/>
    </row>
    <row r="655" spans="1:5" ht="12.75" customHeight="1">
      <c r="A655" s="1"/>
      <c r="C655" s="8"/>
      <c r="D655" s="7"/>
      <c r="E655" s="8"/>
    </row>
    <row r="656" spans="1:5" ht="12.75" customHeight="1">
      <c r="A656" s="1"/>
      <c r="C656" s="8"/>
      <c r="D656" s="7"/>
      <c r="E656" s="8"/>
    </row>
    <row r="657" spans="1:5" ht="12.75" customHeight="1">
      <c r="A657" s="1"/>
      <c r="C657" s="8"/>
      <c r="D657" s="7"/>
      <c r="E657" s="8"/>
    </row>
    <row r="658" spans="1:5" ht="12.75" customHeight="1">
      <c r="A658" s="1"/>
      <c r="C658" s="8"/>
      <c r="D658" s="7"/>
      <c r="E658" s="8"/>
    </row>
    <row r="659" spans="1:5" ht="12.75" customHeight="1">
      <c r="A659" s="1"/>
      <c r="C659" s="8"/>
      <c r="D659" s="7"/>
      <c r="E659" s="8"/>
    </row>
    <row r="660" spans="1:5" ht="12.75" customHeight="1">
      <c r="A660" s="1"/>
      <c r="C660" s="8"/>
      <c r="D660" s="7"/>
      <c r="E660" s="8"/>
    </row>
    <row r="661" spans="1:5" ht="12.75" customHeight="1">
      <c r="A661" s="1"/>
      <c r="C661" s="8"/>
      <c r="D661" s="7"/>
      <c r="E661" s="8"/>
    </row>
    <row r="662" spans="1:5" ht="12.75" customHeight="1">
      <c r="A662" s="1"/>
      <c r="C662" s="8"/>
      <c r="D662" s="7"/>
      <c r="E662" s="8"/>
    </row>
    <row r="663" spans="1:5" ht="12.75" customHeight="1">
      <c r="A663" s="1"/>
      <c r="C663" s="8"/>
      <c r="D663" s="7"/>
      <c r="E663" s="8"/>
    </row>
    <row r="664" spans="1:5" ht="12.75" customHeight="1">
      <c r="A664" s="1"/>
      <c r="C664" s="8"/>
      <c r="D664" s="7"/>
      <c r="E664" s="8"/>
    </row>
    <row r="665" spans="1:5" ht="12.75" customHeight="1">
      <c r="A665" s="1"/>
      <c r="C665" s="8"/>
      <c r="D665" s="7"/>
      <c r="E665" s="8"/>
    </row>
    <row r="666" spans="1:5" ht="12.75" customHeight="1">
      <c r="A666" s="1"/>
      <c r="C666" s="8"/>
      <c r="D666" s="7"/>
      <c r="E666" s="8"/>
    </row>
    <row r="667" spans="1:5" ht="12.75" customHeight="1">
      <c r="A667" s="1"/>
      <c r="C667" s="8"/>
      <c r="D667" s="7"/>
      <c r="E667" s="8"/>
    </row>
    <row r="668" spans="1:5" ht="12.75" customHeight="1">
      <c r="A668" s="1"/>
      <c r="C668" s="8"/>
      <c r="D668" s="7"/>
      <c r="E668" s="8"/>
    </row>
    <row r="669" spans="1:5" ht="12.75" customHeight="1">
      <c r="A669" s="1"/>
      <c r="C669" s="8"/>
      <c r="D669" s="7"/>
      <c r="E669" s="8"/>
    </row>
    <row r="670" spans="1:5" ht="12.75" customHeight="1">
      <c r="A670" s="1"/>
      <c r="C670" s="8"/>
      <c r="D670" s="7"/>
      <c r="E670" s="8"/>
    </row>
    <row r="671" spans="1:5" ht="12.75" customHeight="1">
      <c r="A671" s="1"/>
      <c r="C671" s="8"/>
      <c r="D671" s="7"/>
      <c r="E671" s="8"/>
    </row>
    <row r="672" spans="1:5" ht="12.75" customHeight="1">
      <c r="A672" s="1"/>
      <c r="C672" s="8"/>
      <c r="D672" s="7"/>
      <c r="E672" s="8"/>
    </row>
    <row r="673" spans="1:5" ht="12.75" customHeight="1">
      <c r="A673" s="1"/>
      <c r="C673" s="8"/>
      <c r="D673" s="7"/>
      <c r="E673" s="8"/>
    </row>
    <row r="674" spans="1:5" ht="12.75" customHeight="1">
      <c r="A674" s="1"/>
      <c r="C674" s="8"/>
      <c r="D674" s="7"/>
      <c r="E674" s="8"/>
    </row>
    <row r="675" spans="1:5" ht="12.75" customHeight="1">
      <c r="A675" s="1"/>
      <c r="C675" s="8"/>
      <c r="D675" s="7"/>
      <c r="E675" s="8"/>
    </row>
    <row r="676" spans="1:5" ht="12.75" customHeight="1">
      <c r="A676" s="1"/>
      <c r="C676" s="8"/>
      <c r="D676" s="7"/>
      <c r="E676" s="8"/>
    </row>
    <row r="677" spans="1:5" ht="12.75" customHeight="1">
      <c r="A677" s="1"/>
      <c r="C677" s="8"/>
      <c r="D677" s="7"/>
      <c r="E677" s="8"/>
    </row>
    <row r="678" spans="1:5" ht="12.75" customHeight="1">
      <c r="A678" s="1"/>
      <c r="C678" s="8"/>
      <c r="D678" s="7"/>
      <c r="E678" s="8"/>
    </row>
    <row r="679" spans="1:5" ht="12.75" customHeight="1">
      <c r="A679" s="1"/>
      <c r="C679" s="8"/>
      <c r="D679" s="7"/>
      <c r="E679" s="8"/>
    </row>
    <row r="680" spans="1:5" ht="12.75" customHeight="1">
      <c r="A680" s="1"/>
      <c r="C680" s="8"/>
      <c r="D680" s="7"/>
      <c r="E680" s="8"/>
    </row>
    <row r="681" spans="1:5" ht="12.75" customHeight="1">
      <c r="A681" s="1"/>
      <c r="C681" s="8"/>
      <c r="D681" s="7"/>
      <c r="E681" s="8"/>
    </row>
    <row r="682" spans="1:5" ht="12.75" customHeight="1">
      <c r="A682" s="1"/>
      <c r="C682" s="8"/>
      <c r="D682" s="7"/>
      <c r="E682" s="8"/>
    </row>
    <row r="683" spans="1:5" ht="12.75" customHeight="1">
      <c r="A683" s="1"/>
      <c r="C683" s="8"/>
      <c r="D683" s="7"/>
      <c r="E683" s="8"/>
    </row>
    <row r="684" spans="1:5" ht="12.75" customHeight="1">
      <c r="A684" s="1"/>
      <c r="C684" s="8"/>
      <c r="D684" s="7"/>
      <c r="E684" s="8"/>
    </row>
    <row r="685" spans="1:5" ht="12.75" customHeight="1">
      <c r="A685" s="1"/>
      <c r="C685" s="8"/>
      <c r="D685" s="7"/>
      <c r="E685" s="8"/>
    </row>
    <row r="686" spans="1:5" ht="12.75" customHeight="1">
      <c r="A686" s="1"/>
      <c r="C686" s="8"/>
      <c r="D686" s="7"/>
      <c r="E686" s="8"/>
    </row>
    <row r="687" spans="1:5" ht="12.75" customHeight="1">
      <c r="A687" s="1"/>
      <c r="C687" s="8"/>
      <c r="D687" s="7"/>
      <c r="E687" s="8"/>
    </row>
    <row r="688" spans="1:5" ht="12.75" customHeight="1">
      <c r="A688" s="1"/>
      <c r="C688" s="8"/>
      <c r="D688" s="7"/>
      <c r="E688" s="8"/>
    </row>
    <row r="689" spans="1:5" ht="12.75" customHeight="1">
      <c r="A689" s="1"/>
      <c r="C689" s="8"/>
      <c r="D689" s="7"/>
      <c r="E689" s="8"/>
    </row>
    <row r="690" spans="1:5" ht="12.75" customHeight="1">
      <c r="A690" s="1"/>
      <c r="C690" s="8"/>
      <c r="D690" s="7"/>
      <c r="E690" s="8"/>
    </row>
    <row r="691" spans="1:5" ht="12.75" customHeight="1">
      <c r="A691" s="1"/>
      <c r="C691" s="8"/>
      <c r="D691" s="7"/>
      <c r="E691" s="8"/>
    </row>
    <row r="692" spans="1:5" ht="12.75" customHeight="1">
      <c r="A692" s="1"/>
      <c r="C692" s="8"/>
      <c r="D692" s="7"/>
      <c r="E692" s="8"/>
    </row>
    <row r="693" spans="1:5" ht="12.75" customHeight="1">
      <c r="A693" s="1"/>
      <c r="C693" s="8"/>
      <c r="D693" s="7"/>
      <c r="E693" s="8"/>
    </row>
    <row r="694" spans="1:5" ht="12.75" customHeight="1">
      <c r="A694" s="1"/>
      <c r="C694" s="8"/>
      <c r="D694" s="7"/>
      <c r="E694" s="8"/>
    </row>
    <row r="695" spans="1:5" ht="12.75" customHeight="1">
      <c r="A695" s="1"/>
      <c r="C695" s="8"/>
      <c r="D695" s="7"/>
      <c r="E695" s="8"/>
    </row>
    <row r="696" spans="1:5" ht="12.75" customHeight="1">
      <c r="A696" s="1"/>
      <c r="C696" s="8"/>
      <c r="D696" s="7"/>
      <c r="E696" s="8"/>
    </row>
    <row r="697" spans="1:5" ht="12.75" customHeight="1">
      <c r="A697" s="1"/>
      <c r="C697" s="8"/>
      <c r="D697" s="7"/>
      <c r="E697" s="8"/>
    </row>
    <row r="698" spans="1:5" ht="12.75" customHeight="1">
      <c r="A698" s="1"/>
      <c r="C698" s="8"/>
      <c r="D698" s="7"/>
      <c r="E698" s="8"/>
    </row>
    <row r="699" spans="1:5" ht="12.75" customHeight="1">
      <c r="A699" s="1"/>
      <c r="C699" s="8"/>
      <c r="D699" s="7"/>
      <c r="E699" s="8"/>
    </row>
    <row r="700" spans="1:5" ht="12.75" customHeight="1">
      <c r="A700" s="1"/>
      <c r="C700" s="8"/>
      <c r="D700" s="7"/>
      <c r="E700" s="8"/>
    </row>
    <row r="701" spans="1:5" ht="12.75" customHeight="1">
      <c r="A701" s="1"/>
      <c r="C701" s="8"/>
      <c r="D701" s="7"/>
      <c r="E701" s="8"/>
    </row>
    <row r="702" spans="1:5" ht="12.75" customHeight="1">
      <c r="A702" s="1"/>
      <c r="C702" s="8"/>
      <c r="D702" s="7"/>
      <c r="E702" s="8"/>
    </row>
    <row r="703" spans="1:5" ht="12.75" customHeight="1">
      <c r="A703" s="1"/>
      <c r="C703" s="8"/>
      <c r="D703" s="7"/>
      <c r="E703" s="8"/>
    </row>
    <row r="704" spans="1:5" ht="12.75" customHeight="1">
      <c r="A704" s="1"/>
      <c r="C704" s="8"/>
      <c r="D704" s="7"/>
      <c r="E704" s="8"/>
    </row>
    <row r="705" spans="1:5" ht="12.75" customHeight="1">
      <c r="A705" s="1"/>
      <c r="C705" s="8"/>
      <c r="D705" s="7"/>
      <c r="E705" s="8"/>
    </row>
    <row r="706" spans="1:5" ht="12.75" customHeight="1">
      <c r="A706" s="1"/>
      <c r="C706" s="8"/>
      <c r="D706" s="7"/>
      <c r="E706" s="8"/>
    </row>
    <row r="707" spans="1:5" ht="12.75" customHeight="1">
      <c r="A707" s="1"/>
      <c r="C707" s="8"/>
      <c r="D707" s="7"/>
      <c r="E707" s="8"/>
    </row>
    <row r="708" spans="1:5" ht="12.75" customHeight="1">
      <c r="A708" s="1"/>
      <c r="C708" s="8"/>
      <c r="D708" s="7"/>
      <c r="E708" s="8"/>
    </row>
    <row r="709" spans="1:5" ht="12.75" customHeight="1">
      <c r="A709" s="1"/>
      <c r="C709" s="8"/>
      <c r="D709" s="7"/>
      <c r="E709" s="8"/>
    </row>
    <row r="710" spans="1:5" ht="12.75" customHeight="1">
      <c r="A710" s="1"/>
      <c r="C710" s="8"/>
      <c r="D710" s="7"/>
      <c r="E710" s="8"/>
    </row>
    <row r="711" spans="1:5" ht="12.75" customHeight="1">
      <c r="A711" s="1"/>
      <c r="C711" s="8"/>
      <c r="D711" s="7"/>
      <c r="E711" s="8"/>
    </row>
    <row r="712" spans="1:5" ht="12.75" customHeight="1">
      <c r="A712" s="1"/>
      <c r="C712" s="8"/>
      <c r="D712" s="7"/>
      <c r="E712" s="8"/>
    </row>
    <row r="713" spans="1:5" ht="12.75" customHeight="1">
      <c r="A713" s="1"/>
      <c r="C713" s="8"/>
      <c r="D713" s="7"/>
      <c r="E713" s="8"/>
    </row>
    <row r="714" spans="1:5" ht="12.75" customHeight="1">
      <c r="A714" s="1"/>
      <c r="C714" s="8"/>
      <c r="D714" s="7"/>
      <c r="E714" s="8"/>
    </row>
    <row r="715" spans="1:5" ht="12.75" customHeight="1">
      <c r="A715" s="1"/>
      <c r="C715" s="8"/>
      <c r="D715" s="7"/>
      <c r="E715" s="8"/>
    </row>
    <row r="716" spans="1:5" ht="12.75" customHeight="1">
      <c r="A716" s="1"/>
      <c r="C716" s="8"/>
      <c r="D716" s="7"/>
      <c r="E716" s="8"/>
    </row>
    <row r="717" spans="1:5" ht="12.75" customHeight="1">
      <c r="A717" s="1"/>
      <c r="C717" s="8"/>
      <c r="D717" s="7"/>
      <c r="E717" s="8"/>
    </row>
    <row r="718" spans="1:5" ht="12.75" customHeight="1">
      <c r="A718" s="1"/>
      <c r="C718" s="8"/>
      <c r="D718" s="7"/>
      <c r="E718" s="8"/>
    </row>
    <row r="719" spans="1:5" ht="12.75" customHeight="1">
      <c r="A719" s="1"/>
      <c r="C719" s="8"/>
      <c r="D719" s="7"/>
      <c r="E719" s="8"/>
    </row>
    <row r="720" spans="1:5" ht="12.75" customHeight="1">
      <c r="A720" s="1"/>
      <c r="C720" s="8"/>
      <c r="D720" s="7"/>
      <c r="E720" s="8"/>
    </row>
    <row r="721" spans="1:5" ht="12.75" customHeight="1">
      <c r="A721" s="1"/>
      <c r="C721" s="8"/>
      <c r="D721" s="7"/>
      <c r="E721" s="8"/>
    </row>
    <row r="722" spans="1:5" ht="12.75" customHeight="1">
      <c r="A722" s="1"/>
      <c r="C722" s="8"/>
      <c r="D722" s="7"/>
      <c r="E722" s="8"/>
    </row>
    <row r="723" spans="1:5" ht="12.75" customHeight="1">
      <c r="A723" s="1"/>
      <c r="C723" s="8"/>
      <c r="D723" s="7"/>
      <c r="E723" s="8"/>
    </row>
    <row r="724" spans="1:5" ht="12.75" customHeight="1">
      <c r="A724" s="1"/>
      <c r="C724" s="8"/>
      <c r="D724" s="7"/>
      <c r="E724" s="8"/>
    </row>
    <row r="725" spans="1:5" ht="12.75" customHeight="1">
      <c r="A725" s="1"/>
      <c r="C725" s="8"/>
      <c r="D725" s="7"/>
      <c r="E725" s="8"/>
    </row>
    <row r="726" spans="1:5" ht="12.75" customHeight="1">
      <c r="A726" s="1"/>
      <c r="C726" s="8"/>
      <c r="D726" s="7"/>
      <c r="E726" s="8"/>
    </row>
    <row r="727" spans="1:5" ht="12.75" customHeight="1">
      <c r="A727" s="1"/>
      <c r="C727" s="8"/>
      <c r="D727" s="7"/>
      <c r="E727" s="8"/>
    </row>
    <row r="728" spans="1:5" ht="12.75" customHeight="1">
      <c r="A728" s="1"/>
      <c r="C728" s="8"/>
      <c r="D728" s="7"/>
      <c r="E728" s="8"/>
    </row>
    <row r="729" spans="1:5" ht="12.75" customHeight="1">
      <c r="A729" s="1"/>
      <c r="C729" s="8"/>
      <c r="D729" s="7"/>
      <c r="E729" s="8"/>
    </row>
    <row r="730" spans="1:5" ht="12.75" customHeight="1">
      <c r="A730" s="1"/>
      <c r="C730" s="8"/>
      <c r="D730" s="7"/>
      <c r="E730" s="8"/>
    </row>
    <row r="731" spans="1:5" ht="12.75" customHeight="1">
      <c r="A731" s="1"/>
      <c r="C731" s="8"/>
      <c r="D731" s="7"/>
      <c r="E731" s="8"/>
    </row>
    <row r="732" spans="1:5" ht="12.75" customHeight="1">
      <c r="A732" s="1"/>
      <c r="C732" s="8"/>
      <c r="D732" s="7"/>
      <c r="E732" s="8"/>
    </row>
    <row r="733" spans="1:5" ht="12.75" customHeight="1">
      <c r="A733" s="1"/>
      <c r="C733" s="8"/>
      <c r="D733" s="7"/>
      <c r="E733" s="8"/>
    </row>
    <row r="734" spans="1:5" ht="12.75" customHeight="1">
      <c r="A734" s="1"/>
      <c r="C734" s="8"/>
      <c r="D734" s="7"/>
      <c r="E734" s="8"/>
    </row>
    <row r="735" spans="1:5" ht="12.75" customHeight="1">
      <c r="A735" s="1"/>
      <c r="C735" s="8"/>
      <c r="D735" s="7"/>
      <c r="E735" s="8"/>
    </row>
    <row r="736" spans="1:5" ht="12.75" customHeight="1">
      <c r="A736" s="1"/>
      <c r="C736" s="8"/>
      <c r="D736" s="7"/>
      <c r="E736" s="8"/>
    </row>
    <row r="737" spans="1:5" ht="12.75" customHeight="1">
      <c r="A737" s="1"/>
      <c r="C737" s="8"/>
      <c r="D737" s="7"/>
      <c r="E737" s="8"/>
    </row>
    <row r="738" spans="1:5" ht="12.75" customHeight="1">
      <c r="A738" s="1"/>
      <c r="C738" s="8"/>
      <c r="D738" s="7"/>
      <c r="E738" s="8"/>
    </row>
    <row r="739" spans="1:5" ht="12.75" customHeight="1">
      <c r="A739" s="1"/>
      <c r="C739" s="8"/>
      <c r="D739" s="7"/>
      <c r="E739" s="8"/>
    </row>
    <row r="740" spans="1:5" ht="12.75" customHeight="1">
      <c r="A740" s="1"/>
      <c r="C740" s="8"/>
      <c r="D740" s="7"/>
      <c r="E740" s="8"/>
    </row>
    <row r="741" spans="1:5" ht="12.75" customHeight="1">
      <c r="A741" s="1"/>
      <c r="C741" s="8"/>
      <c r="D741" s="7"/>
      <c r="E741" s="8"/>
    </row>
    <row r="742" spans="1:5" ht="12.75" customHeight="1">
      <c r="A742" s="1"/>
      <c r="C742" s="8"/>
      <c r="D742" s="7"/>
      <c r="E742" s="8"/>
    </row>
    <row r="743" spans="1:5" ht="12.75" customHeight="1">
      <c r="A743" s="1"/>
      <c r="C743" s="8"/>
      <c r="D743" s="7"/>
      <c r="E743" s="8"/>
    </row>
    <row r="744" spans="1:5" ht="12.75" customHeight="1">
      <c r="A744" s="1"/>
      <c r="C744" s="8"/>
      <c r="D744" s="7"/>
      <c r="E744" s="8"/>
    </row>
    <row r="745" spans="1:5" ht="12.75" customHeight="1">
      <c r="A745" s="1"/>
      <c r="C745" s="8"/>
      <c r="D745" s="7"/>
      <c r="E745" s="8"/>
    </row>
    <row r="746" spans="1:5" ht="12.75" customHeight="1">
      <c r="A746" s="1"/>
      <c r="C746" s="8"/>
      <c r="D746" s="7"/>
      <c r="E746" s="8"/>
    </row>
    <row r="747" spans="1:5" ht="12.75" customHeight="1">
      <c r="A747" s="1"/>
      <c r="C747" s="8"/>
      <c r="D747" s="7"/>
      <c r="E747" s="8"/>
    </row>
    <row r="748" spans="1:5" ht="12.75" customHeight="1">
      <c r="A748" s="1"/>
      <c r="C748" s="8"/>
      <c r="D748" s="7"/>
      <c r="E748" s="8"/>
    </row>
    <row r="749" spans="1:5" ht="12.75" customHeight="1">
      <c r="A749" s="1"/>
      <c r="C749" s="8"/>
      <c r="D749" s="7"/>
      <c r="E749" s="8"/>
    </row>
    <row r="750" spans="1:5" ht="12.75" customHeight="1">
      <c r="A750" s="1"/>
      <c r="C750" s="8"/>
      <c r="D750" s="7"/>
      <c r="E750" s="8"/>
    </row>
    <row r="751" spans="1:5" ht="12.75" customHeight="1">
      <c r="A751" s="1"/>
      <c r="C751" s="8"/>
      <c r="D751" s="7"/>
      <c r="E751" s="8"/>
    </row>
    <row r="752" spans="1:5" ht="12.75" customHeight="1">
      <c r="A752" s="1"/>
      <c r="C752" s="8"/>
      <c r="D752" s="7"/>
      <c r="E752" s="8"/>
    </row>
    <row r="753" spans="1:5" ht="12.75" customHeight="1">
      <c r="A753" s="1"/>
      <c r="C753" s="8"/>
      <c r="D753" s="7"/>
      <c r="E753" s="8"/>
    </row>
    <row r="754" spans="1:5" ht="12.75" customHeight="1">
      <c r="A754" s="1"/>
      <c r="C754" s="8"/>
      <c r="D754" s="7"/>
      <c r="E754" s="8"/>
    </row>
    <row r="755" spans="1:5" ht="12.75" customHeight="1">
      <c r="A755" s="1"/>
      <c r="C755" s="8"/>
      <c r="D755" s="7"/>
      <c r="E755" s="8"/>
    </row>
    <row r="756" spans="1:5" ht="12.75" customHeight="1">
      <c r="A756" s="1"/>
      <c r="C756" s="8"/>
      <c r="D756" s="7"/>
      <c r="E756" s="8"/>
    </row>
    <row r="757" spans="1:5" ht="12.75" customHeight="1">
      <c r="A757" s="1"/>
      <c r="C757" s="8"/>
      <c r="D757" s="7"/>
      <c r="E757" s="8"/>
    </row>
    <row r="758" spans="1:5" ht="12.75" customHeight="1">
      <c r="A758" s="1"/>
      <c r="C758" s="8"/>
      <c r="D758" s="7"/>
      <c r="E758" s="8"/>
    </row>
    <row r="759" spans="1:5" ht="12.75" customHeight="1">
      <c r="A759" s="1"/>
      <c r="C759" s="8"/>
      <c r="D759" s="7"/>
      <c r="E759" s="8"/>
    </row>
    <row r="760" spans="1:5" ht="12.75" customHeight="1">
      <c r="A760" s="1"/>
      <c r="C760" s="8"/>
      <c r="D760" s="7"/>
      <c r="E760" s="8"/>
    </row>
    <row r="761" spans="1:5" ht="12.75" customHeight="1">
      <c r="A761" s="1"/>
      <c r="C761" s="8"/>
      <c r="D761" s="7"/>
      <c r="E761" s="8"/>
    </row>
    <row r="762" spans="1:5" ht="12.75" customHeight="1">
      <c r="A762" s="1"/>
      <c r="C762" s="8"/>
      <c r="D762" s="7"/>
      <c r="E762" s="8"/>
    </row>
    <row r="763" spans="1:5" ht="12.75" customHeight="1">
      <c r="A763" s="1"/>
      <c r="C763" s="8"/>
      <c r="D763" s="7"/>
      <c r="E763" s="8"/>
    </row>
    <row r="764" spans="1:5" ht="12.75" customHeight="1">
      <c r="A764" s="1"/>
      <c r="C764" s="8"/>
      <c r="D764" s="7"/>
      <c r="E764" s="8"/>
    </row>
    <row r="765" spans="1:5" ht="12.75" customHeight="1">
      <c r="A765" s="1"/>
      <c r="C765" s="8"/>
      <c r="D765" s="7"/>
      <c r="E765" s="8"/>
    </row>
    <row r="766" spans="1:5" ht="12.75" customHeight="1">
      <c r="A766" s="1"/>
      <c r="C766" s="8"/>
      <c r="D766" s="7"/>
      <c r="E766" s="8"/>
    </row>
    <row r="767" spans="1:5" ht="12.75" customHeight="1">
      <c r="A767" s="1"/>
      <c r="C767" s="8"/>
      <c r="D767" s="7"/>
      <c r="E767" s="8"/>
    </row>
    <row r="768" spans="1:5" ht="12.75" customHeight="1">
      <c r="A768" s="1"/>
      <c r="C768" s="8"/>
      <c r="D768" s="7"/>
      <c r="E768" s="8"/>
    </row>
    <row r="769" spans="1:5" ht="12.75" customHeight="1">
      <c r="A769" s="1"/>
      <c r="C769" s="8"/>
      <c r="D769" s="7"/>
      <c r="E769" s="8"/>
    </row>
    <row r="770" spans="1:5" ht="12.75" customHeight="1">
      <c r="A770" s="1"/>
      <c r="C770" s="8"/>
      <c r="D770" s="7"/>
      <c r="E770" s="8"/>
    </row>
    <row r="771" spans="1:5" ht="12.75" customHeight="1">
      <c r="A771" s="1"/>
      <c r="C771" s="8"/>
      <c r="D771" s="7"/>
      <c r="E771" s="8"/>
    </row>
    <row r="772" spans="1:5" ht="12.75" customHeight="1">
      <c r="A772" s="1"/>
      <c r="C772" s="8"/>
      <c r="D772" s="7"/>
      <c r="E772" s="8"/>
    </row>
    <row r="773" spans="1:5" ht="12.75" customHeight="1">
      <c r="A773" s="1"/>
      <c r="C773" s="8"/>
      <c r="D773" s="7"/>
      <c r="E773" s="8"/>
    </row>
    <row r="774" spans="1:5" ht="12.75" customHeight="1">
      <c r="A774" s="1"/>
      <c r="C774" s="8"/>
      <c r="D774" s="7"/>
      <c r="E774" s="8"/>
    </row>
    <row r="775" spans="1:5" ht="12.75" customHeight="1">
      <c r="A775" s="1"/>
      <c r="C775" s="8"/>
      <c r="D775" s="7"/>
      <c r="E775" s="8"/>
    </row>
    <row r="776" spans="1:5" ht="12.75" customHeight="1">
      <c r="A776" s="1"/>
      <c r="C776" s="8"/>
      <c r="D776" s="7"/>
      <c r="E776" s="8"/>
    </row>
    <row r="777" spans="1:5" ht="12.75" customHeight="1">
      <c r="A777" s="1"/>
      <c r="C777" s="8"/>
      <c r="D777" s="7"/>
      <c r="E777" s="8"/>
    </row>
    <row r="778" spans="1:5" ht="12.75" customHeight="1">
      <c r="A778" s="1"/>
      <c r="C778" s="8"/>
      <c r="D778" s="7"/>
      <c r="E778" s="8"/>
    </row>
    <row r="779" spans="1:5" ht="12.75" customHeight="1">
      <c r="A779" s="1"/>
      <c r="C779" s="8"/>
      <c r="D779" s="7"/>
      <c r="E779" s="8"/>
    </row>
    <row r="780" spans="1:5" ht="12.75" customHeight="1">
      <c r="A780" s="1"/>
      <c r="C780" s="8"/>
      <c r="D780" s="7"/>
      <c r="E780" s="8"/>
    </row>
    <row r="781" spans="1:5" ht="12.75" customHeight="1">
      <c r="A781" s="1"/>
      <c r="C781" s="8"/>
      <c r="D781" s="7"/>
      <c r="E781" s="8"/>
    </row>
    <row r="782" spans="1:5" ht="12.75" customHeight="1">
      <c r="A782" s="1"/>
      <c r="C782" s="8"/>
      <c r="D782" s="7"/>
      <c r="E782" s="8"/>
    </row>
    <row r="783" spans="1:5" ht="12.75" customHeight="1">
      <c r="A783" s="1"/>
      <c r="C783" s="8"/>
      <c r="D783" s="7"/>
      <c r="E783" s="8"/>
    </row>
    <row r="784" spans="1:5" ht="12.75" customHeight="1">
      <c r="A784" s="1"/>
      <c r="C784" s="8"/>
      <c r="D784" s="7"/>
      <c r="E784" s="8"/>
    </row>
    <row r="785" spans="1:5" ht="12.75" customHeight="1">
      <c r="A785" s="1"/>
      <c r="C785" s="8"/>
      <c r="D785" s="7"/>
      <c r="E785" s="8"/>
    </row>
    <row r="786" spans="1:5" ht="12.75" customHeight="1">
      <c r="A786" s="1"/>
      <c r="C786" s="8"/>
      <c r="D786" s="7"/>
      <c r="E786" s="8"/>
    </row>
    <row r="787" spans="1:5" ht="12.75" customHeight="1">
      <c r="A787" s="1"/>
      <c r="C787" s="8"/>
      <c r="D787" s="7"/>
      <c r="E787" s="8"/>
    </row>
    <row r="788" spans="1:5" ht="12.75" customHeight="1">
      <c r="A788" s="1"/>
      <c r="C788" s="8"/>
      <c r="D788" s="7"/>
      <c r="E788" s="8"/>
    </row>
    <row r="789" spans="1:5" ht="12.75" customHeight="1">
      <c r="A789" s="1"/>
      <c r="C789" s="8"/>
      <c r="D789" s="7"/>
      <c r="E789" s="8"/>
    </row>
    <row r="790" spans="1:5" ht="12.75" customHeight="1">
      <c r="A790" s="1"/>
      <c r="C790" s="8"/>
      <c r="D790" s="7"/>
      <c r="E790" s="8"/>
    </row>
    <row r="791" spans="1:5" ht="12.75" customHeight="1">
      <c r="A791" s="1"/>
      <c r="C791" s="8"/>
      <c r="D791" s="7"/>
      <c r="E791" s="8"/>
    </row>
    <row r="792" spans="1:5" ht="12.75" customHeight="1">
      <c r="A792" s="1"/>
      <c r="C792" s="8"/>
      <c r="D792" s="7"/>
      <c r="E792" s="8"/>
    </row>
    <row r="793" spans="1:5" ht="12.75" customHeight="1">
      <c r="A793" s="1"/>
      <c r="C793" s="8"/>
      <c r="D793" s="7"/>
      <c r="E793" s="8"/>
    </row>
    <row r="794" spans="1:5" ht="12.75" customHeight="1">
      <c r="A794" s="1"/>
      <c r="C794" s="8"/>
      <c r="D794" s="7"/>
      <c r="E794" s="8"/>
    </row>
    <row r="795" spans="1:5" ht="12.75" customHeight="1">
      <c r="A795" s="1"/>
      <c r="C795" s="8"/>
      <c r="D795" s="7"/>
      <c r="E795" s="8"/>
    </row>
    <row r="796" spans="1:5" ht="12.75" customHeight="1">
      <c r="A796" s="1"/>
      <c r="C796" s="8"/>
      <c r="D796" s="7"/>
      <c r="E796" s="8"/>
    </row>
    <row r="797" spans="1:5" ht="12.75" customHeight="1">
      <c r="A797" s="1"/>
      <c r="C797" s="8"/>
      <c r="D797" s="7"/>
      <c r="E797" s="8"/>
    </row>
    <row r="798" spans="1:5" ht="12.75" customHeight="1">
      <c r="A798" s="1"/>
      <c r="C798" s="8"/>
      <c r="D798" s="7"/>
      <c r="E798" s="8"/>
    </row>
    <row r="799" spans="1:5" ht="12.75" customHeight="1">
      <c r="A799" s="1"/>
      <c r="C799" s="8"/>
      <c r="D799" s="7"/>
      <c r="E799" s="8"/>
    </row>
    <row r="800" spans="1:5" ht="12.75" customHeight="1">
      <c r="A800" s="1"/>
      <c r="C800" s="8"/>
      <c r="D800" s="7"/>
      <c r="E800" s="8"/>
    </row>
    <row r="801" spans="1:5" ht="12.75" customHeight="1">
      <c r="A801" s="1"/>
      <c r="C801" s="8"/>
      <c r="D801" s="7"/>
      <c r="E801" s="8"/>
    </row>
    <row r="802" spans="1:5" ht="12.75" customHeight="1">
      <c r="A802" s="1"/>
      <c r="C802" s="8"/>
      <c r="D802" s="7"/>
      <c r="E802" s="8"/>
    </row>
    <row r="803" spans="1:5" ht="12.75" customHeight="1">
      <c r="A803" s="1"/>
      <c r="C803" s="8"/>
      <c r="D803" s="7"/>
      <c r="E803" s="8"/>
    </row>
    <row r="804" spans="1:5" ht="12.75" customHeight="1">
      <c r="A804" s="1"/>
      <c r="C804" s="8"/>
      <c r="D804" s="7"/>
      <c r="E804" s="8"/>
    </row>
    <row r="805" spans="1:5" ht="12.75" customHeight="1">
      <c r="A805" s="1"/>
      <c r="C805" s="8"/>
      <c r="D805" s="7"/>
      <c r="E805" s="8"/>
    </row>
    <row r="806" spans="1:5" ht="12.75" customHeight="1">
      <c r="A806" s="1"/>
      <c r="C806" s="8"/>
      <c r="D806" s="7"/>
      <c r="E806" s="8"/>
    </row>
    <row r="807" spans="1:5" ht="12.75" customHeight="1">
      <c r="A807" s="1"/>
      <c r="C807" s="8"/>
      <c r="D807" s="7"/>
      <c r="E807" s="8"/>
    </row>
    <row r="808" spans="1:5" ht="12.75" customHeight="1">
      <c r="A808" s="1"/>
      <c r="C808" s="8"/>
      <c r="D808" s="7"/>
      <c r="E808" s="8"/>
    </row>
    <row r="809" spans="1:5" ht="12.75" customHeight="1">
      <c r="A809" s="1"/>
      <c r="C809" s="8"/>
      <c r="D809" s="7"/>
      <c r="E809" s="8"/>
    </row>
    <row r="810" spans="1:5" ht="12.75" customHeight="1">
      <c r="A810" s="1"/>
      <c r="C810" s="8"/>
      <c r="D810" s="7"/>
      <c r="E810" s="8"/>
    </row>
    <row r="811" spans="1:5" ht="12.75" customHeight="1">
      <c r="A811" s="1"/>
      <c r="C811" s="8"/>
      <c r="D811" s="7"/>
      <c r="E811" s="8"/>
    </row>
    <row r="812" spans="1:5" ht="12.75" customHeight="1">
      <c r="A812" s="1"/>
      <c r="C812" s="8"/>
      <c r="D812" s="7"/>
      <c r="E812" s="8"/>
    </row>
    <row r="813" spans="1:5" ht="12.75" customHeight="1">
      <c r="A813" s="1"/>
      <c r="C813" s="8"/>
      <c r="D813" s="7"/>
      <c r="E813" s="8"/>
    </row>
    <row r="814" spans="1:5" ht="12.75" customHeight="1">
      <c r="A814" s="1"/>
      <c r="C814" s="8"/>
      <c r="D814" s="7"/>
      <c r="E814" s="8"/>
    </row>
    <row r="815" spans="1:5" ht="12.75" customHeight="1">
      <c r="A815" s="1"/>
      <c r="C815" s="8"/>
      <c r="D815" s="7"/>
      <c r="E815" s="8"/>
    </row>
    <row r="816" spans="1:5" ht="12.75" customHeight="1">
      <c r="A816" s="1"/>
      <c r="C816" s="8"/>
      <c r="D816" s="7"/>
      <c r="E816" s="8"/>
    </row>
    <row r="817" spans="1:5" ht="12.75" customHeight="1">
      <c r="A817" s="1"/>
      <c r="C817" s="8"/>
      <c r="D817" s="7"/>
      <c r="E817" s="8"/>
    </row>
    <row r="818" spans="1:5" ht="12.75" customHeight="1">
      <c r="A818" s="1"/>
      <c r="C818" s="8"/>
      <c r="D818" s="7"/>
      <c r="E818" s="8"/>
    </row>
    <row r="819" spans="1:5" ht="12.75" customHeight="1">
      <c r="A819" s="1"/>
      <c r="C819" s="8"/>
      <c r="D819" s="7"/>
      <c r="E819" s="8"/>
    </row>
    <row r="820" spans="1:5" ht="12.75" customHeight="1">
      <c r="A820" s="1"/>
      <c r="C820" s="8"/>
      <c r="D820" s="7"/>
      <c r="E820" s="8"/>
    </row>
    <row r="821" spans="1:5" ht="12.75" customHeight="1">
      <c r="A821" s="1"/>
      <c r="C821" s="8"/>
      <c r="D821" s="7"/>
      <c r="E821" s="8"/>
    </row>
    <row r="822" spans="1:5" ht="12.75" customHeight="1">
      <c r="A822" s="1"/>
      <c r="C822" s="8"/>
      <c r="D822" s="7"/>
      <c r="E822" s="8"/>
    </row>
    <row r="823" spans="1:5" ht="12.75" customHeight="1">
      <c r="A823" s="1"/>
      <c r="C823" s="8"/>
      <c r="D823" s="7"/>
      <c r="E823" s="8"/>
    </row>
    <row r="824" spans="1:5" ht="12.75" customHeight="1">
      <c r="A824" s="1"/>
      <c r="C824" s="8"/>
      <c r="D824" s="7"/>
      <c r="E824" s="8"/>
    </row>
    <row r="825" spans="1:5" ht="12.75" customHeight="1">
      <c r="A825" s="1"/>
      <c r="C825" s="8"/>
      <c r="D825" s="7"/>
      <c r="E825" s="8"/>
    </row>
    <row r="826" spans="1:5" ht="12.75" customHeight="1">
      <c r="A826" s="1"/>
      <c r="C826" s="8"/>
      <c r="D826" s="7"/>
      <c r="E826" s="8"/>
    </row>
    <row r="827" spans="1:5" ht="12.75" customHeight="1">
      <c r="A827" s="1"/>
      <c r="C827" s="8"/>
      <c r="D827" s="7"/>
      <c r="E827" s="8"/>
    </row>
    <row r="828" spans="1:5" ht="12.75" customHeight="1">
      <c r="A828" s="1"/>
      <c r="C828" s="8"/>
      <c r="D828" s="7"/>
      <c r="E828" s="8"/>
    </row>
    <row r="829" spans="1:5" ht="12.75" customHeight="1">
      <c r="A829" s="1"/>
      <c r="C829" s="8"/>
      <c r="D829" s="7"/>
      <c r="E829" s="8"/>
    </row>
    <row r="830" spans="1:5" ht="12.75" customHeight="1">
      <c r="A830" s="1"/>
      <c r="C830" s="8"/>
      <c r="D830" s="7"/>
      <c r="E830" s="8"/>
    </row>
    <row r="831" spans="1:5" ht="12.75" customHeight="1">
      <c r="A831" s="1"/>
      <c r="C831" s="8"/>
      <c r="D831" s="7"/>
      <c r="E831" s="8"/>
    </row>
    <row r="832" spans="1:5" ht="12.75" customHeight="1">
      <c r="A832" s="1"/>
      <c r="C832" s="8"/>
      <c r="D832" s="7"/>
      <c r="E832" s="8"/>
    </row>
    <row r="833" spans="1:5" ht="12.75" customHeight="1">
      <c r="A833" s="1"/>
      <c r="C833" s="8"/>
      <c r="D833" s="7"/>
      <c r="E833" s="8"/>
    </row>
    <row r="834" spans="1:5" ht="12.75" customHeight="1">
      <c r="A834" s="1"/>
      <c r="C834" s="8"/>
      <c r="D834" s="7"/>
      <c r="E834" s="8"/>
    </row>
    <row r="835" spans="1:5" ht="12.75" customHeight="1">
      <c r="A835" s="1"/>
      <c r="C835" s="8"/>
      <c r="D835" s="7"/>
      <c r="E835" s="8"/>
    </row>
    <row r="836" spans="1:5" ht="12.75" customHeight="1">
      <c r="A836" s="1"/>
      <c r="C836" s="8"/>
      <c r="D836" s="7"/>
      <c r="E836" s="8"/>
    </row>
    <row r="837" spans="1:5" ht="12.75" customHeight="1">
      <c r="A837" s="1"/>
      <c r="C837" s="8"/>
      <c r="D837" s="7"/>
      <c r="E837" s="8"/>
    </row>
    <row r="838" spans="1:5" ht="12.75" customHeight="1">
      <c r="A838" s="1"/>
      <c r="C838" s="8"/>
      <c r="D838" s="7"/>
      <c r="E838" s="8"/>
    </row>
    <row r="839" spans="1:5" ht="12.75" customHeight="1">
      <c r="A839" s="1"/>
      <c r="C839" s="8"/>
      <c r="D839" s="7"/>
      <c r="E839" s="8"/>
    </row>
    <row r="840" spans="1:5" ht="12.75" customHeight="1">
      <c r="A840" s="1"/>
      <c r="C840" s="8"/>
      <c r="D840" s="7"/>
      <c r="E840" s="8"/>
    </row>
    <row r="841" spans="1:5" ht="12.75" customHeight="1">
      <c r="A841" s="1"/>
      <c r="C841" s="8"/>
      <c r="D841" s="7"/>
      <c r="E841" s="8"/>
    </row>
    <row r="842" spans="1:5" ht="12.75" customHeight="1">
      <c r="A842" s="1"/>
      <c r="C842" s="8"/>
      <c r="D842" s="7"/>
      <c r="E842" s="8"/>
    </row>
    <row r="843" spans="1:5" ht="12.75" customHeight="1">
      <c r="A843" s="1"/>
      <c r="C843" s="8"/>
      <c r="D843" s="7"/>
      <c r="E843" s="8"/>
    </row>
    <row r="844" spans="1:5" ht="12.75" customHeight="1">
      <c r="A844" s="1"/>
      <c r="C844" s="8"/>
      <c r="D844" s="7"/>
      <c r="E844" s="8"/>
    </row>
    <row r="845" spans="1:5" ht="12.75" customHeight="1">
      <c r="A845" s="1"/>
      <c r="C845" s="8"/>
      <c r="D845" s="7"/>
      <c r="E845" s="8"/>
    </row>
    <row r="846" spans="1:5" ht="12.75" customHeight="1">
      <c r="A846" s="1"/>
      <c r="C846" s="8"/>
      <c r="D846" s="7"/>
      <c r="E846" s="8"/>
    </row>
    <row r="847" spans="1:5" ht="12.75" customHeight="1">
      <c r="A847" s="1"/>
      <c r="C847" s="8"/>
      <c r="D847" s="7"/>
      <c r="E847" s="8"/>
    </row>
    <row r="848" spans="1:5" ht="12.75" customHeight="1">
      <c r="A848" s="1"/>
      <c r="C848" s="8"/>
      <c r="D848" s="7"/>
      <c r="E848" s="8"/>
    </row>
    <row r="849" spans="1:5" ht="12.75" customHeight="1">
      <c r="A849" s="1"/>
      <c r="C849" s="8"/>
      <c r="D849" s="7"/>
      <c r="E849" s="8"/>
    </row>
    <row r="850" spans="1:5" ht="12.75" customHeight="1">
      <c r="A850" s="1"/>
      <c r="C850" s="8"/>
      <c r="D850" s="7"/>
      <c r="E850" s="8"/>
    </row>
    <row r="851" spans="1:5" ht="12.75" customHeight="1">
      <c r="A851" s="1"/>
      <c r="C851" s="8"/>
      <c r="D851" s="7"/>
      <c r="E851" s="8"/>
    </row>
    <row r="852" spans="1:5" ht="12.75" customHeight="1">
      <c r="A852" s="1"/>
      <c r="C852" s="8"/>
      <c r="D852" s="7"/>
      <c r="E852" s="8"/>
    </row>
    <row r="853" spans="1:5" ht="12.75" customHeight="1">
      <c r="A853" s="1"/>
      <c r="C853" s="8"/>
      <c r="D853" s="7"/>
      <c r="E853" s="8"/>
    </row>
    <row r="854" spans="1:5" ht="12.75" customHeight="1">
      <c r="A854" s="1"/>
      <c r="C854" s="8"/>
      <c r="D854" s="7"/>
      <c r="E854" s="8"/>
    </row>
    <row r="855" spans="1:5" ht="12.75" customHeight="1">
      <c r="A855" s="1"/>
      <c r="C855" s="8"/>
      <c r="D855" s="7"/>
      <c r="E855" s="8"/>
    </row>
    <row r="856" spans="1:5" ht="12.75" customHeight="1">
      <c r="A856" s="1"/>
      <c r="C856" s="8"/>
      <c r="D856" s="7"/>
      <c r="E856" s="8"/>
    </row>
    <row r="857" spans="1:5" ht="12.75" customHeight="1">
      <c r="A857" s="1"/>
      <c r="C857" s="8"/>
      <c r="D857" s="7"/>
      <c r="E857" s="8"/>
    </row>
    <row r="858" spans="1:5" ht="12.75" customHeight="1">
      <c r="A858" s="1"/>
      <c r="C858" s="8"/>
      <c r="D858" s="7"/>
      <c r="E858" s="8"/>
    </row>
    <row r="859" spans="1:5" ht="12.75" customHeight="1">
      <c r="A859" s="1"/>
      <c r="C859" s="8"/>
      <c r="D859" s="7"/>
      <c r="E859" s="8"/>
    </row>
    <row r="860" spans="1:5" ht="12.75" customHeight="1">
      <c r="A860" s="1"/>
      <c r="C860" s="8"/>
      <c r="D860" s="7"/>
      <c r="E860" s="8"/>
    </row>
    <row r="861" spans="1:5" ht="12.75" customHeight="1">
      <c r="A861" s="1"/>
      <c r="C861" s="8"/>
      <c r="D861" s="7"/>
      <c r="E861" s="8"/>
    </row>
    <row r="862" spans="1:5" ht="12.75" customHeight="1">
      <c r="A862" s="1"/>
      <c r="C862" s="8"/>
      <c r="D862" s="7"/>
      <c r="E862" s="8"/>
    </row>
    <row r="863" spans="1:5" ht="12.75" customHeight="1">
      <c r="A863" s="1"/>
      <c r="C863" s="8"/>
      <c r="D863" s="7"/>
      <c r="E863" s="8"/>
    </row>
    <row r="864" spans="1:5" ht="12.75" customHeight="1">
      <c r="A864" s="1"/>
      <c r="C864" s="8"/>
      <c r="D864" s="7"/>
      <c r="E864" s="8"/>
    </row>
    <row r="865" spans="1:5" ht="12.75" customHeight="1">
      <c r="A865" s="1"/>
      <c r="C865" s="8"/>
      <c r="D865" s="7"/>
      <c r="E865" s="8"/>
    </row>
    <row r="866" spans="1:5" ht="12.75" customHeight="1">
      <c r="A866" s="1"/>
      <c r="C866" s="8"/>
      <c r="D866" s="7"/>
      <c r="E866" s="8"/>
    </row>
    <row r="867" spans="1:5" ht="12.75" customHeight="1">
      <c r="A867" s="1"/>
      <c r="C867" s="8"/>
      <c r="D867" s="7"/>
      <c r="E867" s="8"/>
    </row>
    <row r="868" spans="1:5" ht="12.75" customHeight="1">
      <c r="A868" s="1"/>
      <c r="C868" s="8"/>
      <c r="D868" s="7"/>
      <c r="E868" s="8"/>
    </row>
    <row r="869" spans="1:5" ht="12.75" customHeight="1">
      <c r="A869" s="1"/>
      <c r="C869" s="8"/>
      <c r="D869" s="7"/>
      <c r="E869" s="8"/>
    </row>
    <row r="870" spans="1:5" ht="12.75" customHeight="1">
      <c r="A870" s="1"/>
      <c r="C870" s="8"/>
      <c r="D870" s="7"/>
      <c r="E870" s="8"/>
    </row>
    <row r="871" spans="1:5" ht="12.75" customHeight="1">
      <c r="A871" s="1"/>
      <c r="C871" s="8"/>
      <c r="D871" s="7"/>
      <c r="E871" s="8"/>
    </row>
    <row r="872" spans="1:5" ht="12.75" customHeight="1">
      <c r="A872" s="1"/>
      <c r="C872" s="8"/>
      <c r="D872" s="7"/>
      <c r="E872" s="8"/>
    </row>
    <row r="873" spans="1:5" ht="12.75" customHeight="1">
      <c r="A873" s="1"/>
      <c r="C873" s="8"/>
      <c r="D873" s="7"/>
      <c r="E873" s="8"/>
    </row>
    <row r="874" spans="1:5" ht="12.75" customHeight="1">
      <c r="A874" s="1"/>
      <c r="C874" s="8"/>
      <c r="D874" s="7"/>
      <c r="E874" s="8"/>
    </row>
    <row r="875" spans="1:5" ht="12.75" customHeight="1">
      <c r="A875" s="1"/>
      <c r="C875" s="8"/>
      <c r="D875" s="7"/>
      <c r="E875" s="8"/>
    </row>
    <row r="876" spans="1:5" ht="12.75" customHeight="1">
      <c r="A876" s="1"/>
      <c r="C876" s="8"/>
      <c r="D876" s="7"/>
      <c r="E876" s="8"/>
    </row>
    <row r="877" spans="1:5" ht="12.75" customHeight="1">
      <c r="A877" s="1"/>
      <c r="C877" s="8"/>
      <c r="D877" s="7"/>
      <c r="E877" s="8"/>
    </row>
    <row r="878" spans="1:5" ht="12.75" customHeight="1">
      <c r="A878" s="1"/>
      <c r="C878" s="8"/>
      <c r="D878" s="7"/>
      <c r="E878" s="8"/>
    </row>
    <row r="879" spans="1:5" ht="12.75" customHeight="1">
      <c r="A879" s="1"/>
      <c r="C879" s="8"/>
      <c r="D879" s="7"/>
      <c r="E879" s="8"/>
    </row>
    <row r="880" spans="1:5" ht="12.75" customHeight="1">
      <c r="A880" s="1"/>
      <c r="C880" s="8"/>
      <c r="D880" s="7"/>
      <c r="E880" s="8"/>
    </row>
    <row r="881" spans="1:5" ht="12.75" customHeight="1">
      <c r="A881" s="1"/>
      <c r="C881" s="8"/>
      <c r="D881" s="7"/>
      <c r="E881" s="8"/>
    </row>
    <row r="882" spans="1:5" ht="12.75" customHeight="1">
      <c r="A882" s="1"/>
      <c r="C882" s="8"/>
      <c r="D882" s="7"/>
      <c r="E882" s="8"/>
    </row>
    <row r="883" spans="1:5" ht="12.75" customHeight="1">
      <c r="A883" s="1"/>
      <c r="C883" s="8"/>
      <c r="D883" s="7"/>
      <c r="E883" s="8"/>
    </row>
    <row r="884" spans="1:5" ht="12.75" customHeight="1">
      <c r="A884" s="1"/>
      <c r="C884" s="8"/>
      <c r="D884" s="7"/>
      <c r="E884" s="8"/>
    </row>
    <row r="885" spans="1:5" ht="12.75" customHeight="1">
      <c r="A885" s="1"/>
      <c r="C885" s="8"/>
      <c r="D885" s="7"/>
      <c r="E885" s="8"/>
    </row>
    <row r="886" spans="1:5" ht="12.75" customHeight="1">
      <c r="A886" s="1"/>
      <c r="C886" s="8"/>
      <c r="D886" s="7"/>
      <c r="E886" s="8"/>
    </row>
    <row r="887" spans="1:5" ht="12.75" customHeight="1">
      <c r="A887" s="1"/>
      <c r="C887" s="8"/>
      <c r="D887" s="7"/>
      <c r="E887" s="8"/>
    </row>
    <row r="888" spans="1:5" ht="12.75" customHeight="1">
      <c r="A888" s="1"/>
      <c r="C888" s="8"/>
      <c r="D888" s="7"/>
      <c r="E888" s="8"/>
    </row>
    <row r="889" spans="1:5" ht="12.75" customHeight="1">
      <c r="A889" s="1"/>
      <c r="C889" s="8"/>
      <c r="D889" s="7"/>
      <c r="E889" s="8"/>
    </row>
    <row r="890" spans="1:5" ht="12.75" customHeight="1">
      <c r="A890" s="1"/>
      <c r="C890" s="8"/>
      <c r="D890" s="7"/>
      <c r="E890" s="8"/>
    </row>
    <row r="891" spans="1:5" ht="12.75" customHeight="1">
      <c r="A891" s="1"/>
      <c r="C891" s="8"/>
      <c r="D891" s="7"/>
      <c r="E891" s="8"/>
    </row>
    <row r="892" spans="1:5" ht="12.75" customHeight="1">
      <c r="A892" s="1"/>
      <c r="C892" s="8"/>
      <c r="D892" s="7"/>
      <c r="E892" s="8"/>
    </row>
    <row r="893" spans="1:5" ht="12.75" customHeight="1">
      <c r="A893" s="1"/>
      <c r="C893" s="8"/>
      <c r="D893" s="7"/>
      <c r="E893" s="8"/>
    </row>
    <row r="894" spans="1:5" ht="12.75" customHeight="1">
      <c r="A894" s="1"/>
      <c r="C894" s="8"/>
      <c r="D894" s="7"/>
      <c r="E894" s="8"/>
    </row>
    <row r="895" spans="1:5" ht="12.75" customHeight="1">
      <c r="A895" s="1"/>
      <c r="C895" s="8"/>
      <c r="D895" s="7"/>
      <c r="E895" s="8"/>
    </row>
    <row r="896" spans="1:5" ht="12.75" customHeight="1">
      <c r="A896" s="1"/>
      <c r="C896" s="8"/>
      <c r="D896" s="7"/>
      <c r="E896" s="8"/>
    </row>
    <row r="897" spans="1:5" ht="12.75" customHeight="1">
      <c r="A897" s="1"/>
      <c r="C897" s="8"/>
      <c r="D897" s="7"/>
      <c r="E897" s="8"/>
    </row>
    <row r="898" spans="1:5" ht="12.75" customHeight="1">
      <c r="A898" s="1"/>
      <c r="C898" s="8"/>
      <c r="D898" s="7"/>
      <c r="E898" s="8"/>
    </row>
    <row r="899" spans="1:5" ht="12.75" customHeight="1">
      <c r="A899" s="1"/>
      <c r="C899" s="8"/>
      <c r="D899" s="7"/>
      <c r="E899" s="8"/>
    </row>
    <row r="900" spans="1:5" ht="12.75" customHeight="1">
      <c r="A900" s="1"/>
      <c r="C900" s="8"/>
      <c r="D900" s="7"/>
      <c r="E900" s="8"/>
    </row>
    <row r="901" spans="1:5" ht="12.75" customHeight="1">
      <c r="A901" s="1"/>
      <c r="C901" s="8"/>
      <c r="D901" s="7"/>
      <c r="E901" s="8"/>
    </row>
    <row r="902" spans="1:5" ht="12.75" customHeight="1">
      <c r="A902" s="1"/>
      <c r="C902" s="8"/>
      <c r="D902" s="7"/>
      <c r="E902" s="8"/>
    </row>
    <row r="903" spans="1:5" ht="12.75" customHeight="1">
      <c r="A903" s="1"/>
      <c r="C903" s="8"/>
      <c r="D903" s="7"/>
      <c r="E903" s="8"/>
    </row>
    <row r="904" spans="1:5" ht="12.75" customHeight="1">
      <c r="A904" s="1"/>
      <c r="C904" s="8"/>
      <c r="D904" s="7"/>
      <c r="E904" s="8"/>
    </row>
    <row r="905" spans="1:5" ht="12.75" customHeight="1">
      <c r="A905" s="1"/>
      <c r="C905" s="8"/>
      <c r="D905" s="7"/>
      <c r="E905" s="8"/>
    </row>
    <row r="906" spans="1:5" ht="12.75" customHeight="1">
      <c r="A906" s="1"/>
      <c r="C906" s="8"/>
      <c r="D906" s="7"/>
      <c r="E906" s="8"/>
    </row>
    <row r="907" spans="1:5" ht="12.75" customHeight="1">
      <c r="A907" s="1"/>
      <c r="C907" s="8"/>
      <c r="D907" s="7"/>
      <c r="E907" s="8"/>
    </row>
    <row r="908" spans="1:5" ht="12.75" customHeight="1">
      <c r="A908" s="1"/>
      <c r="C908" s="8"/>
      <c r="D908" s="7"/>
      <c r="E908" s="8"/>
    </row>
    <row r="909" spans="1:5" ht="12.75" customHeight="1">
      <c r="A909" s="1"/>
      <c r="C909" s="8"/>
      <c r="D909" s="7"/>
      <c r="E909" s="8"/>
    </row>
    <row r="910" spans="1:5" ht="12.75" customHeight="1">
      <c r="A910" s="1"/>
      <c r="C910" s="8"/>
      <c r="D910" s="7"/>
      <c r="E910" s="8"/>
    </row>
    <row r="911" spans="1:5" ht="12.75" customHeight="1">
      <c r="A911" s="1"/>
      <c r="C911" s="8"/>
      <c r="D911" s="7"/>
      <c r="E911" s="8"/>
    </row>
    <row r="912" spans="1:5" ht="12.75" customHeight="1">
      <c r="A912" s="1"/>
      <c r="C912" s="8"/>
      <c r="D912" s="7"/>
      <c r="E912" s="8"/>
    </row>
    <row r="913" spans="1:5" ht="12.75" customHeight="1">
      <c r="A913" s="1"/>
      <c r="C913" s="8"/>
      <c r="D913" s="7"/>
      <c r="E913" s="8"/>
    </row>
    <row r="914" spans="1:5" ht="12.75" customHeight="1">
      <c r="A914" s="1"/>
      <c r="C914" s="8"/>
      <c r="D914" s="7"/>
      <c r="E914" s="8"/>
    </row>
    <row r="915" spans="1:5" ht="12.75" customHeight="1">
      <c r="A915" s="1"/>
      <c r="C915" s="8"/>
      <c r="D915" s="7"/>
      <c r="E915" s="8"/>
    </row>
    <row r="916" spans="1:5" ht="12.75" customHeight="1">
      <c r="A916" s="1"/>
      <c r="C916" s="8"/>
      <c r="D916" s="7"/>
      <c r="E916" s="8"/>
    </row>
    <row r="917" spans="1:5" ht="12.75" customHeight="1">
      <c r="A917" s="1"/>
      <c r="C917" s="8"/>
      <c r="D917" s="7"/>
      <c r="E917" s="8"/>
    </row>
    <row r="918" spans="1:5" ht="12.75" customHeight="1">
      <c r="A918" s="1"/>
      <c r="C918" s="8"/>
      <c r="D918" s="7"/>
      <c r="E918" s="8"/>
    </row>
    <row r="919" spans="1:5" ht="12.75" customHeight="1">
      <c r="A919" s="1"/>
      <c r="C919" s="8"/>
      <c r="D919" s="7"/>
      <c r="E919" s="8"/>
    </row>
    <row r="920" spans="1:5" ht="12.75" customHeight="1">
      <c r="A920" s="1"/>
      <c r="C920" s="8"/>
      <c r="D920" s="7"/>
      <c r="E920" s="8"/>
    </row>
    <row r="921" spans="1:5" ht="12.75" customHeight="1">
      <c r="A921" s="1"/>
      <c r="C921" s="8"/>
      <c r="D921" s="7"/>
      <c r="E921" s="8"/>
    </row>
    <row r="922" spans="1:5" ht="12.75" customHeight="1">
      <c r="A922" s="1"/>
      <c r="C922" s="8"/>
      <c r="D922" s="7"/>
      <c r="E922" s="8"/>
    </row>
    <row r="923" spans="1:5" ht="12.75" customHeight="1">
      <c r="A923" s="1"/>
      <c r="C923" s="8"/>
      <c r="D923" s="7"/>
      <c r="E923" s="8"/>
    </row>
    <row r="924" spans="1:5" ht="12.75" customHeight="1">
      <c r="A924" s="1"/>
      <c r="C924" s="8"/>
      <c r="D924" s="7"/>
      <c r="E924" s="8"/>
    </row>
    <row r="925" spans="1:5" ht="12.75" customHeight="1">
      <c r="A925" s="1"/>
      <c r="C925" s="8"/>
      <c r="D925" s="7"/>
      <c r="E925" s="8"/>
    </row>
    <row r="926" spans="1:5" ht="12.75" customHeight="1">
      <c r="A926" s="1"/>
      <c r="C926" s="8"/>
      <c r="D926" s="7"/>
      <c r="E926" s="8"/>
    </row>
    <row r="927" spans="1:5" ht="12.75" customHeight="1">
      <c r="A927" s="1"/>
      <c r="C927" s="8"/>
      <c r="D927" s="7"/>
      <c r="E927" s="8"/>
    </row>
    <row r="928" spans="1:5" ht="12.75" customHeight="1">
      <c r="A928" s="1"/>
      <c r="C928" s="8"/>
      <c r="D928" s="7"/>
      <c r="E928" s="8"/>
    </row>
    <row r="929" spans="1:5" ht="12.75" customHeight="1">
      <c r="A929" s="1"/>
      <c r="C929" s="8"/>
      <c r="D929" s="7"/>
      <c r="E929" s="8"/>
    </row>
    <row r="930" spans="1:5" ht="12.75" customHeight="1">
      <c r="A930" s="1"/>
      <c r="C930" s="8"/>
      <c r="D930" s="7"/>
      <c r="E930" s="8"/>
    </row>
    <row r="931" spans="1:5" ht="12.75" customHeight="1">
      <c r="A931" s="1"/>
      <c r="C931" s="8"/>
      <c r="D931" s="7"/>
      <c r="E931" s="8"/>
    </row>
    <row r="932" spans="1:5" ht="12.75" customHeight="1">
      <c r="A932" s="1"/>
      <c r="C932" s="8"/>
      <c r="D932" s="7"/>
      <c r="E932" s="8"/>
    </row>
    <row r="933" spans="1:5" ht="12.75" customHeight="1">
      <c r="A933" s="1"/>
      <c r="C933" s="8"/>
      <c r="D933" s="7"/>
      <c r="E933" s="8"/>
    </row>
    <row r="934" spans="1:5" ht="12.75" customHeight="1">
      <c r="A934" s="1"/>
      <c r="C934" s="8"/>
      <c r="D934" s="7"/>
      <c r="E934" s="8"/>
    </row>
    <row r="935" spans="1:5" ht="12.75" customHeight="1">
      <c r="A935" s="1"/>
      <c r="C935" s="8"/>
      <c r="D935" s="7"/>
      <c r="E935" s="8"/>
    </row>
    <row r="936" spans="1:5" ht="12.75" customHeight="1">
      <c r="A936" s="1"/>
      <c r="C936" s="8"/>
      <c r="D936" s="7"/>
      <c r="E936" s="8"/>
    </row>
    <row r="937" spans="1:5" ht="12.75" customHeight="1">
      <c r="A937" s="1"/>
      <c r="C937" s="8"/>
      <c r="D937" s="7"/>
      <c r="E937" s="8"/>
    </row>
    <row r="938" spans="1:5" ht="12.75" customHeight="1">
      <c r="A938" s="1"/>
      <c r="C938" s="8"/>
      <c r="D938" s="7"/>
      <c r="E938" s="8"/>
    </row>
    <row r="939" spans="1:5" ht="12.75" customHeight="1">
      <c r="A939" s="1"/>
      <c r="C939" s="8"/>
      <c r="D939" s="7"/>
      <c r="E939" s="8"/>
    </row>
    <row r="940" spans="1:5" ht="12.75" customHeight="1">
      <c r="A940" s="1"/>
      <c r="C940" s="8"/>
      <c r="D940" s="7"/>
      <c r="E940" s="8"/>
    </row>
    <row r="941" spans="1:5" ht="12.75" customHeight="1">
      <c r="A941" s="1"/>
      <c r="C941" s="8"/>
      <c r="D941" s="7"/>
      <c r="E941" s="8"/>
    </row>
    <row r="942" spans="1:5" ht="12.75" customHeight="1">
      <c r="A942" s="1"/>
      <c r="C942" s="8"/>
      <c r="D942" s="7"/>
      <c r="E942" s="8"/>
    </row>
    <row r="943" spans="1:5" ht="12.75" customHeight="1">
      <c r="A943" s="1"/>
      <c r="C943" s="8"/>
      <c r="D943" s="7"/>
      <c r="E943" s="8"/>
    </row>
    <row r="944" spans="1:5" ht="12.75" customHeight="1">
      <c r="A944" s="1"/>
      <c r="C944" s="8"/>
      <c r="D944" s="7"/>
      <c r="E944" s="8"/>
    </row>
    <row r="945" spans="1:5" ht="12.75" customHeight="1">
      <c r="A945" s="1"/>
      <c r="C945" s="8"/>
      <c r="D945" s="7"/>
      <c r="E945" s="8"/>
    </row>
    <row r="946" spans="1:5" ht="12.75" customHeight="1">
      <c r="A946" s="1"/>
      <c r="C946" s="8"/>
      <c r="D946" s="7"/>
      <c r="E946" s="8"/>
    </row>
    <row r="947" spans="1:5" ht="12.75" customHeight="1">
      <c r="A947" s="1"/>
      <c r="C947" s="8"/>
      <c r="D947" s="7"/>
      <c r="E947" s="8"/>
    </row>
    <row r="948" spans="1:5" ht="12.75" customHeight="1">
      <c r="A948" s="1"/>
      <c r="C948" s="8"/>
      <c r="D948" s="7"/>
      <c r="E948" s="8"/>
    </row>
    <row r="949" spans="1:5" ht="12.75" customHeight="1">
      <c r="A949" s="1"/>
      <c r="C949" s="8"/>
      <c r="D949" s="7"/>
      <c r="E949" s="8"/>
    </row>
    <row r="950" spans="1:5" ht="12.75" customHeight="1">
      <c r="A950" s="1"/>
      <c r="C950" s="8"/>
      <c r="D950" s="7"/>
      <c r="E950" s="8"/>
    </row>
    <row r="951" spans="1:5" ht="12.75" customHeight="1">
      <c r="A951" s="1"/>
      <c r="C951" s="8"/>
      <c r="D951" s="7"/>
      <c r="E951" s="8"/>
    </row>
    <row r="952" spans="1:5" ht="12.75" customHeight="1">
      <c r="A952" s="1"/>
      <c r="C952" s="8"/>
      <c r="D952" s="7"/>
      <c r="E952" s="8"/>
    </row>
    <row r="953" spans="1:5" ht="12.75" customHeight="1">
      <c r="A953" s="1"/>
      <c r="C953" s="8"/>
      <c r="D953" s="7"/>
      <c r="E953" s="8"/>
    </row>
    <row r="954" spans="1:5" ht="12.75" customHeight="1">
      <c r="A954" s="1"/>
      <c r="C954" s="8"/>
      <c r="D954" s="7"/>
      <c r="E954" s="8"/>
    </row>
    <row r="955" spans="1:5" ht="12.75" customHeight="1">
      <c r="A955" s="1"/>
      <c r="C955" s="8"/>
      <c r="D955" s="7"/>
      <c r="E955" s="8"/>
    </row>
    <row r="956" spans="1:5" ht="12.75" customHeight="1">
      <c r="A956" s="1"/>
      <c r="C956" s="8"/>
      <c r="D956" s="7"/>
      <c r="E956" s="8"/>
    </row>
    <row r="957" spans="1:5" ht="12.75" customHeight="1">
      <c r="A957" s="1"/>
      <c r="C957" s="8"/>
      <c r="D957" s="7"/>
      <c r="E957" s="8"/>
    </row>
    <row r="958" spans="1:5" ht="12.75" customHeight="1">
      <c r="A958" s="1"/>
      <c r="C958" s="8"/>
      <c r="D958" s="7"/>
      <c r="E958" s="8"/>
    </row>
    <row r="959" spans="1:5" ht="12.75" customHeight="1">
      <c r="A959" s="1"/>
      <c r="C959" s="8"/>
      <c r="D959" s="7"/>
      <c r="E959" s="8"/>
    </row>
    <row r="960" spans="1:5" ht="12.75" customHeight="1">
      <c r="A960" s="1"/>
      <c r="C960" s="8"/>
      <c r="D960" s="7"/>
      <c r="E960" s="8"/>
    </row>
    <row r="961" spans="1:5" ht="12.75" customHeight="1">
      <c r="A961" s="1"/>
      <c r="C961" s="8"/>
      <c r="D961" s="7"/>
      <c r="E961" s="8"/>
    </row>
    <row r="962" spans="1:5" ht="12.75" customHeight="1">
      <c r="A962" s="1"/>
      <c r="C962" s="8"/>
      <c r="D962" s="7"/>
      <c r="E962" s="8"/>
    </row>
    <row r="963" spans="1:5" ht="12.75" customHeight="1">
      <c r="A963" s="1"/>
      <c r="C963" s="8"/>
      <c r="D963" s="7"/>
      <c r="E963" s="8"/>
    </row>
    <row r="964" spans="1:5" ht="12.75" customHeight="1">
      <c r="A964" s="1"/>
      <c r="C964" s="8"/>
      <c r="D964" s="7"/>
      <c r="E964" s="8"/>
    </row>
    <row r="965" spans="1:5" ht="12.75" customHeight="1">
      <c r="A965" s="1"/>
      <c r="C965" s="8"/>
      <c r="D965" s="7"/>
      <c r="E965" s="8"/>
    </row>
    <row r="966" spans="1:5" ht="12.75" customHeight="1">
      <c r="A966" s="1"/>
      <c r="C966" s="8"/>
      <c r="D966" s="7"/>
      <c r="E966" s="8"/>
    </row>
    <row r="967" spans="1:5" ht="12.75" customHeight="1">
      <c r="A967" s="1"/>
      <c r="C967" s="8"/>
      <c r="D967" s="7"/>
      <c r="E967" s="8"/>
    </row>
    <row r="968" spans="1:5" ht="12.75" customHeight="1">
      <c r="A968" s="1"/>
      <c r="C968" s="8"/>
      <c r="D968" s="7"/>
      <c r="E968" s="8"/>
    </row>
    <row r="969" spans="1:5" ht="12.75" customHeight="1">
      <c r="A969" s="1"/>
      <c r="C969" s="8"/>
      <c r="D969" s="7"/>
      <c r="E969" s="8"/>
    </row>
    <row r="970" spans="1:5" ht="12.75" customHeight="1">
      <c r="A970" s="1"/>
      <c r="C970" s="8"/>
      <c r="D970" s="7"/>
      <c r="E970" s="8"/>
    </row>
    <row r="971" spans="1:5" ht="12.75" customHeight="1">
      <c r="A971" s="1"/>
      <c r="C971" s="8"/>
      <c r="D971" s="7"/>
      <c r="E971" s="8"/>
    </row>
    <row r="972" spans="1:5" ht="12.75" customHeight="1">
      <c r="A972" s="1"/>
      <c r="C972" s="8"/>
      <c r="D972" s="7"/>
      <c r="E972" s="8"/>
    </row>
    <row r="973" spans="1:5" ht="12.75" customHeight="1">
      <c r="A973" s="1"/>
      <c r="C973" s="8"/>
      <c r="D973" s="7"/>
      <c r="E973" s="8"/>
    </row>
    <row r="974" spans="1:5" ht="12.75" customHeight="1">
      <c r="A974" s="1"/>
      <c r="C974" s="8"/>
      <c r="D974" s="7"/>
      <c r="E974" s="8"/>
    </row>
    <row r="975" spans="1:5" ht="12.75" customHeight="1">
      <c r="A975" s="1"/>
      <c r="C975" s="8"/>
      <c r="D975" s="7"/>
      <c r="E975" s="8"/>
    </row>
    <row r="976" spans="1:5" ht="12.75" customHeight="1">
      <c r="A976" s="1"/>
      <c r="C976" s="8"/>
      <c r="D976" s="7"/>
      <c r="E976" s="8"/>
    </row>
    <row r="977" spans="1:5" ht="12.75" customHeight="1">
      <c r="A977" s="1"/>
      <c r="C977" s="8"/>
      <c r="D977" s="7"/>
      <c r="E977" s="8"/>
    </row>
    <row r="978" spans="1:5" ht="12.75" customHeight="1">
      <c r="A978" s="1"/>
      <c r="C978" s="8"/>
      <c r="D978" s="7"/>
      <c r="E978" s="8"/>
    </row>
    <row r="979" spans="1:5" ht="12.75" customHeight="1">
      <c r="A979" s="1"/>
      <c r="C979" s="8"/>
      <c r="D979" s="7"/>
      <c r="E979" s="8"/>
    </row>
    <row r="980" spans="1:5" ht="12.75" customHeight="1">
      <c r="A980" s="1"/>
      <c r="C980" s="8"/>
      <c r="D980" s="7"/>
      <c r="E980" s="8"/>
    </row>
    <row r="981" spans="1:5" ht="12.75" customHeight="1">
      <c r="A981" s="1"/>
      <c r="C981" s="8"/>
      <c r="D981" s="7"/>
      <c r="E981" s="8"/>
    </row>
    <row r="982" spans="1:5" ht="12.75" customHeight="1">
      <c r="A982" s="1"/>
      <c r="C982" s="8"/>
      <c r="D982" s="7"/>
      <c r="E982" s="8"/>
    </row>
    <row r="983" spans="1:5" ht="12.75" customHeight="1">
      <c r="A983" s="1"/>
      <c r="C983" s="8"/>
      <c r="D983" s="7"/>
      <c r="E983" s="8"/>
    </row>
    <row r="984" spans="1:5" ht="12.75" customHeight="1">
      <c r="A984" s="1"/>
      <c r="C984" s="8"/>
      <c r="D984" s="7"/>
      <c r="E984" s="8"/>
    </row>
    <row r="985" spans="1:5" ht="12.75" customHeight="1">
      <c r="A985" s="1"/>
      <c r="C985" s="8"/>
      <c r="D985" s="7"/>
      <c r="E985" s="8"/>
    </row>
    <row r="986" spans="1:5" ht="12.75" customHeight="1">
      <c r="A986" s="1"/>
      <c r="C986" s="8"/>
      <c r="D986" s="7"/>
      <c r="E986" s="8"/>
    </row>
    <row r="987" spans="1:5" ht="12.75" customHeight="1">
      <c r="A987" s="1"/>
      <c r="C987" s="8"/>
      <c r="D987" s="7"/>
      <c r="E987" s="8"/>
    </row>
    <row r="988" spans="1:5" ht="12.75" customHeight="1">
      <c r="A988" s="1"/>
      <c r="C988" s="8"/>
      <c r="D988" s="7"/>
      <c r="E988" s="8"/>
    </row>
    <row r="989" spans="1:5" ht="12.75" customHeight="1">
      <c r="A989" s="1"/>
      <c r="C989" s="8"/>
      <c r="D989" s="7"/>
      <c r="E989" s="8"/>
    </row>
    <row r="990" spans="1:5" ht="12.75" customHeight="1">
      <c r="A990" s="1"/>
      <c r="C990" s="8"/>
      <c r="D990" s="7"/>
      <c r="E990" s="8"/>
    </row>
    <row r="991" spans="1:5" ht="12.75" customHeight="1">
      <c r="A991" s="1"/>
      <c r="C991" s="8"/>
      <c r="D991" s="7"/>
      <c r="E991" s="8"/>
    </row>
    <row r="992" spans="1:5" ht="12.75" customHeight="1">
      <c r="A992" s="1"/>
      <c r="C992" s="8"/>
      <c r="D992" s="7"/>
      <c r="E992" s="8"/>
    </row>
    <row r="993" spans="1:5" ht="12.75" customHeight="1">
      <c r="A993" s="1"/>
      <c r="C993" s="8"/>
      <c r="D993" s="7"/>
      <c r="E993" s="8"/>
    </row>
    <row r="994" spans="1:5" ht="12.75" customHeight="1">
      <c r="A994" s="1"/>
      <c r="C994" s="8"/>
      <c r="D994" s="7"/>
      <c r="E994" s="8"/>
    </row>
    <row r="995" spans="1:5" ht="12.75" customHeight="1">
      <c r="A995" s="1"/>
      <c r="C995" s="8"/>
      <c r="D995" s="7"/>
      <c r="E995" s="8"/>
    </row>
    <row r="996" spans="1:5" ht="12.75" customHeight="1">
      <c r="A996" s="1"/>
      <c r="C996" s="8"/>
      <c r="D996" s="7"/>
      <c r="E996" s="8"/>
    </row>
    <row r="997" spans="1:5" ht="12.75" customHeight="1">
      <c r="A997" s="1"/>
      <c r="C997" s="8"/>
      <c r="D997" s="7"/>
      <c r="E997" s="8"/>
    </row>
    <row r="998" spans="1:5" ht="12.75" customHeight="1">
      <c r="A998" s="1"/>
      <c r="C998" s="8"/>
      <c r="D998" s="7"/>
      <c r="E998" s="8"/>
    </row>
    <row r="999" spans="1:5" ht="12.75" customHeight="1">
      <c r="A999" s="1"/>
      <c r="C999" s="8"/>
      <c r="D999" s="7"/>
      <c r="E999" s="8"/>
    </row>
    <row r="1000" spans="1:5" ht="12.75" customHeight="1">
      <c r="A1000" s="1"/>
      <c r="C1000" s="8"/>
      <c r="D1000" s="7"/>
      <c r="E1000" s="8"/>
    </row>
    <row r="1001" spans="1:5" ht="12.75" customHeight="1">
      <c r="A1001" s="1"/>
      <c r="C1001" s="8"/>
      <c r="D1001" s="7"/>
      <c r="E1001" s="8"/>
    </row>
    <row r="1002" spans="1:5" ht="12.75" customHeight="1">
      <c r="A1002" s="1"/>
      <c r="C1002" s="8"/>
      <c r="D1002" s="7"/>
      <c r="E1002" s="8"/>
    </row>
    <row r="1003" spans="1:5" ht="12.75" customHeight="1">
      <c r="A1003" s="1"/>
      <c r="C1003" s="8"/>
      <c r="D1003" s="7"/>
      <c r="E1003" s="8"/>
    </row>
    <row r="1004" spans="1:5" ht="12.75" customHeight="1">
      <c r="A1004" s="1"/>
      <c r="C1004" s="8"/>
      <c r="D1004" s="7"/>
      <c r="E1004" s="8"/>
    </row>
    <row r="1005" spans="1:5" ht="12.75" customHeight="1">
      <c r="A1005" s="1"/>
      <c r="C1005" s="8"/>
      <c r="D1005" s="7"/>
      <c r="E1005" s="8"/>
    </row>
    <row r="1006" spans="1:5" ht="12.75" customHeight="1">
      <c r="A1006" s="1"/>
      <c r="C1006" s="8"/>
      <c r="D1006" s="7"/>
      <c r="E1006" s="8"/>
    </row>
    <row r="1007" spans="1:5" ht="12.75" customHeight="1">
      <c r="A1007" s="1"/>
      <c r="C1007" s="8"/>
      <c r="D1007" s="7"/>
      <c r="E1007" s="8"/>
    </row>
    <row r="1008" spans="1:5" ht="12.75" customHeight="1">
      <c r="A1008" s="1"/>
      <c r="C1008" s="8"/>
      <c r="D1008" s="7"/>
      <c r="E1008" s="8"/>
    </row>
    <row r="1009" spans="1:5" ht="12.75" customHeight="1">
      <c r="A1009" s="1"/>
      <c r="C1009" s="8"/>
      <c r="D1009" s="7"/>
      <c r="E1009" s="8"/>
    </row>
    <row r="1010" spans="1:5" ht="12.75" customHeight="1">
      <c r="A1010" s="1"/>
      <c r="C1010" s="8"/>
      <c r="D1010" s="7"/>
      <c r="E1010" s="8"/>
    </row>
    <row r="1011" spans="1:5" ht="12.75" customHeight="1">
      <c r="A1011" s="1"/>
      <c r="C1011" s="8"/>
      <c r="D1011" s="7"/>
      <c r="E1011" s="8"/>
    </row>
    <row r="1012" spans="1:5" ht="12.75" customHeight="1">
      <c r="A1012" s="1"/>
      <c r="C1012" s="8"/>
      <c r="D1012" s="7"/>
      <c r="E1012" s="8"/>
    </row>
    <row r="1013" spans="1:5" ht="12.75" customHeight="1">
      <c r="A1013" s="1"/>
      <c r="C1013" s="8"/>
      <c r="D1013" s="7"/>
      <c r="E1013" s="8"/>
    </row>
    <row r="1014" spans="1:5" ht="12.75" customHeight="1">
      <c r="A1014" s="1"/>
      <c r="C1014" s="8"/>
      <c r="D1014" s="7"/>
      <c r="E1014" s="8"/>
    </row>
    <row r="1015" spans="1:5" ht="12.75" customHeight="1">
      <c r="A1015" s="1"/>
      <c r="C1015" s="8"/>
      <c r="D1015" s="7"/>
      <c r="E1015" s="8"/>
    </row>
    <row r="1016" spans="1:5" ht="12.75" customHeight="1">
      <c r="A1016" s="1"/>
      <c r="C1016" s="8"/>
      <c r="D1016" s="7"/>
      <c r="E1016" s="8"/>
    </row>
    <row r="1017" spans="1:5" ht="12.75" customHeight="1">
      <c r="A1017" s="1"/>
      <c r="C1017" s="8"/>
      <c r="D1017" s="7"/>
      <c r="E1017" s="8"/>
    </row>
    <row r="1018" spans="1:5" ht="12.75" customHeight="1">
      <c r="A1018" s="1"/>
      <c r="C1018" s="8"/>
      <c r="D1018" s="7"/>
      <c r="E1018" s="8"/>
    </row>
    <row r="1019" spans="1:5" ht="12.75" customHeight="1">
      <c r="A1019" s="1"/>
      <c r="C1019" s="8"/>
      <c r="D1019" s="7"/>
      <c r="E1019" s="8"/>
    </row>
    <row r="1020" spans="1:5" ht="12.75" customHeight="1">
      <c r="A1020" s="1"/>
      <c r="C1020" s="8"/>
      <c r="D1020" s="7"/>
      <c r="E1020" s="8"/>
    </row>
    <row r="1021" spans="1:5" ht="12.75" customHeight="1">
      <c r="A1021" s="1"/>
      <c r="C1021" s="8"/>
      <c r="D1021" s="7"/>
      <c r="E1021" s="8"/>
    </row>
    <row r="1022" spans="1:5" ht="12.75" customHeight="1">
      <c r="A1022" s="1"/>
      <c r="C1022" s="8"/>
      <c r="D1022" s="7"/>
      <c r="E1022" s="8"/>
    </row>
    <row r="1023" spans="1:5" ht="12.75" customHeight="1">
      <c r="A1023" s="1"/>
      <c r="C1023" s="8"/>
      <c r="D1023" s="7"/>
      <c r="E1023" s="8"/>
    </row>
    <row r="1024" spans="1:5" ht="12.75" customHeight="1">
      <c r="A1024" s="1"/>
      <c r="C1024" s="8"/>
      <c r="D1024" s="7"/>
      <c r="E1024" s="8"/>
    </row>
    <row r="1025" spans="1:5" ht="12.75" customHeight="1">
      <c r="A1025" s="1"/>
      <c r="C1025" s="8"/>
      <c r="D1025" s="7"/>
      <c r="E1025" s="8"/>
    </row>
    <row r="1026" spans="1:5" ht="12.75" customHeight="1">
      <c r="A1026" s="1"/>
      <c r="C1026" s="8"/>
      <c r="D1026" s="7"/>
      <c r="E1026" s="8"/>
    </row>
    <row r="1027" spans="1:5" ht="12.75" customHeight="1">
      <c r="A1027" s="1"/>
      <c r="C1027" s="8"/>
      <c r="D1027" s="7"/>
      <c r="E1027" s="8"/>
    </row>
    <row r="1028" spans="1:5" ht="12.75" customHeight="1">
      <c r="A1028" s="1"/>
      <c r="C1028" s="8"/>
      <c r="D1028" s="7"/>
      <c r="E1028" s="8"/>
    </row>
    <row r="1029" spans="1:5" ht="12.75" customHeight="1">
      <c r="A1029" s="1"/>
      <c r="C1029" s="8"/>
      <c r="D1029" s="7"/>
      <c r="E1029" s="8"/>
    </row>
    <row r="1030" spans="1:5" ht="12.75" customHeight="1">
      <c r="A1030" s="1"/>
      <c r="C1030" s="8"/>
      <c r="D1030" s="7"/>
      <c r="E1030" s="8"/>
    </row>
    <row r="1031" spans="1:5" ht="12.75" customHeight="1">
      <c r="A1031" s="1"/>
      <c r="C1031" s="8"/>
      <c r="D1031" s="7"/>
      <c r="E1031" s="8"/>
    </row>
    <row r="1032" spans="1:5" ht="12.75" customHeight="1">
      <c r="A1032" s="1"/>
      <c r="C1032" s="8"/>
      <c r="D1032" s="7"/>
      <c r="E1032" s="8"/>
    </row>
    <row r="1033" spans="1:5" ht="12.75" customHeight="1">
      <c r="A1033" s="1"/>
      <c r="C1033" s="8"/>
      <c r="D1033" s="7"/>
      <c r="E1033" s="8"/>
    </row>
    <row r="1034" spans="1:5" ht="12.75" customHeight="1">
      <c r="A1034" s="1"/>
      <c r="C1034" s="8"/>
      <c r="D1034" s="7"/>
      <c r="E1034" s="8"/>
    </row>
    <row r="1035" spans="1:5" ht="12.75" customHeight="1">
      <c r="A1035" s="1"/>
      <c r="C1035" s="8"/>
      <c r="D1035" s="7"/>
      <c r="E1035" s="8"/>
    </row>
    <row r="1036" spans="1:5" ht="12.75" customHeight="1">
      <c r="A1036" s="1"/>
      <c r="C1036" s="8"/>
      <c r="D1036" s="7"/>
      <c r="E1036" s="8"/>
    </row>
    <row r="1037" spans="1:5" ht="12.75" customHeight="1">
      <c r="A1037" s="1"/>
      <c r="C1037" s="8"/>
      <c r="D1037" s="7"/>
      <c r="E1037" s="8"/>
    </row>
    <row r="1038" spans="1:5" ht="12.75" customHeight="1">
      <c r="A1038" s="1"/>
      <c r="C1038" s="8"/>
      <c r="D1038" s="7"/>
      <c r="E1038" s="8"/>
    </row>
    <row r="1039" spans="1:5" ht="12.75" customHeight="1">
      <c r="A1039" s="1"/>
      <c r="C1039" s="8"/>
      <c r="D1039" s="7"/>
      <c r="E1039" s="8"/>
    </row>
    <row r="1040" spans="1:5" ht="12.75" customHeight="1">
      <c r="A1040" s="1"/>
      <c r="C1040" s="8"/>
      <c r="D1040" s="7"/>
      <c r="E1040" s="8"/>
    </row>
    <row r="1041" spans="1:5" ht="12.75" customHeight="1">
      <c r="A1041" s="1"/>
      <c r="C1041" s="8"/>
      <c r="D1041" s="7"/>
      <c r="E1041" s="8"/>
    </row>
    <row r="1042" spans="1:5" ht="12.75" customHeight="1">
      <c r="A1042" s="1"/>
      <c r="C1042" s="8"/>
      <c r="D1042" s="7"/>
      <c r="E1042" s="8"/>
    </row>
    <row r="1043" spans="1:5" ht="12.75" customHeight="1">
      <c r="A1043" s="1"/>
      <c r="C1043" s="8"/>
      <c r="D1043" s="7"/>
      <c r="E1043" s="8"/>
    </row>
  </sheetData>
  <autoFilter ref="A6:Z19" xr:uid="{00000000-0009-0000-0000-000006000000}"/>
  <mergeCells count="10">
    <mergeCell ref="A64:F64"/>
    <mergeCell ref="A65:F65"/>
    <mergeCell ref="A66:B66"/>
    <mergeCell ref="A1:F1"/>
    <mergeCell ref="A2:F2"/>
    <mergeCell ref="A3:F3"/>
    <mergeCell ref="A4:D4"/>
    <mergeCell ref="E4:F4"/>
    <mergeCell ref="A62:F62"/>
    <mergeCell ref="A63:F63"/>
  </mergeCells>
  <printOptions horizontalCentered="1"/>
  <pageMargins left="0.23622047244094491" right="0.23622047244094491" top="0.31496062992125984" bottom="0.31496062992125984" header="0" footer="0"/>
  <pageSetup paperSize="9" scale="90" orientation="landscape" r:id="rId1"/>
  <headerFooter>
    <oddFooter>&amp;C&amp;P of &amp;N</oddFooter>
  </headerFooter>
  <rowBreaks count="2" manualBreakCount="2">
    <brk id="56" max="5" man="1"/>
    <brk id="66" man="1"/>
  </rowBreaks>
  <colBreaks count="1" manualBreakCount="1">
    <brk id="7" man="1"/>
  </colBreaks>
  <ignoredErrors>
    <ignoredError sqref="E6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Summary</vt:lpstr>
      <vt:lpstr>Equip-NI-2025-26</vt:lpstr>
      <vt:lpstr>Sheet3</vt:lpstr>
      <vt:lpstr>Statement 1 (Non-IT Equip)</vt:lpstr>
      <vt:lpstr>Sheet1</vt:lpstr>
      <vt:lpstr>DLPC Result</vt:lpstr>
      <vt:lpstr>All Summary</vt:lpstr>
      <vt:lpstr>Furniture-2025-26</vt:lpstr>
      <vt:lpstr>IT-Equipment</vt:lpstr>
      <vt:lpstr>Grant</vt:lpstr>
      <vt:lpstr>DPC Files after Diwali</vt:lpstr>
      <vt:lpstr>Sheet2</vt:lpstr>
      <vt:lpstr>DPC Files after Diwali (2)</vt:lpstr>
      <vt:lpstr>DPC-February-2026</vt:lpstr>
      <vt:lpstr>Conti. Office Exp etc..</vt:lpstr>
      <vt:lpstr>Statement 2 (IT Equipment)-U.G</vt:lpstr>
      <vt:lpstr>Statement 3 (Furniture)-U.G</vt:lpstr>
      <vt:lpstr>Statement-4 (Books)-U.G</vt:lpstr>
      <vt:lpstr>Statement 5 Maintanance-UG</vt:lpstr>
      <vt:lpstr>'All Summary'!Print_Area</vt:lpstr>
      <vt:lpstr>'DLPC Result'!Print_Area</vt:lpstr>
      <vt:lpstr>'Equip-NI-2025-26'!Print_Area</vt:lpstr>
      <vt:lpstr>'Furniture-2025-26'!Print_Area</vt:lpstr>
      <vt:lpstr>Grant!Print_Area</vt:lpstr>
      <vt:lpstr>'IT-Equipment'!Print_Area</vt:lpstr>
      <vt:lpstr>Sheet2!Print_Area</vt:lpstr>
      <vt:lpstr>'Statement 2 (IT Equipment)-U.G'!Print_Area</vt:lpstr>
      <vt:lpstr>'Statement 3 (Furniture)-U.G'!Print_Area</vt:lpstr>
      <vt:lpstr>'Statement 5 Maintanance-UG'!Print_Area</vt:lpstr>
      <vt:lpstr>'Statement-4 (Books)-U.G'!Print_Area</vt:lpstr>
      <vt:lpstr>Summary!Print_Area</vt:lpstr>
      <vt:lpstr>'DLPC Result'!Print_Titles</vt:lpstr>
      <vt:lpstr>'Statement 1 (Non-IT Equip)'!Print_Titles</vt:lpstr>
      <vt:lpstr>'Statement 2 (IT Equipment)-U.G'!Print_Titles</vt:lpstr>
      <vt:lpstr>'Statement 3 (Furniture)-U.G'!Print_Titles</vt:lpstr>
      <vt:lpstr>'Statement 5 Maintanance-UG'!Print_Titles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VIJAY DASLANIYA</cp:lastModifiedBy>
  <cp:revision/>
  <cp:lastPrinted>2026-08-04T10:42:10Z</cp:lastPrinted>
  <dcterms:created xsi:type="dcterms:W3CDTF">2024-10-10T08:51:20Z</dcterms:created>
  <dcterms:modified xsi:type="dcterms:W3CDTF">2026-08-05T06:15:32Z</dcterms:modified>
  <cp:category/>
  <cp:contentStatus/>
</cp:coreProperties>
</file>